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contractor/Dropbox/Capstone project/Finance Plan/User modelling/"/>
    </mc:Choice>
  </mc:AlternateContent>
  <xr:revisionPtr revIDLastSave="0" documentId="13_ncr:1_{5E9842A6-AAE1-CA4F-ACC4-E70FF84589A1}" xr6:coauthVersionLast="45" xr6:coauthVersionMax="45" xr10:uidLastSave="{00000000-0000-0000-0000-000000000000}"/>
  <bookViews>
    <workbookView xWindow="0" yWindow="460" windowWidth="27980" windowHeight="15000" xr2:uid="{163DA801-9318-4945-BD14-C5631C7A2B18}"/>
  </bookViews>
  <sheets>
    <sheet name="User model" sheetId="1" r:id="rId1"/>
    <sheet name="Pricing tiers" sheetId="2" r:id="rId2"/>
    <sheet name="Competitive prices" sheetId="3" r:id="rId3"/>
    <sheet name="Pricing tiers VISUA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1" l="1"/>
  <c r="B43" i="1"/>
  <c r="B44" i="1"/>
  <c r="H31" i="1"/>
  <c r="J31" i="1"/>
  <c r="I31" i="1"/>
  <c r="G31" i="1"/>
  <c r="F31" i="1"/>
  <c r="E31" i="1"/>
  <c r="D30" i="1"/>
  <c r="B45" i="1" l="1"/>
  <c r="B46" i="1" s="1"/>
  <c r="I11" i="4"/>
  <c r="I10" i="4"/>
  <c r="G11" i="4"/>
  <c r="G10" i="4"/>
  <c r="E11" i="4"/>
  <c r="E10" i="4"/>
  <c r="C11" i="4"/>
  <c r="C10" i="4"/>
  <c r="E38" i="1" l="1"/>
  <c r="F38" i="1"/>
  <c r="G38" i="1"/>
  <c r="H38" i="1"/>
  <c r="D38" i="1"/>
  <c r="E37" i="1"/>
  <c r="F37" i="1"/>
  <c r="G37" i="1"/>
  <c r="H37" i="1"/>
  <c r="D37" i="1"/>
  <c r="G36" i="1"/>
  <c r="H36" i="1"/>
  <c r="G35" i="1"/>
  <c r="H35" i="1"/>
  <c r="E34" i="1"/>
  <c r="F34" i="1"/>
  <c r="D34" i="1"/>
  <c r="D36" i="1" l="1"/>
  <c r="D35" i="1"/>
  <c r="F36" i="1"/>
  <c r="F35" i="1"/>
  <c r="E36" i="1"/>
  <c r="E35" i="1"/>
  <c r="L32" i="2"/>
  <c r="L30" i="2" l="1"/>
  <c r="L33" i="2"/>
  <c r="I30" i="2"/>
  <c r="F30" i="2"/>
  <c r="L16" i="2"/>
  <c r="I33" i="2"/>
  <c r="I35" i="2" s="1"/>
  <c r="F35" i="2"/>
  <c r="C29" i="2"/>
  <c r="C35" i="2" s="1"/>
  <c r="I11" i="2" l="1"/>
  <c r="L10" i="2"/>
  <c r="L11" i="2" s="1"/>
  <c r="L17" i="2"/>
  <c r="I17" i="2"/>
  <c r="L13" i="2"/>
  <c r="I13" i="2"/>
  <c r="I19" i="2" s="1"/>
  <c r="L19" i="2" l="1"/>
  <c r="F13" i="2"/>
  <c r="F19" i="2" s="1"/>
  <c r="C13" i="2"/>
  <c r="C19" i="2" s="1"/>
  <c r="D28" i="1" l="1"/>
  <c r="K29" i="1"/>
  <c r="D29" i="1" s="1"/>
  <c r="H7" i="1"/>
  <c r="G7" i="1"/>
  <c r="F7" i="1"/>
  <c r="E7" i="1"/>
  <c r="D7" i="1"/>
  <c r="K4" i="1" l="1"/>
  <c r="D4" i="1"/>
  <c r="D8" i="1" s="1"/>
  <c r="D9" i="1"/>
  <c r="K5" i="1"/>
  <c r="E4" i="1" l="1"/>
  <c r="E3" i="1" s="1"/>
  <c r="E2" i="1" s="1"/>
  <c r="D12" i="1"/>
  <c r="D3" i="1"/>
  <c r="D2" i="1" s="1"/>
  <c r="D17" i="1"/>
  <c r="F4" i="1"/>
  <c r="F3" i="1" s="1"/>
  <c r="F2" i="1" s="1"/>
  <c r="E8" i="1"/>
  <c r="E9" i="1" s="1"/>
  <c r="E17" i="1"/>
  <c r="E12" i="1"/>
  <c r="E13" i="1" s="1"/>
  <c r="D18" i="1" l="1"/>
  <c r="D24" i="1"/>
  <c r="E24" i="1"/>
  <c r="G4" i="1"/>
  <c r="G3" i="1" s="1"/>
  <c r="G2" i="1" s="1"/>
  <c r="F17" i="1"/>
  <c r="F8" i="1"/>
  <c r="F9" i="1" s="1"/>
  <c r="F12" i="1"/>
  <c r="F13" i="1" s="1"/>
  <c r="E18" i="1"/>
  <c r="E5" i="1"/>
  <c r="E20" i="1" s="1"/>
  <c r="E21" i="1" s="1"/>
  <c r="H4" i="1" l="1"/>
  <c r="H3" i="1" s="1"/>
  <c r="H2" i="1" s="1"/>
  <c r="G8" i="1"/>
  <c r="G9" i="1" s="1"/>
  <c r="G17" i="1"/>
  <c r="G12" i="1"/>
  <c r="G13" i="1" s="1"/>
  <c r="F24" i="1"/>
  <c r="F18" i="1"/>
  <c r="F5" i="1" s="1"/>
  <c r="F20" i="1" s="1"/>
  <c r="F21" i="1" s="1"/>
  <c r="G18" i="1" l="1"/>
  <c r="G5" i="1" s="1"/>
  <c r="G20" i="1" s="1"/>
  <c r="G21" i="1" s="1"/>
  <c r="G24" i="1"/>
  <c r="H17" i="1"/>
  <c r="H12" i="1"/>
  <c r="H13" i="1" s="1"/>
  <c r="H8" i="1"/>
  <c r="H9" i="1" s="1"/>
  <c r="H24" i="1" l="1"/>
  <c r="H18" i="1"/>
  <c r="H5" i="1" s="1"/>
  <c r="H20" i="1" s="1"/>
  <c r="H21" i="1" s="1"/>
  <c r="D13" i="1" l="1"/>
  <c r="D5" i="1" s="1"/>
  <c r="E28" i="1"/>
  <c r="F28" i="1" l="1"/>
  <c r="E29" i="1"/>
  <c r="D20" i="1"/>
  <c r="D21" i="1" s="1"/>
  <c r="L35" i="2"/>
  <c r="G28" i="1" l="1"/>
  <c r="F29" i="1"/>
  <c r="H28" i="1" l="1"/>
  <c r="G29" i="1"/>
  <c r="I28" i="1" l="1"/>
  <c r="I29" i="1" s="1"/>
  <c r="H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tc={D63676CF-962C-4E45-B821-51293E4C68F4}</author>
  </authors>
  <commentList>
    <comment ref="C9" authorId="0" shapeId="0" xr:uid="{D63676CF-962C-4E45-B821-51293E4C68F4}">
      <text>
        <t>[Threaded comment]
Your version of Excel allows you to read this threaded comment; however, any edits to it will get removed if the file is opened in a newer version of Excel. Learn more: https://go.microsoft.com/fwlink/?linkid=870924
Comment:
    Tier prices taken from Pricing tiers tab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tc={F26FE568-D30D-47D6-938B-9565B50D3FEA}</author>
    <author>tc={FDF1CD7E-5CD7-463C-ABCD-4CD3EB4FC05E}</author>
    <author>tc={67B267B2-A01D-4EC8-86AC-FAF57ACEF484}</author>
  </authors>
  <commentList>
    <comment ref="H16" authorId="0" shapeId="0" xr:uid="{F26FE568-D30D-47D6-938B-9565B50D3FEA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that we get a discount</t>
      </text>
    </comment>
    <comment ref="H32" authorId="1" shapeId="0" xr:uid="{FDF1CD7E-5CD7-463C-ABCD-4CD3EB4FC05E}">
      <text>
        <t>[Threaded comment]
Your version of Excel allows you to read this threaded comment; however, any edits to it will get removed if the file is opened in a newer version of Excel. Learn more: https://go.microsoft.com/fwlink/?linkid=870924
Comment:
    Making an assumption of a partnership discount with Betterhelp</t>
      </text>
    </comment>
    <comment ref="K32" authorId="2" shapeId="0" xr:uid="{67B267B2-A01D-4EC8-86AC-FAF57ACEF484}">
      <text>
        <t>[Threaded comment]
Your version of Excel allows you to read this threaded comment; however, any edits to it will get removed if the file is opened in a newer version of Excel. Learn more: https://go.microsoft.com/fwlink/?linkid=870924
Comment:
    Making an assumption of a partnership discount with Betterhelp</t>
      </text>
    </comment>
  </commentList>
</comments>
</file>

<file path=xl/sharedStrings.xml><?xml version="1.0" encoding="utf-8"?>
<sst xmlns="http://schemas.openxmlformats.org/spreadsheetml/2006/main" count="173" uniqueCount="107">
  <si>
    <t>Year</t>
  </si>
  <si>
    <t>Assumptions</t>
  </si>
  <si>
    <t>Total App store Page Views</t>
  </si>
  <si>
    <t>Assumed 18.52% conversion rate of health &amp; fitness apps on app store https://splitmetrics.com/blog/good-app-store-conversion-rate/</t>
  </si>
  <si>
    <t>Total Downloads</t>
  </si>
  <si>
    <t>Assumed 97% unpaid users - headspace 1m paid users out of 31m users in 2018 - see K29 https://www.cnbc.com/2018/09/02/companies-are-turning-to-headspace-to-help-their-workers-meditate.html</t>
  </si>
  <si>
    <t xml:space="preserve"> </t>
  </si>
  <si>
    <t>Total PayingUsers</t>
  </si>
  <si>
    <t>Assumed C2% of Headspace Yr1 Users</t>
  </si>
  <si>
    <t>Yr 1-2 CAGR</t>
  </si>
  <si>
    <t>Assumed L2% of Headspace CAGR Yr 1-3</t>
  </si>
  <si>
    <t>Total Revs</t>
  </si>
  <si>
    <t>Yr 3-6 CAGR</t>
  </si>
  <si>
    <t>Tier 1 % of Users</t>
  </si>
  <si>
    <t>100% - Tier 2 - Tier 3</t>
  </si>
  <si>
    <t>Access to 1 course (6 lessons) access</t>
  </si>
  <si>
    <t>No of Users</t>
  </si>
  <si>
    <t>% of Tier Users x Total Paying Users for this year</t>
  </si>
  <si>
    <t>(Free online community)</t>
  </si>
  <si>
    <t>Revenues</t>
  </si>
  <si>
    <t>Tier 2 % of users</t>
  </si>
  <si>
    <t>Assumed most attractive 'middle version' (manual input)</t>
  </si>
  <si>
    <t>Access 1 courses + 2x betterhelp checkins</t>
  </si>
  <si>
    <t>(AI Therapist)</t>
  </si>
  <si>
    <t>Tier 3</t>
  </si>
  <si>
    <t>Users %</t>
  </si>
  <si>
    <t>Manual input</t>
  </si>
  <si>
    <t>Access 1 courses + 6x betterhelp checkins</t>
  </si>
  <si>
    <t>Average Revenue per User Per Year</t>
  </si>
  <si>
    <t>Total Revenue this year / Total Users this year</t>
  </si>
  <si>
    <t>Average Revenue per User Per Month</t>
  </si>
  <si>
    <t>Total Revenue this year / Total Users this year / 12 months</t>
  </si>
  <si>
    <t>Check totals</t>
  </si>
  <si>
    <t>Learning from Headspace User Growth</t>
  </si>
  <si>
    <t>https://www.headspace.com/1million/subscribers</t>
  </si>
  <si>
    <t>% of paying users:</t>
  </si>
  <si>
    <t>300 downloads first day in June 2012; 1m subscribers - June 2018</t>
  </si>
  <si>
    <t>Users</t>
  </si>
  <si>
    <t xml:space="preserve">Note - key driver - headspace 312 downloads day 1. TBD how many year 1 - which has dramatic impact on CAGR. </t>
  </si>
  <si>
    <t>Total Users</t>
  </si>
  <si>
    <t>Assumed 312 downloads day 1. Assumes 20% of day 1 downloads daily for year 1.</t>
  </si>
  <si>
    <t>CAGR</t>
  </si>
  <si>
    <t>Headspace</t>
  </si>
  <si>
    <t>Calm</t>
  </si>
  <si>
    <t>Betterhelp</t>
  </si>
  <si>
    <t>Betterhelp Expenses</t>
  </si>
  <si>
    <t># Weeks/Sessions</t>
  </si>
  <si>
    <t>Tier 2</t>
  </si>
  <si>
    <t>Tier 0 - Freemium</t>
  </si>
  <si>
    <t>Features</t>
  </si>
  <si>
    <t>Access to all courses (1 level)</t>
  </si>
  <si>
    <t>Access to 1 course (12 levels)</t>
  </si>
  <si>
    <t>Access to all courses (12 levels)</t>
  </si>
  <si>
    <t>AI Therapist Freya</t>
  </si>
  <si>
    <t>Betterhelp therapist for 3 weeks worth 60 USD/week (start, mid and end of therapy)</t>
  </si>
  <si>
    <t>Betterhelp therapist for 12 weeks worth 60 USD/week (1 week per month)</t>
  </si>
  <si>
    <t>Betterhelp value</t>
  </si>
  <si>
    <t>Number of weeks</t>
  </si>
  <si>
    <t>Normal price Betterhelp</t>
  </si>
  <si>
    <t>Value to customer</t>
  </si>
  <si>
    <t>Price</t>
  </si>
  <si>
    <t>Annual</t>
  </si>
  <si>
    <t>Monthly installments</t>
  </si>
  <si>
    <t>*Monthly price is what we show in our offer - like Headspace and Calm do - but we charge full amount</t>
  </si>
  <si>
    <t>Betterhelp costs</t>
  </si>
  <si>
    <t>Cost per week to us</t>
  </si>
  <si>
    <t>Costs to us</t>
  </si>
  <si>
    <t>Gross Margin</t>
  </si>
  <si>
    <t>Betterhelp therapist for 2 sessions (beginning &amp; end)</t>
  </si>
  <si>
    <t>Betterhelp therapist for 4 sessions (quarterly)</t>
  </si>
  <si>
    <t>* REMOVED AI Therapist</t>
  </si>
  <si>
    <t>Number of sessions</t>
  </si>
  <si>
    <t xml:space="preserve">*Monthly installments divided by 10 - charge more per month than annual </t>
  </si>
  <si>
    <t>Cost per session</t>
  </si>
  <si>
    <t>Gross Margin - Annual Subscription</t>
  </si>
  <si>
    <r>
      <t>With BetterHelp you can have professional counseling for only </t>
    </r>
    <r>
      <rPr>
        <b/>
        <sz val="10.5"/>
        <color rgb="FF444444"/>
        <rFont val="Arial"/>
        <family val="2"/>
      </rPr>
      <t>€60 per week, charged every 4 weeks</t>
    </r>
    <r>
      <rPr>
        <sz val="10.5"/>
        <color rgb="FF444444"/>
        <rFont val="Arial"/>
        <family val="2"/>
      </rPr>
      <t>. Unlike traditional in-office therapy which can cost €125-€200 for a single session, your BetterHelp membership includes unlimited text, video, audio messaging as well as weekly live sessions. The subscription is billed and renewed every 4 weeks. It includes both the use of the secured site and the counseling service itself.</t>
    </r>
  </si>
  <si>
    <t>Traditional in-office therapy</t>
  </si>
  <si>
    <t>Which can cost €125-€200 for a single session</t>
  </si>
  <si>
    <t>NEED A SOLID SOURCE FOR THIS!</t>
  </si>
  <si>
    <t>Limbix</t>
  </si>
  <si>
    <t>Price comparison - https://www.priceintelligently.com/blog/headspace-calm-pricing</t>
  </si>
  <si>
    <t>Tier 1 - Silver</t>
  </si>
  <si>
    <t>Tier 2 - Gold</t>
  </si>
  <si>
    <t>Tier 3 - Platinum</t>
  </si>
  <si>
    <t>Monthly fee</t>
  </si>
  <si>
    <t>Annual fee</t>
  </si>
  <si>
    <t>Phobia courses</t>
  </si>
  <si>
    <t>1 full course (12 levels)</t>
  </si>
  <si>
    <t>All full courses (12 levels)</t>
  </si>
  <si>
    <t>Full access</t>
  </si>
  <si>
    <t>Try-out, 1 level only</t>
  </si>
  <si>
    <t>Full use</t>
  </si>
  <si>
    <t>Betterhelp therapist</t>
  </si>
  <si>
    <t>Not included, optional in-app purchase</t>
  </si>
  <si>
    <t>3 sessions of 1 full week (start, mid- and end of therapy)</t>
  </si>
  <si>
    <t>12 sessions of 1 full week (i.e. monthly)</t>
  </si>
  <si>
    <t>All courses, first level only</t>
  </si>
  <si>
    <t>Community</t>
  </si>
  <si>
    <t>Market share estimates</t>
  </si>
  <si>
    <t>Target market size (people with phobia we will tackle and have a smartphone)</t>
  </si>
  <si>
    <t>People that will seek a digital treatment</t>
  </si>
  <si>
    <t>People that seek a digital treatment that choose VReeMind</t>
  </si>
  <si>
    <t>https://www.nimh.nih.gov/health/statistics/mental-illness.shtml 2017 - 42.6% of people with mental health issues received mental health services</t>
  </si>
  <si>
    <t>Representative market share</t>
  </si>
  <si>
    <t>People that received mental health services</t>
  </si>
  <si>
    <t>Assumed 50% of Headspace market share (50% x 29% headspace market shared). 29% based on $56m revenue in 2019  in a $195m revenue industry https://techcrunch.com/2020/01/30/top-10-meditation-apps-pulled-in-195m-in-2019-up-52-from-2018/</t>
  </si>
  <si>
    <t>Proxy - 64% of US track their health metrics using digital https://www.ortholive.com/blog/32-statistics-on-mhealth/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</si>
</sst>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$&quot;#,##0_);[Red]\(&quot;$&quot;#,##0\)"/>
    <numFmt numFmtId="165" formatCode="_(* #,##0_);_(* \(#,##0\);_(* &quot;-&quot;??_);_(@_)"/>
    <numFmt numFmtId="166" formatCode="0.0"/>
    <numFmt numFmtId="167" formatCode="_-[$$-409]* #,##0.00_ ;_-[$$-409]* \-#,##0.00\ ;_-[$$-409]* &quot;-&quot;??_ ;_-@_ "/>
    <numFmt numFmtId="168" formatCode="_-[$$-409]* #,##0_ ;_-[$$-409]* \-#,##0\ ;_-[$$-409]* &quot;-&quot;_ ;_-@_ "/>
    <numFmt numFmtId="169" formatCode="_-[$$-409]* #,##0.00_ ;_-[$$-409]* \-#,##0.00\ ;_-[$$-409]* &quot;-&quot;_ ;_-@_ 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.5"/>
      <color rgb="FF444444"/>
      <name val="Arial"/>
      <family val="2"/>
    </font>
    <font>
      <b/>
      <sz val="10.5"/>
      <color rgb="FF444444"/>
      <name val="Arial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0"/>
      <color rgb="FF4472C4"/>
      <name val="Calibri"/>
      <family val="2"/>
      <scheme val="minor"/>
    </font>
    <font>
      <sz val="12"/>
      <color rgb="FF4472C4"/>
      <name val="Calibri"/>
      <family val="2"/>
      <scheme val="minor"/>
    </font>
    <font>
      <i/>
      <sz val="12"/>
      <color theme="9" tint="-0.249977111117893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FFBDBD"/>
        <bgColor indexed="64"/>
      </patternFill>
    </fill>
  </fills>
  <borders count="4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8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right"/>
    </xf>
    <xf numFmtId="9" fontId="0" fillId="2" borderId="0" xfId="0" applyNumberFormat="1" applyFill="1"/>
    <xf numFmtId="165" fontId="0" fillId="0" borderId="0" xfId="1" applyNumberFormat="1" applyFont="1"/>
    <xf numFmtId="0" fontId="2" fillId="0" borderId="0" xfId="0" applyFont="1"/>
    <xf numFmtId="166" fontId="0" fillId="0" borderId="0" xfId="0" applyNumberFormat="1"/>
    <xf numFmtId="0" fontId="6" fillId="0" borderId="0" xfId="0" applyFont="1"/>
    <xf numFmtId="165" fontId="6" fillId="2" borderId="0" xfId="1" applyNumberFormat="1" applyFont="1" applyFill="1"/>
    <xf numFmtId="165" fontId="6" fillId="0" borderId="0" xfId="1" applyNumberFormat="1" applyFont="1"/>
    <xf numFmtId="166" fontId="0" fillId="2" borderId="0" xfId="0" applyNumberFormat="1" applyFill="1"/>
    <xf numFmtId="9" fontId="4" fillId="0" borderId="0" xfId="0" applyNumberFormat="1" applyFont="1"/>
    <xf numFmtId="9" fontId="0" fillId="0" borderId="0" xfId="2" applyFont="1"/>
    <xf numFmtId="165" fontId="0" fillId="0" borderId="0" xfId="0" applyNumberFormat="1" applyFont="1"/>
    <xf numFmtId="0" fontId="7" fillId="0" borderId="0" xfId="0" applyFont="1"/>
    <xf numFmtId="9" fontId="4" fillId="2" borderId="0" xfId="0" applyNumberFormat="1" applyFont="1" applyFill="1"/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 wrapText="1"/>
    </xf>
    <xf numFmtId="167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top"/>
    </xf>
    <xf numFmtId="169" fontId="0" fillId="0" borderId="0" xfId="0" applyNumberFormat="1" applyAlignment="1">
      <alignment horizontal="left" vertical="top"/>
    </xf>
    <xf numFmtId="0" fontId="8" fillId="0" borderId="0" xfId="0" applyFont="1" applyAlignment="1">
      <alignment wrapText="1"/>
    </xf>
    <xf numFmtId="168" fontId="0" fillId="2" borderId="0" xfId="0" applyNumberFormat="1" applyFill="1" applyAlignment="1">
      <alignment horizontal="left" vertical="top"/>
    </xf>
    <xf numFmtId="169" fontId="0" fillId="2" borderId="0" xfId="0" applyNumberFormat="1" applyFill="1" applyAlignment="1">
      <alignment horizontal="left" vertical="top"/>
    </xf>
    <xf numFmtId="1" fontId="0" fillId="2" borderId="0" xfId="0" applyNumberFormat="1" applyFill="1" applyAlignment="1">
      <alignment horizontal="righ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1" fontId="0" fillId="3" borderId="0" xfId="0" applyNumberFormat="1" applyFill="1" applyAlignment="1">
      <alignment horizontal="right" vertical="top"/>
    </xf>
    <xf numFmtId="169" fontId="0" fillId="3" borderId="0" xfId="0" applyNumberFormat="1" applyFill="1" applyAlignment="1">
      <alignment horizontal="left" vertical="top"/>
    </xf>
    <xf numFmtId="168" fontId="0" fillId="3" borderId="0" xfId="0" applyNumberFormat="1" applyFill="1" applyAlignment="1">
      <alignment horizontal="left" vertical="top"/>
    </xf>
    <xf numFmtId="0" fontId="2" fillId="3" borderId="0" xfId="0" applyFont="1" applyFill="1"/>
    <xf numFmtId="167" fontId="0" fillId="3" borderId="0" xfId="0" applyNumberForma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0" fillId="0" borderId="0" xfId="0" applyFont="1" applyFill="1" applyBorder="1" applyAlignment="1">
      <alignment wrapText="1"/>
    </xf>
    <xf numFmtId="0" fontId="10" fillId="0" borderId="0" xfId="0" applyFont="1" applyFill="1" applyBorder="1" applyAlignment="1"/>
    <xf numFmtId="9" fontId="3" fillId="2" borderId="0" xfId="0" applyNumberFormat="1" applyFont="1" applyFill="1"/>
    <xf numFmtId="0" fontId="2" fillId="4" borderId="0" xfId="0" applyFont="1" applyFill="1" applyAlignment="1">
      <alignment horizontal="left" vertical="top"/>
    </xf>
    <xf numFmtId="0" fontId="0" fillId="4" borderId="0" xfId="0" applyFont="1" applyFill="1" applyAlignment="1">
      <alignment horizontal="left" vertical="top"/>
    </xf>
    <xf numFmtId="168" fontId="0" fillId="4" borderId="0" xfId="0" applyNumberForma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169" fontId="0" fillId="4" borderId="0" xfId="0" applyNumberFormat="1" applyFill="1" applyAlignment="1">
      <alignment horizontal="left" vertical="top"/>
    </xf>
    <xf numFmtId="0" fontId="0" fillId="4" borderId="0" xfId="0" applyFill="1"/>
    <xf numFmtId="0" fontId="11" fillId="0" borderId="0" xfId="0" applyFont="1"/>
    <xf numFmtId="165" fontId="11" fillId="0" borderId="0" xfId="1" applyNumberFormat="1" applyFont="1"/>
    <xf numFmtId="165" fontId="12" fillId="0" borderId="0" xfId="1" applyNumberFormat="1" applyFont="1"/>
    <xf numFmtId="165" fontId="0" fillId="0" borderId="0" xfId="0" applyNumberFormat="1"/>
    <xf numFmtId="165" fontId="13" fillId="0" borderId="0" xfId="0" applyNumberFormat="1" applyFont="1"/>
    <xf numFmtId="165" fontId="2" fillId="0" borderId="0" xfId="0" applyNumberFormat="1" applyFont="1"/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0" fillId="0" borderId="0" xfId="0" applyFont="1" applyAlignment="1">
      <alignment vertical="top" wrapText="1"/>
    </xf>
    <xf numFmtId="167" fontId="2" fillId="0" borderId="0" xfId="0" applyNumberFormat="1" applyFont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0" fillId="5" borderId="2" xfId="0" applyFont="1" applyFill="1" applyBorder="1" applyAlignment="1">
      <alignment horizontal="left" vertical="top" wrapText="1"/>
    </xf>
    <xf numFmtId="167" fontId="2" fillId="5" borderId="2" xfId="0" applyNumberFormat="1" applyFont="1" applyFill="1" applyBorder="1" applyAlignment="1">
      <alignment horizontal="left" vertical="top" wrapText="1"/>
    </xf>
    <xf numFmtId="167" fontId="0" fillId="5" borderId="3" xfId="0" applyNumberForma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0" fillId="6" borderId="2" xfId="0" applyFont="1" applyFill="1" applyBorder="1" applyAlignment="1">
      <alignment horizontal="left" vertical="top" wrapText="1"/>
    </xf>
    <xf numFmtId="167" fontId="2" fillId="6" borderId="2" xfId="0" applyNumberFormat="1" applyFont="1" applyFill="1" applyBorder="1" applyAlignment="1">
      <alignment horizontal="left" vertical="top" wrapText="1"/>
    </xf>
    <xf numFmtId="167" fontId="0" fillId="6" borderId="3" xfId="0" applyNumberForma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0" fillId="8" borderId="2" xfId="0" applyFont="1" applyFill="1" applyBorder="1" applyAlignment="1">
      <alignment horizontal="left" vertical="top" wrapText="1"/>
    </xf>
    <xf numFmtId="167" fontId="2" fillId="8" borderId="2" xfId="0" applyNumberFormat="1" applyFont="1" applyFill="1" applyBorder="1" applyAlignment="1">
      <alignment horizontal="left" vertical="top" wrapText="1"/>
    </xf>
    <xf numFmtId="167" fontId="0" fillId="8" borderId="3" xfId="0" applyNumberForma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0" fillId="7" borderId="2" xfId="0" applyFont="1" applyFill="1" applyBorder="1" applyAlignment="1">
      <alignment horizontal="left" vertical="top" wrapText="1"/>
    </xf>
    <xf numFmtId="167" fontId="2" fillId="7" borderId="2" xfId="0" applyNumberFormat="1" applyFont="1" applyFill="1" applyBorder="1" applyAlignment="1">
      <alignment horizontal="left" vertical="top" wrapText="1"/>
    </xf>
    <xf numFmtId="167" fontId="0" fillId="7" borderId="3" xfId="0" applyNumberFormat="1" applyFill="1" applyBorder="1" applyAlignment="1">
      <alignment horizontal="left" vertical="top" wrapText="1"/>
    </xf>
    <xf numFmtId="165" fontId="1" fillId="0" borderId="0" xfId="1" applyNumberFormat="1" applyFont="1"/>
    <xf numFmtId="9" fontId="14" fillId="0" borderId="0" xfId="2" applyFont="1"/>
    <xf numFmtId="9" fontId="0" fillId="0" borderId="0" xfId="0" applyNumberFormat="1"/>
    <xf numFmtId="0" fontId="15" fillId="0" borderId="0" xfId="3"/>
    <xf numFmtId="0" fontId="7" fillId="2" borderId="0" xfId="0" applyFont="1" applyFill="1"/>
    <xf numFmtId="9" fontId="7" fillId="2" borderId="0" xfId="2" applyFont="1" applyFill="1"/>
    <xf numFmtId="9" fontId="16" fillId="0" borderId="0" xfId="2" applyFont="1"/>
  </cellXfs>
  <cellStyles count="4">
    <cellStyle name="Comma" xfId="1" builtinId="3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FFBDBD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219075</xdr:colOff>
      <xdr:row>12</xdr:row>
      <xdr:rowOff>34018</xdr:rowOff>
    </xdr:to>
    <xdr:pic>
      <xdr:nvPicPr>
        <xdr:cNvPr id="3" name="Picture 2" descr="blob-93">
          <a:extLst>
            <a:ext uri="{FF2B5EF4-FFF2-40B4-BE49-F238E27FC236}">
              <a16:creationId xmlns:a16="http://schemas.microsoft.com/office/drawing/2014/main" id="{231E9BCF-C459-41B9-85A3-4D8A25773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000500"/>
          <a:ext cx="5705475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1</xdr:rowOff>
    </xdr:from>
    <xdr:to>
      <xdr:col>9</xdr:col>
      <xdr:colOff>259773</xdr:colOff>
      <xdr:row>30</xdr:row>
      <xdr:rowOff>155864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14CA01-69EF-467D-AE7D-D3C7836B1A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370" t="15136" r="11603" b="3622"/>
        <a:stretch/>
      </xdr:blipFill>
      <xdr:spPr>
        <a:xfrm>
          <a:off x="692727" y="3948546"/>
          <a:ext cx="5801591" cy="2441864"/>
        </a:xfrm>
        <a:prstGeom prst="rect">
          <a:avLst/>
        </a:prstGeom>
      </xdr:spPr>
    </xdr:pic>
    <xdr:clientData/>
  </xdr:twoCellAnchor>
  <xdr:twoCellAnchor editAs="oneCell">
    <xdr:from>
      <xdr:col>7</xdr:col>
      <xdr:colOff>476249</xdr:colOff>
      <xdr:row>4</xdr:row>
      <xdr:rowOff>176894</xdr:rowOff>
    </xdr:from>
    <xdr:to>
      <xdr:col>12</xdr:col>
      <xdr:colOff>87162</xdr:colOff>
      <xdr:row>15</xdr:row>
      <xdr:rowOff>27215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794F11-F32A-45A7-A311-1DB8348749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5642" t="15970" r="26914" b="23807"/>
        <a:stretch/>
      </xdr:blipFill>
      <xdr:spPr>
        <a:xfrm>
          <a:off x="5238749" y="993323"/>
          <a:ext cx="3012699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32</xdr:row>
      <xdr:rowOff>121228</xdr:rowOff>
    </xdr:from>
    <xdr:to>
      <xdr:col>10</xdr:col>
      <xdr:colOff>17318</xdr:colOff>
      <xdr:row>49</xdr:row>
      <xdr:rowOff>34637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D031A4-6D34-49C7-BBB6-43C2A278D7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124" t="32012" r="37299" b="19729"/>
        <a:stretch/>
      </xdr:blipFill>
      <xdr:spPr>
        <a:xfrm>
          <a:off x="571500" y="7602683"/>
          <a:ext cx="6373091" cy="344631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15</xdr:col>
      <xdr:colOff>326935</xdr:colOff>
      <xdr:row>33</xdr:row>
      <xdr:rowOff>86591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1477C01-CF00-483D-8673-2C34A80EFE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8827" t="14481" r="11857" b="15076"/>
        <a:stretch/>
      </xdr:blipFill>
      <xdr:spPr>
        <a:xfrm>
          <a:off x="9005455" y="4779818"/>
          <a:ext cx="6284389" cy="299604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cott McFaddin" id="{758BA3AB-226C-4F7B-8AA5-783BA1717AD7}" userId="" providerId=""/>
  <person displayName="laurens coeveld" id="{05E1096A-E18F-407C-9E23-536C97D540CF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0-10-14T20:47:30.15" personId="{758BA3AB-226C-4F7B-8AA5-783BA1717AD7}" id="{D63676CF-962C-4E45-B821-51293E4C68F4}">
    <text>Tier prices taken from Pricing tiers tab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6" dT="2020-10-09T15:28:53.82" personId="{05E1096A-E18F-407C-9E23-536C97D540CF}" id="{F26FE568-D30D-47D6-938B-9565B50D3FEA}">
    <text>Assumption that we get a discount</text>
  </threadedComment>
  <threadedComment ref="H32" dT="2020-10-06T14:01:16.80" personId="{758BA3AB-226C-4F7B-8AA5-783BA1717AD7}" id="{FDF1CD7E-5CD7-463C-ABCD-4CD3EB4FC05E}">
    <text>Making an assumption of a partnership discount with Betterhelp</text>
  </threadedComment>
  <threadedComment ref="K32" dT="2020-10-06T14:01:16.80" personId="{758BA3AB-226C-4F7B-8AA5-783BA1717AD7}" id="{67B267B2-A01D-4EC8-86AC-FAF57ACEF484}">
    <text>Making an assumption of a partnership discount with Betterhelp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nimh.nih.gov/health/statistics/mental-illness.shtml%202017%20-%2042.6%25%20of%20people%20with%20mental%20health%20issues%20received%20mental%20health%20services" TargetMode="Externa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C41F-F8C1-F743-9CC7-E8990FCDD1B0}">
  <dimension ref="A1:M46"/>
  <sheetViews>
    <sheetView tabSelected="1" topLeftCell="A27" zoomScaleNormal="100" workbookViewId="0">
      <selection activeCell="D45" sqref="D45"/>
    </sheetView>
  </sheetViews>
  <sheetFormatPr baseColWidth="10" defaultColWidth="11" defaultRowHeight="16" x14ac:dyDescent="0.2"/>
  <cols>
    <col min="1" max="1" width="67.1640625" bestFit="1" customWidth="1"/>
    <col min="2" max="2" width="14.1640625" customWidth="1"/>
    <col min="4" max="4" width="13.1640625" customWidth="1"/>
    <col min="5" max="6" width="13" bestFit="1" customWidth="1"/>
    <col min="7" max="8" width="13.83203125" bestFit="1" customWidth="1"/>
    <col min="9" max="9" width="14.6640625" bestFit="1" customWidth="1"/>
    <col min="10" max="10" width="16.1640625" bestFit="1" customWidth="1"/>
    <col min="13" max="13" width="35.6640625" bestFit="1" customWidth="1"/>
  </cols>
  <sheetData>
    <row r="1" spans="1:13" x14ac:dyDescent="0.2">
      <c r="A1" s="5" t="s">
        <v>0</v>
      </c>
      <c r="B1" s="5" t="s">
        <v>1</v>
      </c>
      <c r="C1" s="5"/>
      <c r="D1" s="5">
        <v>1</v>
      </c>
      <c r="E1" s="5">
        <v>2</v>
      </c>
      <c r="F1" s="5">
        <v>3</v>
      </c>
      <c r="G1" s="5">
        <v>4</v>
      </c>
      <c r="H1" s="5">
        <v>5</v>
      </c>
    </row>
    <row r="2" spans="1:13" x14ac:dyDescent="0.2">
      <c r="A2" s="5" t="s">
        <v>2</v>
      </c>
      <c r="B2" s="1" t="s">
        <v>3</v>
      </c>
      <c r="C2" s="15">
        <v>0.1852</v>
      </c>
      <c r="D2" s="13">
        <f>(D3/$C$2)*100%</f>
        <v>1906198.7041036719</v>
      </c>
      <c r="E2" s="13">
        <f>(E3/$C$2)*100%</f>
        <v>1783299.492647955</v>
      </c>
      <c r="F2" s="13">
        <f>(F3/$C$2)*100%</f>
        <v>3336648.0353094335</v>
      </c>
      <c r="G2" s="13">
        <f>(G3/$C$2)*100%</f>
        <v>6243045.6339125643</v>
      </c>
      <c r="H2" s="13">
        <f>(H3/$C$2)*100%</f>
        <v>11681069.856533492</v>
      </c>
    </row>
    <row r="3" spans="1:13" x14ac:dyDescent="0.2">
      <c r="A3" s="5" t="s">
        <v>4</v>
      </c>
      <c r="B3" s="1" t="s">
        <v>5</v>
      </c>
      <c r="C3" s="5" t="s">
        <v>6</v>
      </c>
      <c r="D3" s="13">
        <f>(D4/$K$29)*100%</f>
        <v>353028.00000000006</v>
      </c>
      <c r="E3" s="13">
        <f>(E4/$K$29)*100%</f>
        <v>330267.06603840127</v>
      </c>
      <c r="F3" s="13">
        <f>(F4/$K$29)*100%</f>
        <v>617947.21613930713</v>
      </c>
      <c r="G3" s="13">
        <f>(G4/$K$29)*100%</f>
        <v>1156212.051400607</v>
      </c>
      <c r="H3" s="13">
        <f>(H4/$K$29)*100%</f>
        <v>2163334.1374300029</v>
      </c>
    </row>
    <row r="4" spans="1:13" x14ac:dyDescent="0.2">
      <c r="A4" s="5" t="s">
        <v>7</v>
      </c>
      <c r="B4" s="1" t="s">
        <v>8</v>
      </c>
      <c r="C4" s="15">
        <v>0.5</v>
      </c>
      <c r="D4" s="8">
        <f>C4*D28</f>
        <v>11388.000000000002</v>
      </c>
      <c r="E4" s="9">
        <f>D4*K4</f>
        <v>10653.776323819395</v>
      </c>
      <c r="F4" s="9">
        <f>E4*K5</f>
        <v>19933.781165784101</v>
      </c>
      <c r="G4" s="9">
        <f>F4*K5</f>
        <v>37297.162948406673</v>
      </c>
      <c r="H4" s="9">
        <f>G4*K5</f>
        <v>69784.972175161383</v>
      </c>
      <c r="J4" t="s">
        <v>9</v>
      </c>
      <c r="K4" s="10">
        <f>D30*L4</f>
        <v>0.93552654757809917</v>
      </c>
      <c r="L4" s="11">
        <v>0.5</v>
      </c>
      <c r="M4" s="1" t="s">
        <v>10</v>
      </c>
    </row>
    <row r="5" spans="1:13" x14ac:dyDescent="0.2">
      <c r="A5" s="5" t="s">
        <v>11</v>
      </c>
      <c r="B5" s="7"/>
      <c r="C5" s="7"/>
      <c r="D5" s="9">
        <f>SUM(D9,D13,D18)</f>
        <v>3141721.4400000004</v>
      </c>
      <c r="E5" s="9">
        <f>SUM(E9,E13,E18)</f>
        <v>3450545.0757586258</v>
      </c>
      <c r="F5" s="9">
        <f>SUM(F9,F13,F18)</f>
        <v>7412974.5399317909</v>
      </c>
      <c r="G5" s="9">
        <f>SUM(G9,G13,G18)</f>
        <v>14317634.912634354</v>
      </c>
      <c r="H5" s="9">
        <f>SUM(H9,H13,H18)</f>
        <v>30641185.582669862</v>
      </c>
      <c r="J5" t="s">
        <v>12</v>
      </c>
      <c r="K5" s="10">
        <f>D30</f>
        <v>1.8710530951561983</v>
      </c>
    </row>
    <row r="6" spans="1:13" x14ac:dyDescent="0.2">
      <c r="D6" s="46">
        <v>750</v>
      </c>
      <c r="E6" s="46">
        <v>1750</v>
      </c>
      <c r="F6" s="46">
        <v>2000</v>
      </c>
      <c r="G6" s="46">
        <v>3000</v>
      </c>
      <c r="H6" s="46">
        <v>4500</v>
      </c>
    </row>
    <row r="7" spans="1:13" x14ac:dyDescent="0.2">
      <c r="A7" t="s">
        <v>13</v>
      </c>
      <c r="B7" s="1" t="s">
        <v>14</v>
      </c>
      <c r="D7" s="37">
        <f>1-D11-D16</f>
        <v>0.45</v>
      </c>
      <c r="E7" s="37">
        <f t="shared" ref="E7:H7" si="0">1-E11-E16</f>
        <v>0.35</v>
      </c>
      <c r="F7" s="37">
        <f t="shared" si="0"/>
        <v>0.25</v>
      </c>
      <c r="G7" s="37">
        <f t="shared" si="0"/>
        <v>0.19999999999999998</v>
      </c>
      <c r="H7" s="37">
        <f t="shared" si="0"/>
        <v>9.0000000000000052E-2</v>
      </c>
      <c r="I7" s="5" t="s">
        <v>15</v>
      </c>
    </row>
    <row r="8" spans="1:13" x14ac:dyDescent="0.2">
      <c r="A8" t="s">
        <v>16</v>
      </c>
      <c r="B8" s="1" t="s">
        <v>17</v>
      </c>
      <c r="D8" s="4">
        <f>D7*D$4</f>
        <v>5124.6000000000013</v>
      </c>
      <c r="E8" s="4">
        <f t="shared" ref="E8:H8" si="1">E7*E$4</f>
        <v>3728.821713336788</v>
      </c>
      <c r="F8" s="4">
        <f t="shared" si="1"/>
        <v>4983.4452914460253</v>
      </c>
      <c r="G8" s="4">
        <f t="shared" si="1"/>
        <v>7459.4325896813343</v>
      </c>
      <c r="H8" s="4">
        <f t="shared" si="1"/>
        <v>6280.6474957645278</v>
      </c>
      <c r="I8" s="5" t="s">
        <v>18</v>
      </c>
    </row>
    <row r="9" spans="1:13" x14ac:dyDescent="0.2">
      <c r="A9" t="s">
        <v>19</v>
      </c>
      <c r="C9" s="43">
        <v>119.88</v>
      </c>
      <c r="D9" s="4">
        <f>D8*$C9</f>
        <v>614337.04800000018</v>
      </c>
      <c r="E9" s="4">
        <f>E8*$C9</f>
        <v>447011.1469948141</v>
      </c>
      <c r="F9" s="4">
        <f>F8*$C9</f>
        <v>597415.42153854948</v>
      </c>
      <c r="G9" s="4">
        <f>G8*$C9</f>
        <v>894236.77885099838</v>
      </c>
      <c r="H9" s="4">
        <f>H8*$C9</f>
        <v>752924.02179225162</v>
      </c>
    </row>
    <row r="10" spans="1:13" x14ac:dyDescent="0.2">
      <c r="D10" s="4"/>
      <c r="E10" s="4"/>
      <c r="F10" s="4"/>
      <c r="G10" s="4"/>
      <c r="H10" s="4"/>
    </row>
    <row r="11" spans="1:13" x14ac:dyDescent="0.2">
      <c r="A11" t="s">
        <v>20</v>
      </c>
      <c r="B11" s="1" t="s">
        <v>21</v>
      </c>
      <c r="D11" s="3">
        <v>0.5</v>
      </c>
      <c r="E11" s="3">
        <v>0.55000000000000004</v>
      </c>
      <c r="F11" s="3">
        <v>0.6</v>
      </c>
      <c r="G11" s="3">
        <v>0.65</v>
      </c>
      <c r="H11" s="3">
        <v>0.7</v>
      </c>
      <c r="I11" s="5" t="s">
        <v>22</v>
      </c>
    </row>
    <row r="12" spans="1:13" x14ac:dyDescent="0.2">
      <c r="A12" t="s">
        <v>16</v>
      </c>
      <c r="B12" s="1" t="s">
        <v>17</v>
      </c>
      <c r="D12" s="4">
        <f>D11*D$4</f>
        <v>5694.0000000000009</v>
      </c>
      <c r="E12" s="4">
        <f t="shared" ref="E12:H12" si="2">E11*E$4</f>
        <v>5859.5769781006675</v>
      </c>
      <c r="F12" s="4">
        <f t="shared" si="2"/>
        <v>11960.26869947046</v>
      </c>
      <c r="G12" s="4">
        <f t="shared" si="2"/>
        <v>24243.155916464337</v>
      </c>
      <c r="H12" s="4">
        <f t="shared" si="2"/>
        <v>48849.480522612968</v>
      </c>
      <c r="I12" s="5" t="s">
        <v>23</v>
      </c>
    </row>
    <row r="13" spans="1:13" x14ac:dyDescent="0.2">
      <c r="A13" t="s">
        <v>19</v>
      </c>
      <c r="B13" s="1"/>
      <c r="C13" s="43">
        <v>359.88</v>
      </c>
      <c r="D13" s="4">
        <f>D12*$C13</f>
        <v>2049156.7200000002</v>
      </c>
      <c r="E13" s="4">
        <f>E12*$C13</f>
        <v>2108744.5628788681</v>
      </c>
      <c r="F13" s="4">
        <f>F12*$C13</f>
        <v>4304261.4995654291</v>
      </c>
      <c r="G13" s="4">
        <f>G12*$C13</f>
        <v>8724626.9512171857</v>
      </c>
      <c r="H13" s="4">
        <f>H12*$C13</f>
        <v>17579951.050477955</v>
      </c>
      <c r="I13" s="5" t="s">
        <v>18</v>
      </c>
    </row>
    <row r="14" spans="1:13" x14ac:dyDescent="0.2">
      <c r="D14" s="4"/>
      <c r="E14" s="4"/>
      <c r="F14" s="4"/>
      <c r="G14" s="4"/>
      <c r="H14" s="4"/>
    </row>
    <row r="15" spans="1:13" x14ac:dyDescent="0.2">
      <c r="A15" t="s">
        <v>24</v>
      </c>
      <c r="D15" s="4"/>
      <c r="E15" s="4"/>
      <c r="F15" s="4"/>
      <c r="G15" s="4"/>
      <c r="H15" s="4"/>
    </row>
    <row r="16" spans="1:13" x14ac:dyDescent="0.2">
      <c r="A16" t="s">
        <v>25</v>
      </c>
      <c r="B16" s="1" t="s">
        <v>26</v>
      </c>
      <c r="D16" s="3">
        <v>0.05</v>
      </c>
      <c r="E16" s="3">
        <v>0.1</v>
      </c>
      <c r="F16" s="3">
        <v>0.15</v>
      </c>
      <c r="G16" s="3">
        <v>0.15</v>
      </c>
      <c r="H16" s="3">
        <v>0.21</v>
      </c>
      <c r="I16" s="5" t="s">
        <v>27</v>
      </c>
    </row>
    <row r="17" spans="1:11" x14ac:dyDescent="0.2">
      <c r="A17" t="s">
        <v>16</v>
      </c>
      <c r="B17" s="1" t="s">
        <v>17</v>
      </c>
      <c r="D17" s="4">
        <f>D16*D$4</f>
        <v>569.40000000000009</v>
      </c>
      <c r="E17" s="4">
        <f t="shared" ref="E17:H17" si="3">E16*E$4</f>
        <v>1065.3776323819395</v>
      </c>
      <c r="F17" s="4">
        <f t="shared" si="3"/>
        <v>2990.067174867615</v>
      </c>
      <c r="G17" s="4">
        <f t="shared" si="3"/>
        <v>5594.5744422610005</v>
      </c>
      <c r="H17" s="4">
        <f t="shared" si="3"/>
        <v>14654.844156783891</v>
      </c>
      <c r="I17" s="5" t="s">
        <v>23</v>
      </c>
    </row>
    <row r="18" spans="1:11" x14ac:dyDescent="0.2">
      <c r="A18" t="s">
        <v>19</v>
      </c>
      <c r="C18" s="43">
        <v>839.88</v>
      </c>
      <c r="D18" s="4">
        <f>D17*$C18</f>
        <v>478227.67200000008</v>
      </c>
      <c r="E18" s="4">
        <f>E17*$C18</f>
        <v>894789.3658849434</v>
      </c>
      <c r="F18" s="4">
        <f>F17*$C18</f>
        <v>2511297.6188278124</v>
      </c>
      <c r="G18" s="4">
        <f>G17*$C18</f>
        <v>4698771.1825661687</v>
      </c>
      <c r="H18" s="4">
        <f>H17*$C18</f>
        <v>12308310.510399655</v>
      </c>
      <c r="I18" s="5" t="s">
        <v>18</v>
      </c>
    </row>
    <row r="19" spans="1:11" x14ac:dyDescent="0.2">
      <c r="D19" s="4"/>
      <c r="E19" s="4"/>
      <c r="F19" s="4"/>
      <c r="G19" s="4"/>
      <c r="H19" s="4"/>
      <c r="I19" s="5"/>
    </row>
    <row r="20" spans="1:11" s="44" customFormat="1" x14ac:dyDescent="0.2">
      <c r="A20" s="44" t="s">
        <v>28</v>
      </c>
      <c r="B20" s="44" t="s">
        <v>29</v>
      </c>
      <c r="D20" s="45">
        <f>D5/D4</f>
        <v>275.88</v>
      </c>
      <c r="E20" s="45">
        <f>E5/E4</f>
        <v>323.88</v>
      </c>
      <c r="F20" s="45">
        <f>F5/F4</f>
        <v>371.88</v>
      </c>
      <c r="G20" s="45">
        <f>G5/G4</f>
        <v>383.88</v>
      </c>
      <c r="H20" s="45">
        <f>H5/H4</f>
        <v>439.08000000000004</v>
      </c>
    </row>
    <row r="21" spans="1:11" x14ac:dyDescent="0.2">
      <c r="A21" t="s">
        <v>30</v>
      </c>
      <c r="B21" t="s">
        <v>31</v>
      </c>
      <c r="D21" s="4">
        <f>D20/12</f>
        <v>22.99</v>
      </c>
      <c r="E21" s="4">
        <f>E20/12</f>
        <v>26.99</v>
      </c>
      <c r="F21" s="4">
        <f>F20/12</f>
        <v>30.99</v>
      </c>
      <c r="G21" s="4">
        <f>G20/12</f>
        <v>31.99</v>
      </c>
      <c r="H21" s="4">
        <f>H20/12</f>
        <v>36.590000000000003</v>
      </c>
    </row>
    <row r="24" spans="1:11" x14ac:dyDescent="0.2">
      <c r="A24" s="1"/>
      <c r="B24" s="1"/>
      <c r="C24" s="2" t="s">
        <v>32</v>
      </c>
      <c r="D24" s="2" t="str">
        <f>IF(SUM(D17,D12,D8)=D4,"OK","CHECK")</f>
        <v>OK</v>
      </c>
      <c r="E24" s="2" t="str">
        <f>IF(SUM(E17,E12,E8)=E4,"OK","CHECK")</f>
        <v>OK</v>
      </c>
      <c r="F24" s="2" t="str">
        <f>IF(SUM(F17,F12,F8)=F4,"OK","CHECK")</f>
        <v>OK</v>
      </c>
      <c r="G24" s="2" t="str">
        <f>IF(SUM(G17,G12,G8)=G4,"OK","CHECK")</f>
        <v>OK</v>
      </c>
      <c r="H24" s="2" t="str">
        <f>IF(SUM(H17,H12,H8)=H4,"OK","CHECK")</f>
        <v>OK</v>
      </c>
    </row>
    <row r="26" spans="1:11" x14ac:dyDescent="0.2">
      <c r="A26" s="7" t="s">
        <v>33</v>
      </c>
      <c r="B26" s="7"/>
    </row>
    <row r="27" spans="1:11" x14ac:dyDescent="0.2">
      <c r="A27" t="s">
        <v>34</v>
      </c>
      <c r="D27">
        <v>2012</v>
      </c>
      <c r="E27">
        <v>2013</v>
      </c>
      <c r="F27">
        <v>2014</v>
      </c>
      <c r="G27">
        <v>2015</v>
      </c>
      <c r="H27">
        <v>2016</v>
      </c>
      <c r="I27">
        <v>2017</v>
      </c>
      <c r="J27">
        <v>2018</v>
      </c>
      <c r="K27" s="14" t="s">
        <v>35</v>
      </c>
    </row>
    <row r="28" spans="1:11" x14ac:dyDescent="0.2">
      <c r="A28" t="s">
        <v>36</v>
      </c>
      <c r="C28" t="s">
        <v>37</v>
      </c>
      <c r="D28" s="4">
        <f>(312*20%)*365</f>
        <v>22776.000000000004</v>
      </c>
      <c r="E28" s="4">
        <f>D28*$D$30</f>
        <v>42615.105295277579</v>
      </c>
      <c r="F28" s="4">
        <f>E28*$D$30</f>
        <v>79735.124663136405</v>
      </c>
      <c r="G28" s="4">
        <f>F28*$D$30</f>
        <v>149188.65179362669</v>
      </c>
      <c r="H28" s="4">
        <f>G28*$D$30</f>
        <v>279139.88870064553</v>
      </c>
      <c r="I28" s="4">
        <f>H28*$D$30</f>
        <v>522285.55273489957</v>
      </c>
      <c r="J28" s="4">
        <v>1000000</v>
      </c>
    </row>
    <row r="29" spans="1:11" x14ac:dyDescent="0.2">
      <c r="B29" s="1" t="s">
        <v>38</v>
      </c>
      <c r="C29" t="s">
        <v>39</v>
      </c>
      <c r="D29" s="4">
        <f t="shared" ref="D29:I29" si="4">(D28/$K$29)*100%</f>
        <v>706056.00000000012</v>
      </c>
      <c r="E29" s="4">
        <f t="shared" si="4"/>
        <v>1321068.2641536051</v>
      </c>
      <c r="F29" s="4">
        <f t="shared" si="4"/>
        <v>2471788.8645572285</v>
      </c>
      <c r="G29" s="4">
        <f t="shared" si="4"/>
        <v>4624848.2056024279</v>
      </c>
      <c r="H29" s="4">
        <f t="shared" si="4"/>
        <v>8653336.5497200117</v>
      </c>
      <c r="I29" s="4">
        <f t="shared" si="4"/>
        <v>16190852.134781888</v>
      </c>
      <c r="J29" s="4">
        <v>31000000</v>
      </c>
      <c r="K29" s="12">
        <f>J28/J29</f>
        <v>3.2258064516129031E-2</v>
      </c>
    </row>
    <row r="30" spans="1:11" x14ac:dyDescent="0.2">
      <c r="B30" s="1" t="s">
        <v>40</v>
      </c>
      <c r="C30" t="s">
        <v>41</v>
      </c>
      <c r="D30" s="6">
        <f>((J28-D28)/D28)^(1/6)</f>
        <v>1.8710530951561983</v>
      </c>
    </row>
    <row r="31" spans="1:11" x14ac:dyDescent="0.2">
      <c r="B31" s="1"/>
      <c r="E31" s="81">
        <f t="shared" ref="E31:J31" si="5">D28/E28</f>
        <v>0.53445837672314611</v>
      </c>
      <c r="F31" s="81">
        <f t="shared" si="5"/>
        <v>0.53445837672314611</v>
      </c>
      <c r="G31" s="81">
        <f t="shared" si="5"/>
        <v>0.53445837672314611</v>
      </c>
      <c r="H31" s="81">
        <f t="shared" si="5"/>
        <v>0.53445837672314611</v>
      </c>
      <c r="I31" s="81">
        <f t="shared" si="5"/>
        <v>0.53445837672314611</v>
      </c>
      <c r="J31" s="81">
        <f t="shared" si="5"/>
        <v>0.52228555273489952</v>
      </c>
    </row>
    <row r="32" spans="1:11" x14ac:dyDescent="0.2">
      <c r="A32" s="14" t="s">
        <v>42</v>
      </c>
      <c r="B32" s="14" t="s">
        <v>43</v>
      </c>
      <c r="C32" s="14" t="s">
        <v>44</v>
      </c>
      <c r="E32" s="86"/>
    </row>
    <row r="33" spans="1:9" x14ac:dyDescent="0.2">
      <c r="D33" t="s">
        <v>45</v>
      </c>
    </row>
    <row r="34" spans="1:9" x14ac:dyDescent="0.2">
      <c r="C34" t="s">
        <v>46</v>
      </c>
      <c r="D34" s="49">
        <f>D6</f>
        <v>750</v>
      </c>
      <c r="E34" s="49">
        <f t="shared" ref="E34:F34" si="6">E6</f>
        <v>1750</v>
      </c>
      <c r="F34" s="49">
        <f t="shared" si="6"/>
        <v>2000</v>
      </c>
      <c r="G34" s="49">
        <v>3250</v>
      </c>
      <c r="H34" s="49">
        <v>5000</v>
      </c>
    </row>
    <row r="35" spans="1:9" x14ac:dyDescent="0.2">
      <c r="B35" s="50" t="s">
        <v>47</v>
      </c>
      <c r="C35">
        <v>3</v>
      </c>
      <c r="D35" s="48">
        <f>D11*D34</f>
        <v>375</v>
      </c>
      <c r="E35" s="48">
        <f t="shared" ref="E35:H35" si="7">E11*E34</f>
        <v>962.50000000000011</v>
      </c>
      <c r="F35" s="48">
        <f t="shared" si="7"/>
        <v>1200</v>
      </c>
      <c r="G35" s="48">
        <f t="shared" si="7"/>
        <v>2112.5</v>
      </c>
      <c r="H35" s="48">
        <f t="shared" si="7"/>
        <v>3500</v>
      </c>
      <c r="I35" s="47"/>
    </row>
    <row r="36" spans="1:9" x14ac:dyDescent="0.2">
      <c r="B36" s="50" t="s">
        <v>24</v>
      </c>
      <c r="C36">
        <v>12</v>
      </c>
      <c r="D36" s="48">
        <f>D16*D34</f>
        <v>37.5</v>
      </c>
      <c r="E36" s="48">
        <f t="shared" ref="E36:H36" si="8">E16*E34</f>
        <v>175</v>
      </c>
      <c r="F36" s="48">
        <f t="shared" si="8"/>
        <v>300</v>
      </c>
      <c r="G36" s="48">
        <f t="shared" si="8"/>
        <v>487.5</v>
      </c>
      <c r="H36" s="48">
        <f t="shared" si="8"/>
        <v>1050</v>
      </c>
    </row>
    <row r="37" spans="1:9" x14ac:dyDescent="0.2">
      <c r="D37" s="47">
        <f>SUM(D35:D36)</f>
        <v>412.5</v>
      </c>
      <c r="E37" s="47">
        <f t="shared" ref="E37:H37" si="9">SUM(E35:E36)</f>
        <v>1137.5</v>
      </c>
      <c r="F37" s="47">
        <f t="shared" si="9"/>
        <v>1500</v>
      </c>
      <c r="G37" s="47">
        <f t="shared" si="9"/>
        <v>2600</v>
      </c>
      <c r="H37" s="47">
        <f t="shared" si="9"/>
        <v>4550</v>
      </c>
    </row>
    <row r="38" spans="1:9" x14ac:dyDescent="0.2">
      <c r="C38" s="51">
        <v>50</v>
      </c>
      <c r="D38" s="47">
        <f>D37*$C$38</f>
        <v>20625</v>
      </c>
      <c r="E38" s="47">
        <f t="shared" ref="E38:H38" si="10">E37*$C$38</f>
        <v>56875</v>
      </c>
      <c r="F38" s="47">
        <f t="shared" si="10"/>
        <v>75000</v>
      </c>
      <c r="G38" s="47">
        <f t="shared" si="10"/>
        <v>130000</v>
      </c>
      <c r="H38" s="47">
        <f t="shared" si="10"/>
        <v>227500</v>
      </c>
    </row>
    <row r="39" spans="1:9" x14ac:dyDescent="0.2">
      <c r="B39" s="50"/>
      <c r="C39" s="51"/>
      <c r="D39" s="47"/>
    </row>
    <row r="41" spans="1:9" x14ac:dyDescent="0.2">
      <c r="A41" s="7" t="s">
        <v>98</v>
      </c>
    </row>
    <row r="42" spans="1:9" x14ac:dyDescent="0.2">
      <c r="A42" t="s">
        <v>99</v>
      </c>
      <c r="B42" s="80">
        <v>18000000</v>
      </c>
    </row>
    <row r="43" spans="1:9" x14ac:dyDescent="0.2">
      <c r="A43" t="s">
        <v>104</v>
      </c>
      <c r="B43" s="47">
        <f>B42*42.6%</f>
        <v>7668000</v>
      </c>
      <c r="D43" s="83" t="s">
        <v>102</v>
      </c>
    </row>
    <row r="44" spans="1:9" x14ac:dyDescent="0.2">
      <c r="A44" t="s">
        <v>100</v>
      </c>
      <c r="B44" s="47">
        <f>B43*$C44</f>
        <v>4907520</v>
      </c>
      <c r="C44" s="82">
        <v>0.64</v>
      </c>
      <c r="D44" t="s">
        <v>106</v>
      </c>
    </row>
    <row r="45" spans="1:9" x14ac:dyDescent="0.2">
      <c r="A45" t="s">
        <v>101</v>
      </c>
      <c r="B45" s="47">
        <f>B44*$C45</f>
        <v>711590.39999999991</v>
      </c>
      <c r="C45" s="82">
        <f>29%/2</f>
        <v>0.14499999999999999</v>
      </c>
      <c r="D45" t="s">
        <v>105</v>
      </c>
    </row>
    <row r="46" spans="1:9" x14ac:dyDescent="0.2">
      <c r="A46" s="84" t="s">
        <v>103</v>
      </c>
      <c r="B46" s="85">
        <f>B45/B42</f>
        <v>3.9532799999999993E-2</v>
      </c>
    </row>
  </sheetData>
  <hyperlinks>
    <hyperlink ref="D43" r:id="rId1" xr:uid="{80FD1598-F495-3146-AB9C-BD0ECFE0FF68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05F8-68CF-4C9F-B0FE-653E29D23229}">
  <dimension ref="A3:M37"/>
  <sheetViews>
    <sheetView showGridLines="0" zoomScale="80" zoomScaleNormal="80" workbookViewId="0">
      <selection activeCell="A3" sqref="A3:K7"/>
    </sheetView>
  </sheetViews>
  <sheetFormatPr baseColWidth="10" defaultColWidth="8.83203125" defaultRowHeight="16" x14ac:dyDescent="0.2"/>
  <cols>
    <col min="1" max="1" width="15.1640625" bestFit="1" customWidth="1"/>
    <col min="2" max="2" width="26.5" bestFit="1" customWidth="1"/>
    <col min="3" max="3" width="7.6640625" customWidth="1"/>
    <col min="4" max="4" width="4.1640625" customWidth="1"/>
    <col min="5" max="5" width="26.5" bestFit="1" customWidth="1"/>
    <col min="6" max="6" width="9.1640625" bestFit="1" customWidth="1"/>
    <col min="7" max="7" width="4.1640625" customWidth="1"/>
    <col min="8" max="8" width="29.5" bestFit="1" customWidth="1"/>
    <col min="9" max="9" width="9.1640625" bestFit="1" customWidth="1"/>
    <col min="10" max="10" width="4.1640625" customWidth="1"/>
    <col min="11" max="11" width="30.6640625" bestFit="1" customWidth="1"/>
    <col min="12" max="12" width="9.1640625" bestFit="1" customWidth="1"/>
    <col min="13" max="13" width="4.1640625" customWidth="1"/>
  </cols>
  <sheetData>
    <row r="3" spans="1:13" x14ac:dyDescent="0.2">
      <c r="B3" s="16" t="s">
        <v>48</v>
      </c>
      <c r="C3" s="16"/>
      <c r="D3" s="16"/>
      <c r="E3" s="16" t="s">
        <v>81</v>
      </c>
      <c r="F3" s="16"/>
      <c r="G3" s="16"/>
      <c r="H3" s="16" t="s">
        <v>82</v>
      </c>
      <c r="I3" s="16"/>
      <c r="J3" s="16"/>
      <c r="K3" s="16" t="s">
        <v>83</v>
      </c>
    </row>
    <row r="4" spans="1:13" x14ac:dyDescent="0.2">
      <c r="A4" s="5" t="s">
        <v>49</v>
      </c>
      <c r="B4" s="17" t="s">
        <v>50</v>
      </c>
      <c r="C4" s="17"/>
      <c r="D4" s="17"/>
      <c r="E4" s="17" t="s">
        <v>51</v>
      </c>
      <c r="F4" s="17"/>
      <c r="G4" s="17"/>
      <c r="H4" s="17" t="s">
        <v>52</v>
      </c>
      <c r="I4" s="17"/>
      <c r="J4" s="17"/>
      <c r="K4" s="17" t="s">
        <v>52</v>
      </c>
      <c r="L4" s="5"/>
      <c r="M4" s="5"/>
    </row>
    <row r="5" spans="1:13" x14ac:dyDescent="0.2">
      <c r="A5" s="5"/>
      <c r="B5" s="17" t="s">
        <v>18</v>
      </c>
      <c r="C5" s="17"/>
      <c r="D5" s="17"/>
      <c r="E5" s="17" t="s">
        <v>18</v>
      </c>
      <c r="F5" s="17"/>
      <c r="G5" s="17"/>
      <c r="H5" s="17" t="s">
        <v>18</v>
      </c>
      <c r="I5" s="17"/>
      <c r="J5" s="17"/>
      <c r="K5" s="17" t="s">
        <v>18</v>
      </c>
      <c r="L5" s="5"/>
      <c r="M5" s="5"/>
    </row>
    <row r="6" spans="1:13" x14ac:dyDescent="0.2">
      <c r="A6" s="5"/>
      <c r="B6" s="17"/>
      <c r="C6" s="17"/>
      <c r="D6" s="17"/>
      <c r="E6" s="17"/>
      <c r="F6" s="17"/>
      <c r="G6" s="17"/>
      <c r="H6" s="17" t="s">
        <v>53</v>
      </c>
      <c r="I6" s="17"/>
      <c r="J6" s="17"/>
      <c r="K6" s="17" t="s">
        <v>53</v>
      </c>
    </row>
    <row r="7" spans="1:13" ht="51" x14ac:dyDescent="0.2">
      <c r="A7" s="5"/>
      <c r="B7" s="17"/>
      <c r="C7" s="17"/>
      <c r="D7" s="17"/>
      <c r="E7" s="17"/>
      <c r="F7" s="17"/>
      <c r="G7" s="17"/>
      <c r="H7" s="19" t="s">
        <v>54</v>
      </c>
      <c r="I7" s="17"/>
      <c r="J7" s="17"/>
      <c r="K7" s="19" t="s">
        <v>55</v>
      </c>
    </row>
    <row r="8" spans="1:13" x14ac:dyDescent="0.2">
      <c r="A8" s="5"/>
      <c r="B8" s="17"/>
      <c r="C8" s="17"/>
      <c r="D8" s="17"/>
      <c r="E8" s="17"/>
      <c r="F8" s="17"/>
      <c r="G8" s="17"/>
      <c r="H8" s="19"/>
      <c r="I8" s="17"/>
      <c r="J8" s="17"/>
      <c r="K8" s="19"/>
    </row>
    <row r="9" spans="1:13" x14ac:dyDescent="0.2">
      <c r="A9" s="5" t="s">
        <v>56</v>
      </c>
      <c r="B9" s="17"/>
      <c r="C9" s="17"/>
      <c r="D9" s="17"/>
      <c r="E9" s="17"/>
      <c r="F9" s="17"/>
      <c r="G9" s="17"/>
      <c r="H9" s="18" t="s">
        <v>57</v>
      </c>
      <c r="I9" s="26">
        <v>3</v>
      </c>
      <c r="J9" s="18"/>
      <c r="K9" s="18" t="s">
        <v>57</v>
      </c>
      <c r="L9" s="26">
        <v>12</v>
      </c>
    </row>
    <row r="10" spans="1:13" ht="17" x14ac:dyDescent="0.2">
      <c r="A10" s="5"/>
      <c r="B10" s="17"/>
      <c r="C10" s="17"/>
      <c r="D10" s="17"/>
      <c r="E10" s="17"/>
      <c r="F10" s="17"/>
      <c r="G10" s="17"/>
      <c r="H10" s="19" t="s">
        <v>58</v>
      </c>
      <c r="I10" s="25">
        <v>60</v>
      </c>
      <c r="J10" s="17"/>
      <c r="K10" s="35" t="s">
        <v>58</v>
      </c>
      <c r="L10" s="22">
        <f>I10</f>
        <v>60</v>
      </c>
    </row>
    <row r="11" spans="1:13" x14ac:dyDescent="0.2">
      <c r="A11" s="5"/>
      <c r="B11" s="17"/>
      <c r="C11" s="17"/>
      <c r="D11" s="17"/>
      <c r="E11" s="17"/>
      <c r="F11" s="17"/>
      <c r="G11" s="17"/>
      <c r="H11" s="18" t="s">
        <v>59</v>
      </c>
      <c r="I11" s="20">
        <f>I9*I10</f>
        <v>180</v>
      </c>
      <c r="J11" s="17"/>
      <c r="K11" s="36" t="s">
        <v>59</v>
      </c>
      <c r="L11" s="20">
        <f>L9*L10</f>
        <v>720</v>
      </c>
    </row>
    <row r="12" spans="1:13" x14ac:dyDescent="0.2">
      <c r="A12" s="5"/>
      <c r="B12" s="17"/>
      <c r="C12" s="17"/>
      <c r="D12" s="17"/>
      <c r="E12" s="17"/>
      <c r="F12" s="17"/>
      <c r="G12" s="17"/>
      <c r="H12" s="19"/>
      <c r="I12" s="17"/>
      <c r="J12" s="17"/>
      <c r="K12" s="19"/>
    </row>
    <row r="13" spans="1:13" s="43" customFormat="1" x14ac:dyDescent="0.2">
      <c r="A13" s="38" t="s">
        <v>60</v>
      </c>
      <c r="B13" s="39" t="s">
        <v>61</v>
      </c>
      <c r="C13" s="40">
        <f>C14*12</f>
        <v>0</v>
      </c>
      <c r="D13" s="41"/>
      <c r="E13" s="39" t="s">
        <v>61</v>
      </c>
      <c r="F13" s="42">
        <f>F14*12</f>
        <v>119.88</v>
      </c>
      <c r="G13" s="41"/>
      <c r="H13" s="39" t="s">
        <v>61</v>
      </c>
      <c r="I13" s="42">
        <f>I14*12</f>
        <v>359.88</v>
      </c>
      <c r="J13" s="41"/>
      <c r="K13" s="39" t="s">
        <v>61</v>
      </c>
      <c r="L13" s="42">
        <f>L14*12</f>
        <v>839.87999999999988</v>
      </c>
    </row>
    <row r="14" spans="1:13" x14ac:dyDescent="0.2">
      <c r="A14" s="5"/>
      <c r="B14" s="18" t="s">
        <v>62</v>
      </c>
      <c r="C14" s="24">
        <v>0</v>
      </c>
      <c r="D14" s="18"/>
      <c r="E14" s="18" t="s">
        <v>62</v>
      </c>
      <c r="F14" s="25">
        <v>9.99</v>
      </c>
      <c r="G14" s="18"/>
      <c r="H14" s="18" t="s">
        <v>62</v>
      </c>
      <c r="I14" s="25">
        <v>29.99</v>
      </c>
      <c r="J14" s="18"/>
      <c r="K14" s="18" t="s">
        <v>62</v>
      </c>
      <c r="L14" s="25">
        <v>69.989999999999995</v>
      </c>
    </row>
    <row r="15" spans="1:13" x14ac:dyDescent="0.2">
      <c r="A15" s="5"/>
      <c r="B15" s="18"/>
      <c r="C15" s="18"/>
      <c r="D15" s="18"/>
      <c r="E15" s="34" t="s">
        <v>63</v>
      </c>
      <c r="F15" s="18"/>
      <c r="G15" s="18"/>
      <c r="H15" s="18"/>
      <c r="I15" s="18"/>
      <c r="J15" s="18"/>
      <c r="K15" s="18"/>
    </row>
    <row r="16" spans="1:13" x14ac:dyDescent="0.2">
      <c r="A16" s="5" t="s">
        <v>64</v>
      </c>
      <c r="B16" s="18"/>
      <c r="C16" s="18"/>
      <c r="D16" s="18"/>
      <c r="E16" s="18"/>
      <c r="F16" s="18"/>
      <c r="G16" s="18"/>
      <c r="H16" s="18" t="s">
        <v>65</v>
      </c>
      <c r="I16" s="25">
        <v>45</v>
      </c>
      <c r="J16" s="18"/>
      <c r="K16" s="18" t="s">
        <v>65</v>
      </c>
      <c r="L16" s="22">
        <f>I16</f>
        <v>45</v>
      </c>
    </row>
    <row r="17" spans="1:12" x14ac:dyDescent="0.2">
      <c r="A17" s="5"/>
      <c r="B17" s="18"/>
      <c r="C17" s="18"/>
      <c r="D17" s="18"/>
      <c r="E17" s="18"/>
      <c r="F17" s="20"/>
      <c r="G17" s="18"/>
      <c r="H17" s="18" t="s">
        <v>66</v>
      </c>
      <c r="I17" s="20">
        <f>I9*I16</f>
        <v>135</v>
      </c>
      <c r="J17" s="18"/>
      <c r="K17" s="18" t="s">
        <v>66</v>
      </c>
      <c r="L17" s="20">
        <f>L9*L16</f>
        <v>540</v>
      </c>
    </row>
    <row r="18" spans="1:12" x14ac:dyDescent="0.2">
      <c r="A18" s="5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1:12" x14ac:dyDescent="0.2">
      <c r="A19" s="5" t="s">
        <v>67</v>
      </c>
      <c r="B19" s="18"/>
      <c r="C19" s="20">
        <f>C13-C17</f>
        <v>0</v>
      </c>
      <c r="D19" s="18"/>
      <c r="E19" s="18"/>
      <c r="F19" s="20">
        <f>F13-F17</f>
        <v>119.88</v>
      </c>
      <c r="G19" s="18"/>
      <c r="H19" s="18"/>
      <c r="I19" s="20">
        <f>I13-I17</f>
        <v>224.88</v>
      </c>
      <c r="J19" s="18"/>
      <c r="K19" s="18"/>
      <c r="L19" s="20">
        <f>L13-L17</f>
        <v>299.87999999999988</v>
      </c>
    </row>
    <row r="20" spans="1:12" s="27" customFormat="1" x14ac:dyDescent="0.2">
      <c r="A20" s="32"/>
      <c r="B20" s="28"/>
      <c r="C20" s="33"/>
      <c r="D20" s="28"/>
      <c r="E20" s="28"/>
      <c r="F20" s="33"/>
      <c r="G20" s="28"/>
      <c r="H20" s="28"/>
      <c r="I20" s="33"/>
      <c r="J20" s="28"/>
      <c r="K20" s="28"/>
      <c r="L20" s="33"/>
    </row>
    <row r="21" spans="1:12" x14ac:dyDescent="0.2">
      <c r="A21" s="5" t="s">
        <v>49</v>
      </c>
      <c r="B21" s="18"/>
      <c r="C21" s="20"/>
      <c r="D21" s="18"/>
      <c r="E21" s="18"/>
      <c r="F21" s="20"/>
      <c r="G21" s="18"/>
      <c r="H21" s="16" t="s">
        <v>47</v>
      </c>
      <c r="I21" s="20"/>
      <c r="J21" s="18"/>
      <c r="K21" s="16" t="s">
        <v>24</v>
      </c>
      <c r="L21" s="20"/>
    </row>
    <row r="22" spans="1:12" x14ac:dyDescent="0.2">
      <c r="A22" s="5"/>
      <c r="B22" s="18"/>
      <c r="C22" s="20"/>
      <c r="D22" s="18"/>
      <c r="E22" s="18"/>
      <c r="F22" s="20"/>
      <c r="G22" s="18"/>
      <c r="H22" s="17" t="s">
        <v>52</v>
      </c>
      <c r="I22" s="20"/>
      <c r="J22" s="18"/>
      <c r="K22" s="17" t="s">
        <v>52</v>
      </c>
      <c r="L22" s="20"/>
    </row>
    <row r="23" spans="1:12" x14ac:dyDescent="0.2">
      <c r="A23" s="5"/>
      <c r="B23" s="18"/>
      <c r="C23" s="20"/>
      <c r="D23" s="18"/>
      <c r="E23" s="18"/>
      <c r="F23" s="20"/>
      <c r="G23" s="18"/>
      <c r="H23" s="17" t="s">
        <v>18</v>
      </c>
      <c r="I23" s="20"/>
      <c r="J23" s="18"/>
      <c r="K23" s="17" t="s">
        <v>18</v>
      </c>
      <c r="L23" s="20"/>
    </row>
    <row r="24" spans="1:12" ht="34" x14ac:dyDescent="0.2">
      <c r="A24" s="5"/>
      <c r="B24" s="18"/>
      <c r="C24" s="20"/>
      <c r="D24" s="18"/>
      <c r="E24" s="18"/>
      <c r="F24" s="20"/>
      <c r="G24" s="18"/>
      <c r="H24" s="19" t="s">
        <v>68</v>
      </c>
      <c r="I24" s="20"/>
      <c r="J24" s="18"/>
      <c r="K24" s="19" t="s">
        <v>69</v>
      </c>
      <c r="L24" s="20"/>
    </row>
    <row r="25" spans="1:12" x14ac:dyDescent="0.2">
      <c r="A25" s="5"/>
      <c r="B25" s="18"/>
      <c r="C25" s="20"/>
      <c r="D25" s="18"/>
      <c r="E25" s="18"/>
      <c r="F25" s="20"/>
      <c r="G25" s="18"/>
      <c r="H25" s="1" t="s">
        <v>70</v>
      </c>
      <c r="I25" s="20"/>
      <c r="J25" s="18"/>
      <c r="K25" s="17" t="s">
        <v>53</v>
      </c>
      <c r="L25" s="20"/>
    </row>
    <row r="26" spans="1:12" x14ac:dyDescent="0.2"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2" x14ac:dyDescent="0.2">
      <c r="A27" s="5" t="s">
        <v>56</v>
      </c>
      <c r="B27" s="17"/>
      <c r="C27" s="17"/>
      <c r="D27" s="17"/>
      <c r="E27" s="17"/>
      <c r="F27" s="17"/>
      <c r="G27" s="17"/>
      <c r="H27" s="28" t="s">
        <v>71</v>
      </c>
      <c r="I27" s="29">
        <v>2</v>
      </c>
      <c r="J27" s="18"/>
      <c r="K27" s="28" t="s">
        <v>71</v>
      </c>
      <c r="L27" s="29">
        <v>4</v>
      </c>
    </row>
    <row r="28" spans="1:12" x14ac:dyDescent="0.2">
      <c r="A28" s="5"/>
      <c r="B28" s="17"/>
      <c r="C28" s="17"/>
      <c r="D28" s="17"/>
      <c r="E28" s="17"/>
      <c r="F28" s="17"/>
      <c r="G28" s="17"/>
      <c r="H28" s="19"/>
      <c r="I28" s="17"/>
      <c r="J28" s="17"/>
      <c r="K28" s="19"/>
    </row>
    <row r="29" spans="1:12" x14ac:dyDescent="0.2">
      <c r="A29" s="16" t="s">
        <v>60</v>
      </c>
      <c r="B29" s="17" t="s">
        <v>61</v>
      </c>
      <c r="C29" s="21">
        <f>C30*12</f>
        <v>0</v>
      </c>
      <c r="D29" s="18"/>
      <c r="E29" s="17" t="s">
        <v>61</v>
      </c>
      <c r="F29" s="22">
        <v>120</v>
      </c>
      <c r="G29" s="18"/>
      <c r="H29" s="17" t="s">
        <v>61</v>
      </c>
      <c r="I29" s="22">
        <v>300</v>
      </c>
      <c r="J29" s="18"/>
      <c r="K29" s="17" t="s">
        <v>61</v>
      </c>
      <c r="L29" s="22">
        <v>600</v>
      </c>
    </row>
    <row r="30" spans="1:12" x14ac:dyDescent="0.2">
      <c r="A30" s="5"/>
      <c r="B30" s="18" t="s">
        <v>62</v>
      </c>
      <c r="C30" s="31">
        <v>0</v>
      </c>
      <c r="D30" s="18"/>
      <c r="E30" s="18" t="s">
        <v>62</v>
      </c>
      <c r="F30" s="30">
        <f>F29/10</f>
        <v>12</v>
      </c>
      <c r="G30" s="18"/>
      <c r="H30" s="18" t="s">
        <v>62</v>
      </c>
      <c r="I30" s="30">
        <f>I29/10</f>
        <v>30</v>
      </c>
      <c r="J30" s="18"/>
      <c r="K30" s="18" t="s">
        <v>62</v>
      </c>
      <c r="L30" s="30">
        <f>L29/10</f>
        <v>60</v>
      </c>
    </row>
    <row r="31" spans="1:12" x14ac:dyDescent="0.2">
      <c r="A31" s="5"/>
      <c r="B31" s="18"/>
      <c r="C31" s="18"/>
      <c r="D31" s="18"/>
      <c r="E31" s="34" t="s">
        <v>72</v>
      </c>
      <c r="F31" s="34"/>
      <c r="G31" s="34"/>
      <c r="H31" s="34"/>
      <c r="I31" s="34"/>
      <c r="J31" s="34"/>
      <c r="K31" s="34"/>
      <c r="L31" s="1"/>
    </row>
    <row r="32" spans="1:12" x14ac:dyDescent="0.2">
      <c r="A32" s="5" t="s">
        <v>64</v>
      </c>
      <c r="B32" s="18"/>
      <c r="C32" s="18"/>
      <c r="D32" s="18"/>
      <c r="E32" s="18"/>
      <c r="F32" s="18"/>
      <c r="G32" s="18"/>
      <c r="H32" s="18" t="s">
        <v>73</v>
      </c>
      <c r="I32" s="30">
        <v>45</v>
      </c>
      <c r="J32" s="18"/>
      <c r="K32" s="18" t="s">
        <v>73</v>
      </c>
      <c r="L32" s="30">
        <f>I32</f>
        <v>45</v>
      </c>
    </row>
    <row r="33" spans="1:12" x14ac:dyDescent="0.2">
      <c r="A33" s="5"/>
      <c r="B33" s="18"/>
      <c r="C33" s="18"/>
      <c r="D33" s="18"/>
      <c r="E33" s="18"/>
      <c r="F33" s="20"/>
      <c r="G33" s="18"/>
      <c r="H33" s="18" t="s">
        <v>66</v>
      </c>
      <c r="I33" s="20">
        <f>I27*I32</f>
        <v>90</v>
      </c>
      <c r="J33" s="18"/>
      <c r="K33" s="18" t="s">
        <v>66</v>
      </c>
      <c r="L33" s="20">
        <f>L32*4</f>
        <v>180</v>
      </c>
    </row>
    <row r="34" spans="1:12" x14ac:dyDescent="0.2">
      <c r="A34" s="5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2" x14ac:dyDescent="0.2">
      <c r="A35" s="5" t="s">
        <v>74</v>
      </c>
      <c r="B35" s="18"/>
      <c r="C35" s="20">
        <f>C29-C33</f>
        <v>0</v>
      </c>
      <c r="D35" s="18"/>
      <c r="E35" s="18"/>
      <c r="F35" s="20">
        <f>F29-F33</f>
        <v>120</v>
      </c>
      <c r="G35" s="18"/>
      <c r="H35" s="18"/>
      <c r="I35" s="20">
        <f>I29-I33</f>
        <v>210</v>
      </c>
      <c r="J35" s="18"/>
      <c r="K35" s="18"/>
      <c r="L35" s="20">
        <f>L29-L33</f>
        <v>420</v>
      </c>
    </row>
    <row r="36" spans="1:12" x14ac:dyDescent="0.2"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2" x14ac:dyDescent="0.2">
      <c r="B37" s="18"/>
      <c r="C37" s="18"/>
      <c r="D37" s="18"/>
      <c r="E37" s="18"/>
      <c r="F37" s="18"/>
      <c r="G37" s="18"/>
      <c r="H37" s="18"/>
      <c r="I37" s="18"/>
      <c r="J37" s="18"/>
      <c r="K37" s="18"/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3C9B-CA20-4BE8-9E26-ED87A5010971}">
  <dimension ref="B2:N32"/>
  <sheetViews>
    <sheetView showGridLines="0" topLeftCell="I1" zoomScale="115" zoomScaleNormal="115" workbookViewId="0">
      <selection activeCell="N9" sqref="N9"/>
    </sheetView>
  </sheetViews>
  <sheetFormatPr baseColWidth="10" defaultColWidth="8.83203125" defaultRowHeight="16" x14ac:dyDescent="0.2"/>
  <cols>
    <col min="14" max="14" width="69.1640625" customWidth="1"/>
  </cols>
  <sheetData>
    <row r="2" spans="2:14" x14ac:dyDescent="0.2">
      <c r="B2" t="s">
        <v>42</v>
      </c>
      <c r="N2" t="s">
        <v>44</v>
      </c>
    </row>
    <row r="4" spans="2:14" ht="91" x14ac:dyDescent="0.2">
      <c r="N4" s="23" t="s">
        <v>75</v>
      </c>
    </row>
    <row r="6" spans="2:14" x14ac:dyDescent="0.2">
      <c r="N6" t="s">
        <v>76</v>
      </c>
    </row>
    <row r="8" spans="2:14" x14ac:dyDescent="0.2">
      <c r="N8" t="s">
        <v>77</v>
      </c>
    </row>
    <row r="9" spans="2:14" x14ac:dyDescent="0.2">
      <c r="N9" t="s">
        <v>78</v>
      </c>
    </row>
    <row r="18" spans="2:14" x14ac:dyDescent="0.2">
      <c r="B18" t="s">
        <v>43</v>
      </c>
      <c r="N18" t="s">
        <v>79</v>
      </c>
    </row>
    <row r="32" spans="2:14" x14ac:dyDescent="0.2">
      <c r="B32" t="s">
        <v>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8902-637F-40FB-BEA2-13EA93E5D5C7}">
  <dimension ref="A3:J14"/>
  <sheetViews>
    <sheetView showGridLines="0" zoomScale="80" zoomScaleNormal="80" workbookViewId="0">
      <selection activeCell="G23" sqref="G23"/>
    </sheetView>
  </sheetViews>
  <sheetFormatPr baseColWidth="10" defaultColWidth="9" defaultRowHeight="16" x14ac:dyDescent="0.2"/>
  <cols>
    <col min="1" max="1" width="15.5" style="55" customWidth="1"/>
    <col min="2" max="2" width="1.6640625" style="55" customWidth="1"/>
    <col min="3" max="3" width="15.5" style="55" customWidth="1"/>
    <col min="4" max="4" width="1.6640625" style="55" customWidth="1"/>
    <col min="5" max="5" width="15.5" style="55" customWidth="1"/>
    <col min="6" max="6" width="1.6640625" style="55" customWidth="1"/>
    <col min="7" max="7" width="15.5" style="55" customWidth="1"/>
    <col min="8" max="8" width="1.6640625" style="55" customWidth="1"/>
    <col min="9" max="9" width="15.5" style="55" customWidth="1"/>
    <col min="10" max="10" width="4.1640625" style="55" customWidth="1"/>
    <col min="11" max="16384" width="9" style="55"/>
  </cols>
  <sheetData>
    <row r="3" spans="1:10" ht="34" x14ac:dyDescent="0.2">
      <c r="B3" s="52"/>
      <c r="C3" s="60" t="s">
        <v>48</v>
      </c>
      <c r="D3" s="52"/>
      <c r="E3" s="65" t="s">
        <v>81</v>
      </c>
      <c r="F3" s="52"/>
      <c r="G3" s="70" t="s">
        <v>82</v>
      </c>
      <c r="H3" s="52"/>
      <c r="I3" s="75" t="s">
        <v>83</v>
      </c>
    </row>
    <row r="4" spans="1:10" ht="17" x14ac:dyDescent="0.2">
      <c r="A4" s="56" t="s">
        <v>49</v>
      </c>
      <c r="B4" s="52"/>
      <c r="C4" s="61"/>
      <c r="D4" s="52"/>
      <c r="E4" s="66"/>
      <c r="F4" s="52"/>
      <c r="G4" s="71"/>
      <c r="H4" s="52"/>
      <c r="I4" s="76"/>
    </row>
    <row r="5" spans="1:10" ht="34" x14ac:dyDescent="0.2">
      <c r="A5" s="56" t="s">
        <v>86</v>
      </c>
      <c r="B5" s="19"/>
      <c r="C5" s="62" t="s">
        <v>96</v>
      </c>
      <c r="D5" s="19"/>
      <c r="E5" s="67" t="s">
        <v>87</v>
      </c>
      <c r="F5" s="19"/>
      <c r="G5" s="72" t="s">
        <v>88</v>
      </c>
      <c r="H5" s="19"/>
      <c r="I5" s="77" t="s">
        <v>88</v>
      </c>
      <c r="J5" s="56"/>
    </row>
    <row r="6" spans="1:10" ht="17" x14ac:dyDescent="0.2">
      <c r="A6" s="56" t="s">
        <v>97</v>
      </c>
      <c r="B6" s="19"/>
      <c r="C6" s="62" t="s">
        <v>89</v>
      </c>
      <c r="D6" s="19"/>
      <c r="E6" s="67" t="s">
        <v>89</v>
      </c>
      <c r="F6" s="19"/>
      <c r="G6" s="72" t="s">
        <v>89</v>
      </c>
      <c r="H6" s="19"/>
      <c r="I6" s="77" t="s">
        <v>89</v>
      </c>
      <c r="J6" s="56"/>
    </row>
    <row r="7" spans="1:10" ht="34" x14ac:dyDescent="0.2">
      <c r="A7" s="56" t="s">
        <v>53</v>
      </c>
      <c r="B7" s="19"/>
      <c r="C7" s="62" t="s">
        <v>90</v>
      </c>
      <c r="D7" s="19"/>
      <c r="E7" s="67" t="s">
        <v>90</v>
      </c>
      <c r="F7" s="19"/>
      <c r="G7" s="72" t="s">
        <v>91</v>
      </c>
      <c r="H7" s="19"/>
      <c r="I7" s="77" t="s">
        <v>91</v>
      </c>
    </row>
    <row r="8" spans="1:10" ht="68" x14ac:dyDescent="0.2">
      <c r="A8" s="56" t="s">
        <v>92</v>
      </c>
      <c r="B8" s="19"/>
      <c r="C8" s="62" t="s">
        <v>93</v>
      </c>
      <c r="D8" s="19"/>
      <c r="E8" s="67" t="s">
        <v>93</v>
      </c>
      <c r="F8" s="19"/>
      <c r="G8" s="72" t="s">
        <v>94</v>
      </c>
      <c r="H8" s="19"/>
      <c r="I8" s="77" t="s">
        <v>95</v>
      </c>
    </row>
    <row r="9" spans="1:10" ht="7.5" customHeight="1" x14ac:dyDescent="0.2">
      <c r="A9" s="58"/>
      <c r="B9" s="19"/>
      <c r="C9" s="62"/>
      <c r="D9" s="19"/>
      <c r="E9" s="67"/>
      <c r="F9" s="19"/>
      <c r="G9" s="72"/>
      <c r="H9" s="19"/>
      <c r="I9" s="77"/>
    </row>
    <row r="10" spans="1:10" ht="17" x14ac:dyDescent="0.2">
      <c r="A10" s="56" t="s">
        <v>84</v>
      </c>
      <c r="B10" s="19"/>
      <c r="C10" s="63">
        <f>'Pricing tiers'!C13</f>
        <v>0</v>
      </c>
      <c r="D10" s="52"/>
      <c r="E10" s="68">
        <f>'Pricing tiers'!F14</f>
        <v>9.99</v>
      </c>
      <c r="F10" s="52"/>
      <c r="G10" s="73">
        <f>'Pricing tiers'!I14</f>
        <v>29.99</v>
      </c>
      <c r="H10" s="59"/>
      <c r="I10" s="78">
        <f>'Pricing tiers'!L14</f>
        <v>69.989999999999995</v>
      </c>
    </row>
    <row r="11" spans="1:10" ht="17" x14ac:dyDescent="0.2">
      <c r="A11" s="56" t="s">
        <v>85</v>
      </c>
      <c r="B11" s="19"/>
      <c r="C11" s="64">
        <f>'Pricing tiers'!C14</f>
        <v>0</v>
      </c>
      <c r="D11" s="19"/>
      <c r="E11" s="69">
        <f>'Pricing tiers'!F13</f>
        <v>119.88</v>
      </c>
      <c r="F11" s="19"/>
      <c r="G11" s="74">
        <f>'Pricing tiers'!I13</f>
        <v>359.88</v>
      </c>
      <c r="H11" s="53"/>
      <c r="I11" s="79">
        <f>'Pricing tiers'!L13</f>
        <v>839.87999999999988</v>
      </c>
    </row>
    <row r="12" spans="1:10" x14ac:dyDescent="0.2">
      <c r="A12" s="56"/>
      <c r="B12" s="19"/>
      <c r="C12" s="19"/>
      <c r="D12" s="19"/>
      <c r="E12" s="19"/>
      <c r="F12" s="19"/>
      <c r="G12" s="19"/>
      <c r="H12" s="19"/>
      <c r="I12" s="57"/>
    </row>
    <row r="13" spans="1:10" x14ac:dyDescent="0.2">
      <c r="A13" s="56"/>
      <c r="B13" s="19"/>
      <c r="C13" s="19"/>
      <c r="D13" s="19"/>
      <c r="E13" s="19"/>
      <c r="F13" s="19"/>
      <c r="G13" s="54"/>
      <c r="H13" s="19"/>
      <c r="I13" s="57"/>
    </row>
    <row r="14" spans="1:10" x14ac:dyDescent="0.2">
      <c r="A14" s="56"/>
      <c r="B14" s="19"/>
      <c r="C14" s="19"/>
      <c r="D14" s="19"/>
      <c r="E14" s="19"/>
      <c r="F14" s="19"/>
      <c r="G14" s="19"/>
      <c r="H14" s="19"/>
      <c r="I14" s="19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model</vt:lpstr>
      <vt:lpstr>Pricing tiers</vt:lpstr>
      <vt:lpstr>Competitive prices</vt:lpstr>
      <vt:lpstr>Pricing tiers VISUAL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sam contractor</cp:lastModifiedBy>
  <cp:revision/>
  <dcterms:created xsi:type="dcterms:W3CDTF">2018-09-06T23:26:30Z</dcterms:created>
  <dcterms:modified xsi:type="dcterms:W3CDTF">2020-11-01T17:59:34Z</dcterms:modified>
  <cp:category/>
  <cp:contentStatus/>
</cp:coreProperties>
</file>