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joini\Dropbox\Capstone Project\Finance Plan\ROI Analysis\"/>
    </mc:Choice>
  </mc:AlternateContent>
  <xr:revisionPtr revIDLastSave="0" documentId="13_ncr:1_{1EE3F263-46D4-403A-AA98-6EE80098C29A}" xr6:coauthVersionLast="45" xr6:coauthVersionMax="45" xr10:uidLastSave="{00000000-0000-0000-0000-000000000000}"/>
  <bookViews>
    <workbookView xWindow="-120" yWindow="-120" windowWidth="29040" windowHeight="15840" activeTab="1" xr2:uid="{8879CA99-168A-4787-9802-71B7C8999EB8}"/>
  </bookViews>
  <sheets>
    <sheet name="Cap Table" sheetId="1" r:id="rId1"/>
    <sheet name="ROI Analysis" sheetId="2" r:id="rId2"/>
  </sheets>
  <externalReferences>
    <externalReference r:id="rId3"/>
    <externalReference r:id="rId4"/>
    <externalReference r:id="rId5"/>
  </externalReferences>
  <definedNames>
    <definedName name="Holidays">[2]Assumptions!$R$3:$R$36</definedName>
    <definedName name="Sales_BU">[3]Sales!$B$79:$B$90</definedName>
    <definedName name="Sales_Forecast">[3]Sales!$B$79:$O$90</definedName>
    <definedName name="Sales_Month">[3]Sales!$B$79:$O$79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6" i="1" l="1"/>
  <c r="R36" i="1"/>
  <c r="N36" i="1"/>
  <c r="J36" i="1"/>
  <c r="F36" i="1"/>
  <c r="B36" i="1"/>
  <c r="C35" i="1"/>
  <c r="G35" i="1" s="1"/>
  <c r="G34" i="1"/>
  <c r="K34" i="1" s="1"/>
  <c r="C34" i="1"/>
  <c r="G33" i="1"/>
  <c r="K33" i="1" s="1"/>
  <c r="C33" i="1"/>
  <c r="C32" i="1"/>
  <c r="G32" i="1" s="1"/>
  <c r="C31" i="1"/>
  <c r="G31" i="1" s="1"/>
  <c r="G30" i="1"/>
  <c r="K30" i="1" s="1"/>
  <c r="C30" i="1"/>
  <c r="G29" i="1"/>
  <c r="K29" i="1" s="1"/>
  <c r="C29" i="1"/>
  <c r="C28" i="1"/>
  <c r="G28" i="1" s="1"/>
  <c r="G27" i="1"/>
  <c r="K27" i="1" s="1"/>
  <c r="C27" i="1"/>
  <c r="C26" i="1"/>
  <c r="G26" i="1" s="1"/>
  <c r="G25" i="1"/>
  <c r="K25" i="1" s="1"/>
  <c r="C25" i="1"/>
  <c r="C24" i="1"/>
  <c r="G24" i="1" s="1"/>
  <c r="G23" i="1"/>
  <c r="K23" i="1" s="1"/>
  <c r="C23" i="1"/>
  <c r="C22" i="1"/>
  <c r="G22" i="1" s="1"/>
  <c r="K21" i="1"/>
  <c r="G21" i="1"/>
  <c r="V18" i="1"/>
  <c r="R18" i="1"/>
  <c r="N18" i="1"/>
  <c r="J18" i="1"/>
  <c r="F18" i="1"/>
  <c r="B18" i="1"/>
  <c r="G17" i="1"/>
  <c r="K17" i="1" s="1"/>
  <c r="C17" i="1"/>
  <c r="G16" i="1"/>
  <c r="K16" i="1" s="1"/>
  <c r="C16" i="1"/>
  <c r="G15" i="1"/>
  <c r="K15" i="1" s="1"/>
  <c r="C15" i="1"/>
  <c r="C14" i="1"/>
  <c r="G13" i="1"/>
  <c r="K13" i="1" s="1"/>
  <c r="C13" i="1"/>
  <c r="G12" i="1"/>
  <c r="K12" i="1" s="1"/>
  <c r="C12" i="1"/>
  <c r="G11" i="1"/>
  <c r="K11" i="1" s="1"/>
  <c r="C11" i="1"/>
  <c r="C10" i="1"/>
  <c r="C18" i="1" s="1"/>
  <c r="W5" i="1"/>
  <c r="S5" i="1"/>
  <c r="O5" i="1"/>
  <c r="K5" i="1"/>
  <c r="G5" i="1"/>
  <c r="W1" i="1"/>
  <c r="S1" i="1"/>
  <c r="O1" i="1"/>
  <c r="K1" i="1"/>
  <c r="G1" i="1"/>
  <c r="O15" i="1" l="1"/>
  <c r="K14" i="1"/>
  <c r="K24" i="1"/>
  <c r="O29" i="1"/>
  <c r="K10" i="1"/>
  <c r="K18" i="1" s="1"/>
  <c r="O11" i="1"/>
  <c r="O27" i="1"/>
  <c r="K35" i="1"/>
  <c r="O17" i="1"/>
  <c r="K32" i="1"/>
  <c r="K22" i="1"/>
  <c r="G36" i="1"/>
  <c r="O16" i="1"/>
  <c r="O25" i="1"/>
  <c r="K28" i="1"/>
  <c r="O30" i="1"/>
  <c r="O33" i="1"/>
  <c r="O34" i="1"/>
  <c r="O13" i="1"/>
  <c r="C38" i="1"/>
  <c r="D25" i="1" s="1"/>
  <c r="C40" i="1"/>
  <c r="O12" i="1"/>
  <c r="O23" i="1"/>
  <c r="K26" i="1"/>
  <c r="K31" i="1"/>
  <c r="C36" i="1"/>
  <c r="G10" i="1"/>
  <c r="G14" i="1"/>
  <c r="O21" i="1"/>
  <c r="D17" i="1" l="1"/>
  <c r="D13" i="1"/>
  <c r="D22" i="1"/>
  <c r="S12" i="1"/>
  <c r="D14" i="1"/>
  <c r="S34" i="1"/>
  <c r="S33" i="1"/>
  <c r="S16" i="1"/>
  <c r="O22" i="1"/>
  <c r="D27" i="1"/>
  <c r="S29" i="1"/>
  <c r="O26" i="1"/>
  <c r="O28" i="1"/>
  <c r="D23" i="1"/>
  <c r="S27" i="1"/>
  <c r="D31" i="1"/>
  <c r="D26" i="1"/>
  <c r="G18" i="1"/>
  <c r="O31" i="1"/>
  <c r="S23" i="1"/>
  <c r="S30" i="1"/>
  <c r="S25" i="1"/>
  <c r="S17" i="1"/>
  <c r="O35" i="1"/>
  <c r="S11" i="1"/>
  <c r="O10" i="1"/>
  <c r="S15" i="1"/>
  <c r="O14" i="1"/>
  <c r="S21" i="1"/>
  <c r="C42" i="1"/>
  <c r="C44" i="1" s="1"/>
  <c r="D33" i="1"/>
  <c r="D29" i="1"/>
  <c r="D16" i="1"/>
  <c r="D21" i="1"/>
  <c r="D15" i="1"/>
  <c r="D11" i="1"/>
  <c r="K40" i="1"/>
  <c r="D32" i="1"/>
  <c r="D34" i="1"/>
  <c r="D35" i="1"/>
  <c r="D28" i="1"/>
  <c r="D24" i="1"/>
  <c r="S13" i="1"/>
  <c r="K36" i="1"/>
  <c r="K38" i="1" s="1"/>
  <c r="D12" i="1"/>
  <c r="O32" i="1"/>
  <c r="D30" i="1"/>
  <c r="O24" i="1"/>
  <c r="K42" i="1" l="1"/>
  <c r="K44" i="1" s="1"/>
  <c r="L15" i="1"/>
  <c r="L11" i="1"/>
  <c r="L10" i="1" s="1"/>
  <c r="L18" i="1" s="1"/>
  <c r="L17" i="1"/>
  <c r="L25" i="1"/>
  <c r="L30" i="1"/>
  <c r="L23" i="1"/>
  <c r="L21" i="1"/>
  <c r="L36" i="1" s="1"/>
  <c r="L13" i="1"/>
  <c r="L29" i="1"/>
  <c r="L16" i="1"/>
  <c r="L34" i="1"/>
  <c r="L12" i="1"/>
  <c r="L27" i="1"/>
  <c r="L33" i="1"/>
  <c r="L24" i="1"/>
  <c r="L22" i="1"/>
  <c r="L14" i="1"/>
  <c r="L28" i="1"/>
  <c r="L31" i="1"/>
  <c r="L32" i="1"/>
  <c r="L26" i="1"/>
  <c r="L35" i="1"/>
  <c r="S24" i="1"/>
  <c r="W15" i="1"/>
  <c r="S14" i="1"/>
  <c r="G40" i="1"/>
  <c r="G38" i="1"/>
  <c r="W29" i="1"/>
  <c r="O36" i="1"/>
  <c r="S35" i="1"/>
  <c r="W25" i="1"/>
  <c r="W23" i="1"/>
  <c r="S26" i="1"/>
  <c r="W16" i="1"/>
  <c r="W34" i="1"/>
  <c r="D10" i="1"/>
  <c r="D18" i="1" s="1"/>
  <c r="W27" i="1"/>
  <c r="W12" i="1"/>
  <c r="D36" i="1"/>
  <c r="O18" i="1"/>
  <c r="S32" i="1"/>
  <c r="W13" i="1"/>
  <c r="W21" i="1"/>
  <c r="W11" i="1"/>
  <c r="S10" i="1"/>
  <c r="W17" i="1"/>
  <c r="W30" i="1"/>
  <c r="S31" i="1"/>
  <c r="S28" i="1"/>
  <c r="S22" i="1"/>
  <c r="S36" i="1" s="1"/>
  <c r="W33" i="1"/>
  <c r="AA30" i="1" l="1"/>
  <c r="AA23" i="1"/>
  <c r="W35" i="1"/>
  <c r="AA15" i="1"/>
  <c r="W14" i="1"/>
  <c r="L38" i="1"/>
  <c r="O38" i="1"/>
  <c r="O40" i="1"/>
  <c r="AA33" i="1"/>
  <c r="W28" i="1"/>
  <c r="S18" i="1"/>
  <c r="W32" i="1"/>
  <c r="AA12" i="1"/>
  <c r="D38" i="1"/>
  <c r="AA16" i="1"/>
  <c r="H21" i="1"/>
  <c r="G42" i="1"/>
  <c r="G44" i="1" s="1"/>
  <c r="H31" i="1"/>
  <c r="H13" i="1"/>
  <c r="H23" i="1"/>
  <c r="H16" i="1"/>
  <c r="H22" i="1"/>
  <c r="H17" i="1"/>
  <c r="H25" i="1"/>
  <c r="H30" i="1"/>
  <c r="H11" i="1"/>
  <c r="H10" i="1" s="1"/>
  <c r="H29" i="1"/>
  <c r="H26" i="1"/>
  <c r="H24" i="1"/>
  <c r="H32" i="1"/>
  <c r="H27" i="1"/>
  <c r="H33" i="1"/>
  <c r="H35" i="1"/>
  <c r="H28" i="1"/>
  <c r="H15" i="1"/>
  <c r="H12" i="1"/>
  <c r="H34" i="1"/>
  <c r="H14" i="1"/>
  <c r="AA13" i="1"/>
  <c r="AA27" i="1"/>
  <c r="AA29" i="1"/>
  <c r="W22" i="1"/>
  <c r="W31" i="1"/>
  <c r="AA17" i="1"/>
  <c r="AA11" i="1"/>
  <c r="AA10" i="1" s="1"/>
  <c r="W10" i="1"/>
  <c r="W36" i="1"/>
  <c r="AA21" i="1"/>
  <c r="AA34" i="1"/>
  <c r="W26" i="1"/>
  <c r="AA25" i="1"/>
  <c r="W24" i="1"/>
  <c r="AA32" i="1" l="1"/>
  <c r="O42" i="1"/>
  <c r="O44" i="1" s="1"/>
  <c r="P12" i="1"/>
  <c r="P29" i="1"/>
  <c r="P27" i="1"/>
  <c r="P16" i="1"/>
  <c r="P33" i="1"/>
  <c r="P30" i="1"/>
  <c r="P17" i="1"/>
  <c r="P15" i="1"/>
  <c r="P13" i="1"/>
  <c r="P23" i="1"/>
  <c r="P21" i="1"/>
  <c r="P11" i="1"/>
  <c r="P34" i="1"/>
  <c r="P25" i="1"/>
  <c r="P32" i="1"/>
  <c r="P24" i="1"/>
  <c r="P26" i="1"/>
  <c r="P22" i="1"/>
  <c r="P35" i="1"/>
  <c r="P28" i="1"/>
  <c r="P14" i="1"/>
  <c r="P31" i="1"/>
  <c r="AA14" i="1"/>
  <c r="AA28" i="1"/>
  <c r="AA22" i="1"/>
  <c r="W18" i="1"/>
  <c r="H36" i="1"/>
  <c r="S40" i="1"/>
  <c r="S38" i="1"/>
  <c r="H18" i="1"/>
  <c r="AA24" i="1"/>
  <c r="AA36" i="1" s="1"/>
  <c r="AA26" i="1"/>
  <c r="AA18" i="1"/>
  <c r="AA31" i="1"/>
  <c r="AA35" i="1"/>
  <c r="H38" i="1" l="1"/>
  <c r="P10" i="1"/>
  <c r="P18" i="1" s="1"/>
  <c r="AA38" i="1"/>
  <c r="S42" i="1"/>
  <c r="S44" i="1" s="1"/>
  <c r="T12" i="1"/>
  <c r="T15" i="1"/>
  <c r="T23" i="1"/>
  <c r="T21" i="1"/>
  <c r="T30" i="1"/>
  <c r="T33" i="1"/>
  <c r="T27" i="1"/>
  <c r="T13" i="1"/>
  <c r="T11" i="1"/>
  <c r="T25" i="1"/>
  <c r="T34" i="1"/>
  <c r="T29" i="1"/>
  <c r="T16" i="1"/>
  <c r="T17" i="1"/>
  <c r="T14" i="1"/>
  <c r="T28" i="1"/>
  <c r="T32" i="1"/>
  <c r="T22" i="1"/>
  <c r="T35" i="1"/>
  <c r="T31" i="1"/>
  <c r="T26" i="1"/>
  <c r="T24" i="1"/>
  <c r="AB14" i="1"/>
  <c r="P36" i="1"/>
  <c r="W40" i="1"/>
  <c r="W38" i="1"/>
  <c r="T36" i="1" l="1"/>
  <c r="W42" i="1"/>
  <c r="X15" i="1"/>
  <c r="AB15" i="1" s="1"/>
  <c r="X16" i="1"/>
  <c r="AB16" i="1" s="1"/>
  <c r="X30" i="1"/>
  <c r="AB30" i="1" s="1"/>
  <c r="X12" i="1"/>
  <c r="AB12" i="1" s="1"/>
  <c r="X13" i="1"/>
  <c r="AB13" i="1" s="1"/>
  <c r="X29" i="1"/>
  <c r="AB29" i="1" s="1"/>
  <c r="X21" i="1"/>
  <c r="X23" i="1"/>
  <c r="AB23" i="1" s="1"/>
  <c r="X27" i="1"/>
  <c r="AB27" i="1" s="1"/>
  <c r="X17" i="1"/>
  <c r="AB17" i="1" s="1"/>
  <c r="X25" i="1"/>
  <c r="AB25" i="1" s="1"/>
  <c r="X33" i="1"/>
  <c r="AB33" i="1" s="1"/>
  <c r="X11" i="1"/>
  <c r="X34" i="1"/>
  <c r="AB34" i="1" s="1"/>
  <c r="X32" i="1"/>
  <c r="AB32" i="1" s="1"/>
  <c r="X22" i="1"/>
  <c r="AB22" i="1" s="1"/>
  <c r="X24" i="1"/>
  <c r="AB24" i="1" s="1"/>
  <c r="X35" i="1"/>
  <c r="AB35" i="1" s="1"/>
  <c r="X28" i="1"/>
  <c r="AB28" i="1" s="1"/>
  <c r="X26" i="1"/>
  <c r="AB26" i="1" s="1"/>
  <c r="X31" i="1"/>
  <c r="AB31" i="1" s="1"/>
  <c r="X14" i="1"/>
  <c r="P38" i="1"/>
  <c r="T10" i="1"/>
  <c r="T18" i="1" s="1"/>
  <c r="T38" i="1" s="1"/>
  <c r="AB11" i="1" l="1"/>
  <c r="AB10" i="1" s="1"/>
  <c r="AB18" i="1" s="1"/>
  <c r="X10" i="1"/>
  <c r="X18" i="1" s="1"/>
  <c r="W44" i="1"/>
  <c r="AA6" i="1"/>
  <c r="AB21" i="1"/>
  <c r="AB36" i="1" s="1"/>
  <c r="X36" i="1"/>
  <c r="AD35" i="1" l="1"/>
  <c r="AD31" i="1"/>
  <c r="AD21" i="1"/>
  <c r="AD30" i="1"/>
  <c r="AD27" i="1"/>
  <c r="AD23" i="1"/>
  <c r="AD13" i="1"/>
  <c r="AD32" i="1"/>
  <c r="AD28" i="1"/>
  <c r="AD26" i="1"/>
  <c r="AD24" i="1"/>
  <c r="AD22" i="1"/>
  <c r="AD34" i="1"/>
  <c r="AD25" i="1"/>
  <c r="AD12" i="1"/>
  <c r="AD33" i="1"/>
  <c r="AD29" i="1"/>
  <c r="AD16" i="1"/>
  <c r="AD15" i="1"/>
  <c r="AD11" i="1"/>
  <c r="AD17" i="1"/>
  <c r="X38" i="1"/>
  <c r="AB38" i="1"/>
  <c r="AF9" i="1" l="1"/>
  <c r="AF15" i="1"/>
  <c r="AF18" i="1"/>
  <c r="AF12" i="1"/>
  <c r="AF22" i="1"/>
  <c r="AG22" i="1"/>
  <c r="AH22" i="1"/>
  <c r="AH25" i="1"/>
  <c r="AG25" i="1"/>
  <c r="AF25" i="1"/>
  <c r="P4" i="2" s="1"/>
  <c r="AF26" i="1"/>
  <c r="P3" i="2" s="1"/>
  <c r="AH26" i="1"/>
  <c r="AG26" i="1"/>
  <c r="AH23" i="1"/>
  <c r="AG23" i="1"/>
  <c r="AF23" i="1"/>
  <c r="P5" i="2" s="1"/>
  <c r="AF24" i="1"/>
  <c r="AG24" i="1"/>
  <c r="AH24" i="1"/>
  <c r="A5" i="2" l="1"/>
  <c r="A3" i="2"/>
  <c r="AH27" i="1"/>
  <c r="A4" i="2"/>
  <c r="AG27" i="1"/>
  <c r="N7" i="2"/>
  <c r="P6" i="2"/>
  <c r="P2" i="2"/>
  <c r="AF27" i="1"/>
  <c r="N6" i="2" s="1"/>
  <c r="Q5" i="2" s="1"/>
  <c r="Q2" i="2" l="1"/>
  <c r="A2" i="2"/>
  <c r="Q3" i="2"/>
  <c r="Q6" i="2"/>
  <c r="A6" i="2"/>
  <c r="Q4" i="2"/>
  <c r="B2" i="2" l="1"/>
  <c r="B4" i="2"/>
  <c r="E2001" i="2" l="1"/>
  <c r="E1997" i="2"/>
  <c r="E1993" i="2"/>
  <c r="E1989" i="2"/>
  <c r="E1985" i="2"/>
  <c r="E1981" i="2"/>
  <c r="E1977" i="2"/>
  <c r="E1973" i="2"/>
  <c r="E1969" i="2"/>
  <c r="E1965" i="2"/>
  <c r="E1961" i="2"/>
  <c r="E1957" i="2"/>
  <c r="E1953" i="2"/>
  <c r="E1949" i="2"/>
  <c r="E1945" i="2"/>
  <c r="E1941" i="2"/>
  <c r="E1937" i="2"/>
  <c r="E1933" i="2"/>
  <c r="E1929" i="2"/>
  <c r="E1925" i="2"/>
  <c r="E1921" i="2"/>
  <c r="E1917" i="2"/>
  <c r="E1913" i="2"/>
  <c r="E1909" i="2"/>
  <c r="E1905" i="2"/>
  <c r="E1901" i="2"/>
  <c r="E1897" i="2"/>
  <c r="E1893" i="2"/>
  <c r="E1889" i="2"/>
  <c r="E1885" i="2"/>
  <c r="E1881" i="2"/>
  <c r="E1877" i="2"/>
  <c r="E1873" i="2"/>
  <c r="E1869" i="2"/>
  <c r="E1865" i="2"/>
  <c r="E1861" i="2"/>
  <c r="E1857" i="2"/>
  <c r="E1853" i="2"/>
  <c r="E1849" i="2"/>
  <c r="E1845" i="2"/>
  <c r="E1841" i="2"/>
  <c r="E1837" i="2"/>
  <c r="E1833" i="2"/>
  <c r="E1829" i="2"/>
  <c r="E1825" i="2"/>
  <c r="E1821" i="2"/>
  <c r="E1817" i="2"/>
  <c r="E1813" i="2"/>
  <c r="E1809" i="2"/>
  <c r="E1805" i="2"/>
  <c r="E1801" i="2"/>
  <c r="E1797" i="2"/>
  <c r="E1793" i="2"/>
  <c r="E1789" i="2"/>
  <c r="E1785" i="2"/>
  <c r="E1781" i="2"/>
  <c r="E1777" i="2"/>
  <c r="E1773" i="2"/>
  <c r="E1769" i="2"/>
  <c r="E1765" i="2"/>
  <c r="E1761" i="2"/>
  <c r="E1757" i="2"/>
  <c r="E1753" i="2"/>
  <c r="E1749" i="2"/>
  <c r="E1745" i="2"/>
  <c r="E1741" i="2"/>
  <c r="E1737" i="2"/>
  <c r="E1733" i="2"/>
  <c r="E1729" i="2"/>
  <c r="E1725" i="2"/>
  <c r="E1721" i="2"/>
  <c r="E1717" i="2"/>
  <c r="E2000" i="2"/>
  <c r="E1996" i="2"/>
  <c r="E1992" i="2"/>
  <c r="E1988" i="2"/>
  <c r="E1984" i="2"/>
  <c r="E1980" i="2"/>
  <c r="E1976" i="2"/>
  <c r="E1972" i="2"/>
  <c r="E1968" i="2"/>
  <c r="E1964" i="2"/>
  <c r="E1960" i="2"/>
  <c r="E1956" i="2"/>
  <c r="E1952" i="2"/>
  <c r="E1948" i="2"/>
  <c r="E1944" i="2"/>
  <c r="E1940" i="2"/>
  <c r="E1936" i="2"/>
  <c r="E1932" i="2"/>
  <c r="E1928" i="2"/>
  <c r="E1924" i="2"/>
  <c r="E1920" i="2"/>
  <c r="E1916" i="2"/>
  <c r="E1912" i="2"/>
  <c r="E1908" i="2"/>
  <c r="E1904" i="2"/>
  <c r="E1900" i="2"/>
  <c r="E1896" i="2"/>
  <c r="E1892" i="2"/>
  <c r="E1888" i="2"/>
  <c r="E1884" i="2"/>
  <c r="E1880" i="2"/>
  <c r="E1876" i="2"/>
  <c r="E1872" i="2"/>
  <c r="E1868" i="2"/>
  <c r="E1864" i="2"/>
  <c r="E1860" i="2"/>
  <c r="E1856" i="2"/>
  <c r="E1852" i="2"/>
  <c r="E1848" i="2"/>
  <c r="E1844" i="2"/>
  <c r="E1840" i="2"/>
  <c r="E1836" i="2"/>
  <c r="E1832" i="2"/>
  <c r="E1828" i="2"/>
  <c r="E1824" i="2"/>
  <c r="E1820" i="2"/>
  <c r="E1816" i="2"/>
  <c r="E1812" i="2"/>
  <c r="E1808" i="2"/>
  <c r="E1804" i="2"/>
  <c r="E1800" i="2"/>
  <c r="E1796" i="2"/>
  <c r="E1792" i="2"/>
  <c r="E1788" i="2"/>
  <c r="E1784" i="2"/>
  <c r="E1780" i="2"/>
  <c r="E1776" i="2"/>
  <c r="E1772" i="2"/>
  <c r="E1768" i="2"/>
  <c r="E1764" i="2"/>
  <c r="E1760" i="2"/>
  <c r="E1756" i="2"/>
  <c r="E1752" i="2"/>
  <c r="E1748" i="2"/>
  <c r="E1744" i="2"/>
  <c r="E1740" i="2"/>
  <c r="E1736" i="2"/>
  <c r="E1732" i="2"/>
  <c r="E1728" i="2"/>
  <c r="E1724" i="2"/>
  <c r="E1720" i="2"/>
  <c r="E1716" i="2"/>
  <c r="E1712" i="2"/>
  <c r="E1708" i="2"/>
  <c r="E1704" i="2"/>
  <c r="E1700" i="2"/>
  <c r="E1696" i="2"/>
  <c r="E1692" i="2"/>
  <c r="E1688" i="2"/>
  <c r="E1684" i="2"/>
  <c r="E1680" i="2"/>
  <c r="E1676" i="2"/>
  <c r="E1672" i="2"/>
  <c r="E1668" i="2"/>
  <c r="E1664" i="2"/>
  <c r="E1999" i="2"/>
  <c r="E1995" i="2"/>
  <c r="E1991" i="2"/>
  <c r="E1987" i="2"/>
  <c r="E1983" i="2"/>
  <c r="E1979" i="2"/>
  <c r="E1975" i="2"/>
  <c r="E1971" i="2"/>
  <c r="E1967" i="2"/>
  <c r="E1963" i="2"/>
  <c r="E1959" i="2"/>
  <c r="E1955" i="2"/>
  <c r="E1951" i="2"/>
  <c r="E1947" i="2"/>
  <c r="E1943" i="2"/>
  <c r="E1939" i="2"/>
  <c r="E1935" i="2"/>
  <c r="E1931" i="2"/>
  <c r="E1927" i="2"/>
  <c r="E1923" i="2"/>
  <c r="E1919" i="2"/>
  <c r="E1915" i="2"/>
  <c r="E1911" i="2"/>
  <c r="E1907" i="2"/>
  <c r="E1903" i="2"/>
  <c r="E1899" i="2"/>
  <c r="E1895" i="2"/>
  <c r="E1891" i="2"/>
  <c r="E1887" i="2"/>
  <c r="E1883" i="2"/>
  <c r="E1879" i="2"/>
  <c r="E1875" i="2"/>
  <c r="E1871" i="2"/>
  <c r="E1867" i="2"/>
  <c r="E1863" i="2"/>
  <c r="E1859" i="2"/>
  <c r="E1855" i="2"/>
  <c r="E1851" i="2"/>
  <c r="E1847" i="2"/>
  <c r="E1843" i="2"/>
  <c r="E1839" i="2"/>
  <c r="E1835" i="2"/>
  <c r="E1831" i="2"/>
  <c r="E1827" i="2"/>
  <c r="E1823" i="2"/>
  <c r="E1819" i="2"/>
  <c r="E1815" i="2"/>
  <c r="E1811" i="2"/>
  <c r="E1807" i="2"/>
  <c r="E1803" i="2"/>
  <c r="E1799" i="2"/>
  <c r="E1795" i="2"/>
  <c r="E1791" i="2"/>
  <c r="E1787" i="2"/>
  <c r="E1783" i="2"/>
  <c r="E1779" i="2"/>
  <c r="E1775" i="2"/>
  <c r="E1771" i="2"/>
  <c r="E1767" i="2"/>
  <c r="E1763" i="2"/>
  <c r="E1759" i="2"/>
  <c r="E1755" i="2"/>
  <c r="E1751" i="2"/>
  <c r="E1747" i="2"/>
  <c r="E1743" i="2"/>
  <c r="E1739" i="2"/>
  <c r="E1735" i="2"/>
  <c r="E1731" i="2"/>
  <c r="E1727" i="2"/>
  <c r="E1723" i="2"/>
  <c r="E1719" i="2"/>
  <c r="E1715" i="2"/>
  <c r="E1711" i="2"/>
  <c r="E1707" i="2"/>
  <c r="E1703" i="2"/>
  <c r="E1699" i="2"/>
  <c r="E1695" i="2"/>
  <c r="E1691" i="2"/>
  <c r="E1687" i="2"/>
  <c r="E1683" i="2"/>
  <c r="E1679" i="2"/>
  <c r="E1675" i="2"/>
  <c r="E1671" i="2"/>
  <c r="E1667" i="2"/>
  <c r="E1663" i="2"/>
  <c r="E1998" i="2"/>
  <c r="E1982" i="2"/>
  <c r="E1966" i="2"/>
  <c r="E1950" i="2"/>
  <c r="E1934" i="2"/>
  <c r="E1918" i="2"/>
  <c r="E1902" i="2"/>
  <c r="E1886" i="2"/>
  <c r="E1870" i="2"/>
  <c r="E1854" i="2"/>
  <c r="E1838" i="2"/>
  <c r="E1822" i="2"/>
  <c r="E1806" i="2"/>
  <c r="E1790" i="2"/>
  <c r="E1774" i="2"/>
  <c r="E1758" i="2"/>
  <c r="E1742" i="2"/>
  <c r="E1726" i="2"/>
  <c r="E1713" i="2"/>
  <c r="E1705" i="2"/>
  <c r="E1697" i="2"/>
  <c r="E1689" i="2"/>
  <c r="E1681" i="2"/>
  <c r="E1673" i="2"/>
  <c r="E1665" i="2"/>
  <c r="E1659" i="2"/>
  <c r="E1655" i="2"/>
  <c r="E1651" i="2"/>
  <c r="E1647" i="2"/>
  <c r="E1643" i="2"/>
  <c r="E1639" i="2"/>
  <c r="E1635" i="2"/>
  <c r="E1631" i="2"/>
  <c r="E1627" i="2"/>
  <c r="E1623" i="2"/>
  <c r="E1619" i="2"/>
  <c r="E1615" i="2"/>
  <c r="E1611" i="2"/>
  <c r="E1607" i="2"/>
  <c r="E1603" i="2"/>
  <c r="E1599" i="2"/>
  <c r="E1595" i="2"/>
  <c r="E1591" i="2"/>
  <c r="E1587" i="2"/>
  <c r="E1583" i="2"/>
  <c r="E1579" i="2"/>
  <c r="E1575" i="2"/>
  <c r="E1571" i="2"/>
  <c r="E1567" i="2"/>
  <c r="E1563" i="2"/>
  <c r="E1559" i="2"/>
  <c r="E1555" i="2"/>
  <c r="E1551" i="2"/>
  <c r="E1547" i="2"/>
  <c r="E1543" i="2"/>
  <c r="E1539" i="2"/>
  <c r="E1535" i="2"/>
  <c r="E1531" i="2"/>
  <c r="E1527" i="2"/>
  <c r="E1523" i="2"/>
  <c r="E1519" i="2"/>
  <c r="E1515" i="2"/>
  <c r="E1511" i="2"/>
  <c r="E1507" i="2"/>
  <c r="E1503" i="2"/>
  <c r="E1499" i="2"/>
  <c r="E1495" i="2"/>
  <c r="E1491" i="2"/>
  <c r="E1487" i="2"/>
  <c r="E1483" i="2"/>
  <c r="E1479" i="2"/>
  <c r="E1475" i="2"/>
  <c r="E1471" i="2"/>
  <c r="E1467" i="2"/>
  <c r="E1463" i="2"/>
  <c r="E1459" i="2"/>
  <c r="E1455" i="2"/>
  <c r="E1451" i="2"/>
  <c r="E1447" i="2"/>
  <c r="E1443" i="2"/>
  <c r="E1439" i="2"/>
  <c r="E1435" i="2"/>
  <c r="E1431" i="2"/>
  <c r="E1427" i="2"/>
  <c r="E1423" i="2"/>
  <c r="E1994" i="2"/>
  <c r="E1978" i="2"/>
  <c r="E1962" i="2"/>
  <c r="E1946" i="2"/>
  <c r="E1930" i="2"/>
  <c r="E1914" i="2"/>
  <c r="E1898" i="2"/>
  <c r="E1882" i="2"/>
  <c r="E1866" i="2"/>
  <c r="E1850" i="2"/>
  <c r="E1834" i="2"/>
  <c r="E1818" i="2"/>
  <c r="E1802" i="2"/>
  <c r="E1786" i="2"/>
  <c r="E1770" i="2"/>
  <c r="E1754" i="2"/>
  <c r="E1738" i="2"/>
  <c r="E1722" i="2"/>
  <c r="E1710" i="2"/>
  <c r="E1702" i="2"/>
  <c r="E1694" i="2"/>
  <c r="E1686" i="2"/>
  <c r="E1678" i="2"/>
  <c r="E1670" i="2"/>
  <c r="E1662" i="2"/>
  <c r="E1658" i="2"/>
  <c r="E1654" i="2"/>
  <c r="E1650" i="2"/>
  <c r="E1646" i="2"/>
  <c r="E1642" i="2"/>
  <c r="E1638" i="2"/>
  <c r="E1634" i="2"/>
  <c r="E1630" i="2"/>
  <c r="E1626" i="2"/>
  <c r="E1622" i="2"/>
  <c r="E1618" i="2"/>
  <c r="E1614" i="2"/>
  <c r="E1610" i="2"/>
  <c r="E1606" i="2"/>
  <c r="E1602" i="2"/>
  <c r="E1598" i="2"/>
  <c r="E1594" i="2"/>
  <c r="E1590" i="2"/>
  <c r="E1586" i="2"/>
  <c r="E1582" i="2"/>
  <c r="E1578" i="2"/>
  <c r="E1574" i="2"/>
  <c r="E1570" i="2"/>
  <c r="E1566" i="2"/>
  <c r="E1562" i="2"/>
  <c r="E1558" i="2"/>
  <c r="E1554" i="2"/>
  <c r="E1550" i="2"/>
  <c r="E1546" i="2"/>
  <c r="E1542" i="2"/>
  <c r="E1538" i="2"/>
  <c r="E1534" i="2"/>
  <c r="E1530" i="2"/>
  <c r="E1526" i="2"/>
  <c r="E1522" i="2"/>
  <c r="E1518" i="2"/>
  <c r="E1514" i="2"/>
  <c r="E1510" i="2"/>
  <c r="E1506" i="2"/>
  <c r="E1502" i="2"/>
  <c r="E1498" i="2"/>
  <c r="E1494" i="2"/>
  <c r="E1490" i="2"/>
  <c r="E1486" i="2"/>
  <c r="E1482" i="2"/>
  <c r="E1478" i="2"/>
  <c r="E1474" i="2"/>
  <c r="E1470" i="2"/>
  <c r="E1466" i="2"/>
  <c r="E1462" i="2"/>
  <c r="E1458" i="2"/>
  <c r="E1454" i="2"/>
  <c r="E1450" i="2"/>
  <c r="E1446" i="2"/>
  <c r="E1442" i="2"/>
  <c r="E1438" i="2"/>
  <c r="E1434" i="2"/>
  <c r="E1430" i="2"/>
  <c r="E1426" i="2"/>
  <c r="E1422" i="2"/>
  <c r="E1418" i="2"/>
  <c r="E1990" i="2"/>
  <c r="E1974" i="2"/>
  <c r="E1958" i="2"/>
  <c r="E1942" i="2"/>
  <c r="E1926" i="2"/>
  <c r="E1910" i="2"/>
  <c r="E1894" i="2"/>
  <c r="E1878" i="2"/>
  <c r="E1862" i="2"/>
  <c r="E1846" i="2"/>
  <c r="E1830" i="2"/>
  <c r="E1814" i="2"/>
  <c r="E1798" i="2"/>
  <c r="E1782" i="2"/>
  <c r="E1766" i="2"/>
  <c r="E1750" i="2"/>
  <c r="E1734" i="2"/>
  <c r="E1718" i="2"/>
  <c r="E1709" i="2"/>
  <c r="E1701" i="2"/>
  <c r="E1693" i="2"/>
  <c r="E1685" i="2"/>
  <c r="E1677" i="2"/>
  <c r="E1669" i="2"/>
  <c r="E1661" i="2"/>
  <c r="E1657" i="2"/>
  <c r="E1653" i="2"/>
  <c r="E1649" i="2"/>
  <c r="E1645" i="2"/>
  <c r="E1641" i="2"/>
  <c r="E1637" i="2"/>
  <c r="E1633" i="2"/>
  <c r="E1629" i="2"/>
  <c r="E1625" i="2"/>
  <c r="E1621" i="2"/>
  <c r="E1617" i="2"/>
  <c r="E1613" i="2"/>
  <c r="E1609" i="2"/>
  <c r="E1605" i="2"/>
  <c r="E1601" i="2"/>
  <c r="E1597" i="2"/>
  <c r="E1593" i="2"/>
  <c r="E1589" i="2"/>
  <c r="E1585" i="2"/>
  <c r="E1581" i="2"/>
  <c r="E1577" i="2"/>
  <c r="E1573" i="2"/>
  <c r="E1569" i="2"/>
  <c r="E1565" i="2"/>
  <c r="E1561" i="2"/>
  <c r="E1557" i="2"/>
  <c r="E1553" i="2"/>
  <c r="E1549" i="2"/>
  <c r="E1545" i="2"/>
  <c r="E1541" i="2"/>
  <c r="E1537" i="2"/>
  <c r="E1533" i="2"/>
  <c r="E1529" i="2"/>
  <c r="E1525" i="2"/>
  <c r="E1521" i="2"/>
  <c r="E1517" i="2"/>
  <c r="E1513" i="2"/>
  <c r="E1509" i="2"/>
  <c r="E1505" i="2"/>
  <c r="E1501" i="2"/>
  <c r="E1497" i="2"/>
  <c r="E1493" i="2"/>
  <c r="E1489" i="2"/>
  <c r="E1485" i="2"/>
  <c r="E1481" i="2"/>
  <c r="E1477" i="2"/>
  <c r="E1473" i="2"/>
  <c r="E1469" i="2"/>
  <c r="E1465" i="2"/>
  <c r="E1461" i="2"/>
  <c r="E1457" i="2"/>
  <c r="E1453" i="2"/>
  <c r="E1449" i="2"/>
  <c r="E1445" i="2"/>
  <c r="E1441" i="2"/>
  <c r="E1437" i="2"/>
  <c r="E1986" i="2"/>
  <c r="E1922" i="2"/>
  <c r="E1858" i="2"/>
  <c r="E1794" i="2"/>
  <c r="E1730" i="2"/>
  <c r="E1690" i="2"/>
  <c r="E1660" i="2"/>
  <c r="E1644" i="2"/>
  <c r="E1628" i="2"/>
  <c r="E1612" i="2"/>
  <c r="E1596" i="2"/>
  <c r="E1580" i="2"/>
  <c r="E1564" i="2"/>
  <c r="E1548" i="2"/>
  <c r="E1532" i="2"/>
  <c r="E1516" i="2"/>
  <c r="E1500" i="2"/>
  <c r="E1484" i="2"/>
  <c r="E1468" i="2"/>
  <c r="E1452" i="2"/>
  <c r="E1436" i="2"/>
  <c r="E1428" i="2"/>
  <c r="E1420" i="2"/>
  <c r="E1415" i="2"/>
  <c r="E1411" i="2"/>
  <c r="E1407" i="2"/>
  <c r="E1403" i="2"/>
  <c r="E1399" i="2"/>
  <c r="E1395" i="2"/>
  <c r="E1391" i="2"/>
  <c r="E1387" i="2"/>
  <c r="E1383" i="2"/>
  <c r="E1379" i="2"/>
  <c r="E1375" i="2"/>
  <c r="E1371" i="2"/>
  <c r="E1367" i="2"/>
  <c r="E1363" i="2"/>
  <c r="E1359" i="2"/>
  <c r="E1355" i="2"/>
  <c r="E1351" i="2"/>
  <c r="E1347" i="2"/>
  <c r="E1343" i="2"/>
  <c r="E1339" i="2"/>
  <c r="E1335" i="2"/>
  <c r="E1331" i="2"/>
  <c r="E1327" i="2"/>
  <c r="E1323" i="2"/>
  <c r="E1319" i="2"/>
  <c r="E1315" i="2"/>
  <c r="E1311" i="2"/>
  <c r="E1307" i="2"/>
  <c r="E1303" i="2"/>
  <c r="E1299" i="2"/>
  <c r="E1295" i="2"/>
  <c r="E1291" i="2"/>
  <c r="E1287" i="2"/>
  <c r="E1283" i="2"/>
  <c r="E1279" i="2"/>
  <c r="E1275" i="2"/>
  <c r="E1271" i="2"/>
  <c r="E1267" i="2"/>
  <c r="E1263" i="2"/>
  <c r="E1259" i="2"/>
  <c r="E1255" i="2"/>
  <c r="E1251" i="2"/>
  <c r="E1247" i="2"/>
  <c r="E1243" i="2"/>
  <c r="E1239" i="2"/>
  <c r="E1235" i="2"/>
  <c r="E1231" i="2"/>
  <c r="E1227" i="2"/>
  <c r="E1223" i="2"/>
  <c r="E1219" i="2"/>
  <c r="E1215" i="2"/>
  <c r="E1211" i="2"/>
  <c r="E1207" i="2"/>
  <c r="E1203" i="2"/>
  <c r="E1199" i="2"/>
  <c r="E1195" i="2"/>
  <c r="E1191" i="2"/>
  <c r="E1187" i="2"/>
  <c r="E1183" i="2"/>
  <c r="E1179" i="2"/>
  <c r="E1175" i="2"/>
  <c r="E1171" i="2"/>
  <c r="E1167" i="2"/>
  <c r="E1163" i="2"/>
  <c r="E1159" i="2"/>
  <c r="E1155" i="2"/>
  <c r="E1151" i="2"/>
  <c r="E1147" i="2"/>
  <c r="E1143" i="2"/>
  <c r="E1139" i="2"/>
  <c r="E1135" i="2"/>
  <c r="E1131" i="2"/>
  <c r="E1127" i="2"/>
  <c r="E1123" i="2"/>
  <c r="E1119" i="2"/>
  <c r="E1115" i="2"/>
  <c r="E1111" i="2"/>
  <c r="E1107" i="2"/>
  <c r="E1103" i="2"/>
  <c r="E1099" i="2"/>
  <c r="E1095" i="2"/>
  <c r="E1091" i="2"/>
  <c r="E1087" i="2"/>
  <c r="E1083" i="2"/>
  <c r="E1079" i="2"/>
  <c r="E1075" i="2"/>
  <c r="E1071" i="2"/>
  <c r="E1067" i="2"/>
  <c r="E1063" i="2"/>
  <c r="E1059" i="2"/>
  <c r="E1055" i="2"/>
  <c r="E1051" i="2"/>
  <c r="E1047" i="2"/>
  <c r="E1043" i="2"/>
  <c r="E1039" i="2"/>
  <c r="E1035" i="2"/>
  <c r="E1031" i="2"/>
  <c r="E1027" i="2"/>
  <c r="E1023" i="2"/>
  <c r="E1019" i="2"/>
  <c r="E1015" i="2"/>
  <c r="E1011" i="2"/>
  <c r="E1007" i="2"/>
  <c r="E1003" i="2"/>
  <c r="E999" i="2"/>
  <c r="E995" i="2"/>
  <c r="E991" i="2"/>
  <c r="E987" i="2"/>
  <c r="E983" i="2"/>
  <c r="E979" i="2"/>
  <c r="E975" i="2"/>
  <c r="E971" i="2"/>
  <c r="E967" i="2"/>
  <c r="E963" i="2"/>
  <c r="E959" i="2"/>
  <c r="E955" i="2"/>
  <c r="E951" i="2"/>
  <c r="E947" i="2"/>
  <c r="E943" i="2"/>
  <c r="E939" i="2"/>
  <c r="E935" i="2"/>
  <c r="E931" i="2"/>
  <c r="E927" i="2"/>
  <c r="E923" i="2"/>
  <c r="E919" i="2"/>
  <c r="E915" i="2"/>
  <c r="E911" i="2"/>
  <c r="E907" i="2"/>
  <c r="E903" i="2"/>
  <c r="E899" i="2"/>
  <c r="E895" i="2"/>
  <c r="E891" i="2"/>
  <c r="E887" i="2"/>
  <c r="E883" i="2"/>
  <c r="E879" i="2"/>
  <c r="E875" i="2"/>
  <c r="E871" i="2"/>
  <c r="E867" i="2"/>
  <c r="E863" i="2"/>
  <c r="E859" i="2"/>
  <c r="E855" i="2"/>
  <c r="E851" i="2"/>
  <c r="E847" i="2"/>
  <c r="E843" i="2"/>
  <c r="E839" i="2"/>
  <c r="E835" i="2"/>
  <c r="E831" i="2"/>
  <c r="E1970" i="2"/>
  <c r="E1906" i="2"/>
  <c r="E1842" i="2"/>
  <c r="E1778" i="2"/>
  <c r="E1714" i="2"/>
  <c r="E1682" i="2"/>
  <c r="E1656" i="2"/>
  <c r="E1640" i="2"/>
  <c r="E1624" i="2"/>
  <c r="E1608" i="2"/>
  <c r="E1592" i="2"/>
  <c r="E1576" i="2"/>
  <c r="E1560" i="2"/>
  <c r="E1544" i="2"/>
  <c r="E1528" i="2"/>
  <c r="E1512" i="2"/>
  <c r="E1496" i="2"/>
  <c r="E1480" i="2"/>
  <c r="E1464" i="2"/>
  <c r="E1448" i="2"/>
  <c r="E1433" i="2"/>
  <c r="E1425" i="2"/>
  <c r="E1419" i="2"/>
  <c r="E1414" i="2"/>
  <c r="E1410" i="2"/>
  <c r="E1406" i="2"/>
  <c r="E1402" i="2"/>
  <c r="E1398" i="2"/>
  <c r="E1394" i="2"/>
  <c r="E1390" i="2"/>
  <c r="E1386" i="2"/>
  <c r="E1382" i="2"/>
  <c r="E1378" i="2"/>
  <c r="E1374" i="2"/>
  <c r="E1370" i="2"/>
  <c r="E1366" i="2"/>
  <c r="E1362" i="2"/>
  <c r="E1358" i="2"/>
  <c r="E1354" i="2"/>
  <c r="E1350" i="2"/>
  <c r="E1346" i="2"/>
  <c r="E1342" i="2"/>
  <c r="E1338" i="2"/>
  <c r="E1334" i="2"/>
  <c r="E1330" i="2"/>
  <c r="E1326" i="2"/>
  <c r="E1322" i="2"/>
  <c r="E1318" i="2"/>
  <c r="E1314" i="2"/>
  <c r="E1310" i="2"/>
  <c r="E1306" i="2"/>
  <c r="E1302" i="2"/>
  <c r="E1298" i="2"/>
  <c r="E1294" i="2"/>
  <c r="E1290" i="2"/>
  <c r="E1286" i="2"/>
  <c r="E1282" i="2"/>
  <c r="E1278" i="2"/>
  <c r="E1274" i="2"/>
  <c r="E1270" i="2"/>
  <c r="E1266" i="2"/>
  <c r="E1262" i="2"/>
  <c r="E1258" i="2"/>
  <c r="E1254" i="2"/>
  <c r="E1250" i="2"/>
  <c r="E1246" i="2"/>
  <c r="E1242" i="2"/>
  <c r="E1238" i="2"/>
  <c r="E1234" i="2"/>
  <c r="E1230" i="2"/>
  <c r="E1226" i="2"/>
  <c r="E1222" i="2"/>
  <c r="E1218" i="2"/>
  <c r="E1214" i="2"/>
  <c r="E1210" i="2"/>
  <c r="E1206" i="2"/>
  <c r="E1202" i="2"/>
  <c r="E1198" i="2"/>
  <c r="E1194" i="2"/>
  <c r="E1190" i="2"/>
  <c r="E1186" i="2"/>
  <c r="E1182" i="2"/>
  <c r="E1178" i="2"/>
  <c r="E1174" i="2"/>
  <c r="E1170" i="2"/>
  <c r="E1166" i="2"/>
  <c r="E1162" i="2"/>
  <c r="E1158" i="2"/>
  <c r="E1154" i="2"/>
  <c r="E1150" i="2"/>
  <c r="E1146" i="2"/>
  <c r="E1142" i="2"/>
  <c r="E1138" i="2"/>
  <c r="E1134" i="2"/>
  <c r="E1130" i="2"/>
  <c r="E1126" i="2"/>
  <c r="E1122" i="2"/>
  <c r="E1118" i="2"/>
  <c r="E1114" i="2"/>
  <c r="E1110" i="2"/>
  <c r="E1106" i="2"/>
  <c r="E1102" i="2"/>
  <c r="E1098" i="2"/>
  <c r="E1094" i="2"/>
  <c r="E1090" i="2"/>
  <c r="E1086" i="2"/>
  <c r="E1082" i="2"/>
  <c r="E1078" i="2"/>
  <c r="E1074" i="2"/>
  <c r="E1070" i="2"/>
  <c r="E1066" i="2"/>
  <c r="E1062" i="2"/>
  <c r="E1058" i="2"/>
  <c r="E1054" i="2"/>
  <c r="E1050" i="2"/>
  <c r="E1046" i="2"/>
  <c r="E1042" i="2"/>
  <c r="E1038" i="2"/>
  <c r="E1034" i="2"/>
  <c r="E1030" i="2"/>
  <c r="E1026" i="2"/>
  <c r="E1022" i="2"/>
  <c r="E1018" i="2"/>
  <c r="E1014" i="2"/>
  <c r="E1010" i="2"/>
  <c r="E1006" i="2"/>
  <c r="E1002" i="2"/>
  <c r="E998" i="2"/>
  <c r="E994" i="2"/>
  <c r="E990" i="2"/>
  <c r="E986" i="2"/>
  <c r="E982" i="2"/>
  <c r="E978" i="2"/>
  <c r="E974" i="2"/>
  <c r="E970" i="2"/>
  <c r="E966" i="2"/>
  <c r="E962" i="2"/>
  <c r="E958" i="2"/>
  <c r="E954" i="2"/>
  <c r="E950" i="2"/>
  <c r="E946" i="2"/>
  <c r="E942" i="2"/>
  <c r="E938" i="2"/>
  <c r="E934" i="2"/>
  <c r="E930" i="2"/>
  <c r="E926" i="2"/>
  <c r="E922" i="2"/>
  <c r="E918" i="2"/>
  <c r="E914" i="2"/>
  <c r="E910" i="2"/>
  <c r="E906" i="2"/>
  <c r="E902" i="2"/>
  <c r="E898" i="2"/>
  <c r="E894" i="2"/>
  <c r="E890" i="2"/>
  <c r="E886" i="2"/>
  <c r="E882" i="2"/>
  <c r="E878" i="2"/>
  <c r="E874" i="2"/>
  <c r="E870" i="2"/>
  <c r="E866" i="2"/>
  <c r="E862" i="2"/>
  <c r="E858" i="2"/>
  <c r="E854" i="2"/>
  <c r="E850" i="2"/>
  <c r="E846" i="2"/>
  <c r="E842" i="2"/>
  <c r="E838" i="2"/>
  <c r="E834" i="2"/>
  <c r="E830" i="2"/>
  <c r="E1954" i="2"/>
  <c r="E1890" i="2"/>
  <c r="E1826" i="2"/>
  <c r="E1762" i="2"/>
  <c r="E1706" i="2"/>
  <c r="E1674" i="2"/>
  <c r="E1652" i="2"/>
  <c r="E1636" i="2"/>
  <c r="E1620" i="2"/>
  <c r="E1604" i="2"/>
  <c r="E1588" i="2"/>
  <c r="E1572" i="2"/>
  <c r="E1556" i="2"/>
  <c r="E1540" i="2"/>
  <c r="E1524" i="2"/>
  <c r="E1508" i="2"/>
  <c r="E1492" i="2"/>
  <c r="E1476" i="2"/>
  <c r="E1460" i="2"/>
  <c r="E1444" i="2"/>
  <c r="E1432" i="2"/>
  <c r="E1424" i="2"/>
  <c r="E1417" i="2"/>
  <c r="E1413" i="2"/>
  <c r="E1409" i="2"/>
  <c r="E1405" i="2"/>
  <c r="E1401" i="2"/>
  <c r="E1397" i="2"/>
  <c r="E1393" i="2"/>
  <c r="E1389" i="2"/>
  <c r="E1385" i="2"/>
  <c r="E1381" i="2"/>
  <c r="E1377" i="2"/>
  <c r="E1373" i="2"/>
  <c r="E1369" i="2"/>
  <c r="E1365" i="2"/>
  <c r="E1361" i="2"/>
  <c r="E1357" i="2"/>
  <c r="E1353" i="2"/>
  <c r="E1349" i="2"/>
  <c r="E1345" i="2"/>
  <c r="E1341" i="2"/>
  <c r="E1337" i="2"/>
  <c r="E1333" i="2"/>
  <c r="E1329" i="2"/>
  <c r="E1325" i="2"/>
  <c r="E1321" i="2"/>
  <c r="E1317" i="2"/>
  <c r="E1313" i="2"/>
  <c r="E1309" i="2"/>
  <c r="E1305" i="2"/>
  <c r="E1301" i="2"/>
  <c r="E1297" i="2"/>
  <c r="E1293" i="2"/>
  <c r="E1289" i="2"/>
  <c r="E1285" i="2"/>
  <c r="E1281" i="2"/>
  <c r="E1277" i="2"/>
  <c r="E1273" i="2"/>
  <c r="E1269" i="2"/>
  <c r="E1265" i="2"/>
  <c r="E1261" i="2"/>
  <c r="E1257" i="2"/>
  <c r="E1253" i="2"/>
  <c r="E1249" i="2"/>
  <c r="E1245" i="2"/>
  <c r="E1241" i="2"/>
  <c r="E1237" i="2"/>
  <c r="E1233" i="2"/>
  <c r="E1229" i="2"/>
  <c r="E1225" i="2"/>
  <c r="E1221" i="2"/>
  <c r="E1217" i="2"/>
  <c r="E1213" i="2"/>
  <c r="E1209" i="2"/>
  <c r="E1205" i="2"/>
  <c r="E1201" i="2"/>
  <c r="E1197" i="2"/>
  <c r="E1193" i="2"/>
  <c r="E1189" i="2"/>
  <c r="E1185" i="2"/>
  <c r="E1181" i="2"/>
  <c r="E1177" i="2"/>
  <c r="E1173" i="2"/>
  <c r="E1169" i="2"/>
  <c r="E1165" i="2"/>
  <c r="E1161" i="2"/>
  <c r="E1157" i="2"/>
  <c r="E1153" i="2"/>
  <c r="E1149" i="2"/>
  <c r="E1145" i="2"/>
  <c r="E1141" i="2"/>
  <c r="E1137" i="2"/>
  <c r="E1133" i="2"/>
  <c r="E1129" i="2"/>
  <c r="E1125" i="2"/>
  <c r="E1121" i="2"/>
  <c r="E1117" i="2"/>
  <c r="E1113" i="2"/>
  <c r="E1109" i="2"/>
  <c r="E1105" i="2"/>
  <c r="E1101" i="2"/>
  <c r="E1097" i="2"/>
  <c r="E1093" i="2"/>
  <c r="E1089" i="2"/>
  <c r="E1085" i="2"/>
  <c r="E1081" i="2"/>
  <c r="E1077" i="2"/>
  <c r="E1073" i="2"/>
  <c r="E1069" i="2"/>
  <c r="E1065" i="2"/>
  <c r="E1061" i="2"/>
  <c r="E1057" i="2"/>
  <c r="E1053" i="2"/>
  <c r="E1049" i="2"/>
  <c r="E1045" i="2"/>
  <c r="E1041" i="2"/>
  <c r="E1037" i="2"/>
  <c r="E1033" i="2"/>
  <c r="E1029" i="2"/>
  <c r="E1025" i="2"/>
  <c r="E1021" i="2"/>
  <c r="E1017" i="2"/>
  <c r="E1013" i="2"/>
  <c r="E1009" i="2"/>
  <c r="E1005" i="2"/>
  <c r="E1001" i="2"/>
  <c r="E997" i="2"/>
  <c r="E993" i="2"/>
  <c r="E989" i="2"/>
  <c r="E985" i="2"/>
  <c r="E981" i="2"/>
  <c r="E977" i="2"/>
  <c r="E973" i="2"/>
  <c r="E969" i="2"/>
  <c r="E965" i="2"/>
  <c r="E961" i="2"/>
  <c r="E957" i="2"/>
  <c r="E953" i="2"/>
  <c r="E949" i="2"/>
  <c r="E945" i="2"/>
  <c r="E941" i="2"/>
  <c r="E937" i="2"/>
  <c r="E933" i="2"/>
  <c r="E929" i="2"/>
  <c r="E925" i="2"/>
  <c r="E921" i="2"/>
  <c r="E917" i="2"/>
  <c r="E913" i="2"/>
  <c r="E909" i="2"/>
  <c r="E905" i="2"/>
  <c r="E901" i="2"/>
  <c r="E897" i="2"/>
  <c r="E893" i="2"/>
  <c r="E889" i="2"/>
  <c r="E885" i="2"/>
  <c r="E881" i="2"/>
  <c r="E877" i="2"/>
  <c r="E873" i="2"/>
  <c r="E869" i="2"/>
  <c r="E865" i="2"/>
  <c r="E861" i="2"/>
  <c r="E857" i="2"/>
  <c r="E853" i="2"/>
  <c r="E849" i="2"/>
  <c r="E845" i="2"/>
  <c r="E841" i="2"/>
  <c r="E837" i="2"/>
  <c r="E833" i="2"/>
  <c r="E829" i="2"/>
  <c r="E1938" i="2"/>
  <c r="E1698" i="2"/>
  <c r="E1616" i="2"/>
  <c r="E1552" i="2"/>
  <c r="E1488" i="2"/>
  <c r="E1429" i="2"/>
  <c r="E1408" i="2"/>
  <c r="E1392" i="2"/>
  <c r="E1376" i="2"/>
  <c r="E1360" i="2"/>
  <c r="E1344" i="2"/>
  <c r="E1328" i="2"/>
  <c r="E1312" i="2"/>
  <c r="E1296" i="2"/>
  <c r="E1280" i="2"/>
  <c r="E1264" i="2"/>
  <c r="E1248" i="2"/>
  <c r="E1232" i="2"/>
  <c r="E1216" i="2"/>
  <c r="E1200" i="2"/>
  <c r="E1184" i="2"/>
  <c r="E1168" i="2"/>
  <c r="E1152" i="2"/>
  <c r="E1136" i="2"/>
  <c r="E1120" i="2"/>
  <c r="E1104" i="2"/>
  <c r="E1088" i="2"/>
  <c r="E1072" i="2"/>
  <c r="E1056" i="2"/>
  <c r="E1040" i="2"/>
  <c r="E1024" i="2"/>
  <c r="E1008" i="2"/>
  <c r="E992" i="2"/>
  <c r="E976" i="2"/>
  <c r="E960" i="2"/>
  <c r="E944" i="2"/>
  <c r="E928" i="2"/>
  <c r="E912" i="2"/>
  <c r="E896" i="2"/>
  <c r="E880" i="2"/>
  <c r="E864" i="2"/>
  <c r="E848" i="2"/>
  <c r="E832" i="2"/>
  <c r="E825" i="2"/>
  <c r="E821" i="2"/>
  <c r="E817" i="2"/>
  <c r="E813" i="2"/>
  <c r="E809" i="2"/>
  <c r="E805" i="2"/>
  <c r="E801" i="2"/>
  <c r="E797" i="2"/>
  <c r="E793" i="2"/>
  <c r="E789" i="2"/>
  <c r="E785" i="2"/>
  <c r="E781" i="2"/>
  <c r="E777" i="2"/>
  <c r="E773" i="2"/>
  <c r="E769" i="2"/>
  <c r="E765" i="2"/>
  <c r="E761" i="2"/>
  <c r="E757" i="2"/>
  <c r="E753" i="2"/>
  <c r="E749" i="2"/>
  <c r="E745" i="2"/>
  <c r="E741" i="2"/>
  <c r="E737" i="2"/>
  <c r="E733" i="2"/>
  <c r="E729" i="2"/>
  <c r="E725" i="2"/>
  <c r="E721" i="2"/>
  <c r="E717" i="2"/>
  <c r="E713" i="2"/>
  <c r="E709" i="2"/>
  <c r="E705" i="2"/>
  <c r="E701" i="2"/>
  <c r="E697" i="2"/>
  <c r="E693" i="2"/>
  <c r="E689" i="2"/>
  <c r="E685" i="2"/>
  <c r="E681" i="2"/>
  <c r="E677" i="2"/>
  <c r="E673" i="2"/>
  <c r="E669" i="2"/>
  <c r="E665" i="2"/>
  <c r="E661" i="2"/>
  <c r="E657" i="2"/>
  <c r="E653" i="2"/>
  <c r="E649" i="2"/>
  <c r="E645" i="2"/>
  <c r="E641" i="2"/>
  <c r="E637" i="2"/>
  <c r="E633" i="2"/>
  <c r="E629" i="2"/>
  <c r="E625" i="2"/>
  <c r="E621" i="2"/>
  <c r="E617" i="2"/>
  <c r="E613" i="2"/>
  <c r="E609" i="2"/>
  <c r="E605" i="2"/>
  <c r="E601" i="2"/>
  <c r="E597" i="2"/>
  <c r="E593" i="2"/>
  <c r="E589" i="2"/>
  <c r="E585" i="2"/>
  <c r="E581" i="2"/>
  <c r="E577" i="2"/>
  <c r="E573" i="2"/>
  <c r="E569" i="2"/>
  <c r="E565" i="2"/>
  <c r="E561" i="2"/>
  <c r="E557" i="2"/>
  <c r="E553" i="2"/>
  <c r="E549" i="2"/>
  <c r="E545" i="2"/>
  <c r="E541" i="2"/>
  <c r="E537" i="2"/>
  <c r="E533" i="2"/>
  <c r="E529" i="2"/>
  <c r="E525" i="2"/>
  <c r="E521" i="2"/>
  <c r="E517" i="2"/>
  <c r="E513" i="2"/>
  <c r="E509" i="2"/>
  <c r="E505" i="2"/>
  <c r="E501" i="2"/>
  <c r="E497" i="2"/>
  <c r="E493" i="2"/>
  <c r="E489" i="2"/>
  <c r="E485" i="2"/>
  <c r="E481" i="2"/>
  <c r="E477" i="2"/>
  <c r="E473" i="2"/>
  <c r="E469" i="2"/>
  <c r="E465" i="2"/>
  <c r="E461" i="2"/>
  <c r="E457" i="2"/>
  <c r="E453" i="2"/>
  <c r="E449" i="2"/>
  <c r="E445" i="2"/>
  <c r="E441" i="2"/>
  <c r="E437" i="2"/>
  <c r="E433" i="2"/>
  <c r="E429" i="2"/>
  <c r="E425" i="2"/>
  <c r="E421" i="2"/>
  <c r="E417" i="2"/>
  <c r="E413" i="2"/>
  <c r="E409" i="2"/>
  <c r="E405" i="2"/>
  <c r="E401" i="2"/>
  <c r="E397" i="2"/>
  <c r="E393" i="2"/>
  <c r="E389" i="2"/>
  <c r="E385" i="2"/>
  <c r="E381" i="2"/>
  <c r="E377" i="2"/>
  <c r="E373" i="2"/>
  <c r="E369" i="2"/>
  <c r="E365" i="2"/>
  <c r="E361" i="2"/>
  <c r="E357" i="2"/>
  <c r="E353" i="2"/>
  <c r="E349" i="2"/>
  <c r="E345" i="2"/>
  <c r="E341" i="2"/>
  <c r="E337" i="2"/>
  <c r="E333" i="2"/>
  <c r="E329" i="2"/>
  <c r="E325" i="2"/>
  <c r="E321" i="2"/>
  <c r="E1874" i="2"/>
  <c r="E1666" i="2"/>
  <c r="E1600" i="2"/>
  <c r="E1536" i="2"/>
  <c r="E1472" i="2"/>
  <c r="E1421" i="2"/>
  <c r="E1404" i="2"/>
  <c r="E1388" i="2"/>
  <c r="E1372" i="2"/>
  <c r="E1356" i="2"/>
  <c r="E1340" i="2"/>
  <c r="E1324" i="2"/>
  <c r="E1308" i="2"/>
  <c r="E1292" i="2"/>
  <c r="E1276" i="2"/>
  <c r="E1260" i="2"/>
  <c r="E1244" i="2"/>
  <c r="E1228" i="2"/>
  <c r="E1212" i="2"/>
  <c r="E1196" i="2"/>
  <c r="E1180" i="2"/>
  <c r="E1164" i="2"/>
  <c r="E1148" i="2"/>
  <c r="E1132" i="2"/>
  <c r="E1116" i="2"/>
  <c r="E1100" i="2"/>
  <c r="E1084" i="2"/>
  <c r="E1068" i="2"/>
  <c r="E1052" i="2"/>
  <c r="E1036" i="2"/>
  <c r="E1020" i="2"/>
  <c r="E1004" i="2"/>
  <c r="E988" i="2"/>
  <c r="E972" i="2"/>
  <c r="E956" i="2"/>
  <c r="E940" i="2"/>
  <c r="E924" i="2"/>
  <c r="E908" i="2"/>
  <c r="E892" i="2"/>
  <c r="E876" i="2"/>
  <c r="E860" i="2"/>
  <c r="E844" i="2"/>
  <c r="E828" i="2"/>
  <c r="E824" i="2"/>
  <c r="E820" i="2"/>
  <c r="E816" i="2"/>
  <c r="E812" i="2"/>
  <c r="E808" i="2"/>
  <c r="E804" i="2"/>
  <c r="E800" i="2"/>
  <c r="E796" i="2"/>
  <c r="E792" i="2"/>
  <c r="E788" i="2"/>
  <c r="E784" i="2"/>
  <c r="E780" i="2"/>
  <c r="E776" i="2"/>
  <c r="E772" i="2"/>
  <c r="E768" i="2"/>
  <c r="E764" i="2"/>
  <c r="E760" i="2"/>
  <c r="E756" i="2"/>
  <c r="E752" i="2"/>
  <c r="E748" i="2"/>
  <c r="E744" i="2"/>
  <c r="E740" i="2"/>
  <c r="E736" i="2"/>
  <c r="E732" i="2"/>
  <c r="E728" i="2"/>
  <c r="E724" i="2"/>
  <c r="E720" i="2"/>
  <c r="E716" i="2"/>
  <c r="E712" i="2"/>
  <c r="E708" i="2"/>
  <c r="E704" i="2"/>
  <c r="E700" i="2"/>
  <c r="E696" i="2"/>
  <c r="E692" i="2"/>
  <c r="E688" i="2"/>
  <c r="E684" i="2"/>
  <c r="E680" i="2"/>
  <c r="E676" i="2"/>
  <c r="E672" i="2"/>
  <c r="E668" i="2"/>
  <c r="E664" i="2"/>
  <c r="E660" i="2"/>
  <c r="E656" i="2"/>
  <c r="E652" i="2"/>
  <c r="E648" i="2"/>
  <c r="E644" i="2"/>
  <c r="E640" i="2"/>
  <c r="E636" i="2"/>
  <c r="E632" i="2"/>
  <c r="E628" i="2"/>
  <c r="E624" i="2"/>
  <c r="E620" i="2"/>
  <c r="E616" i="2"/>
  <c r="E612" i="2"/>
  <c r="E608" i="2"/>
  <c r="E604" i="2"/>
  <c r="E600" i="2"/>
  <c r="E596" i="2"/>
  <c r="E592" i="2"/>
  <c r="E588" i="2"/>
  <c r="E584" i="2"/>
  <c r="E580" i="2"/>
  <c r="E576" i="2"/>
  <c r="E572" i="2"/>
  <c r="E568" i="2"/>
  <c r="E564" i="2"/>
  <c r="E560" i="2"/>
  <c r="E556" i="2"/>
  <c r="E552" i="2"/>
  <c r="E548" i="2"/>
  <c r="E544" i="2"/>
  <c r="E540" i="2"/>
  <c r="E536" i="2"/>
  <c r="E532" i="2"/>
  <c r="E528" i="2"/>
  <c r="E524" i="2"/>
  <c r="E520" i="2"/>
  <c r="E516" i="2"/>
  <c r="E512" i="2"/>
  <c r="E508" i="2"/>
  <c r="E504" i="2"/>
  <c r="E500" i="2"/>
  <c r="E496" i="2"/>
  <c r="E492" i="2"/>
  <c r="E488" i="2"/>
  <c r="E484" i="2"/>
  <c r="E480" i="2"/>
  <c r="E476" i="2"/>
  <c r="E472" i="2"/>
  <c r="E468" i="2"/>
  <c r="E464" i="2"/>
  <c r="E460" i="2"/>
  <c r="E456" i="2"/>
  <c r="E452" i="2"/>
  <c r="E448" i="2"/>
  <c r="E444" i="2"/>
  <c r="E440" i="2"/>
  <c r="E436" i="2"/>
  <c r="E432" i="2"/>
  <c r="E428" i="2"/>
  <c r="E424" i="2"/>
  <c r="E420" i="2"/>
  <c r="E416" i="2"/>
  <c r="E412" i="2"/>
  <c r="E408" i="2"/>
  <c r="E404" i="2"/>
  <c r="E400" i="2"/>
  <c r="E396" i="2"/>
  <c r="E392" i="2"/>
  <c r="E388" i="2"/>
  <c r="E384" i="2"/>
  <c r="E380" i="2"/>
  <c r="E376" i="2"/>
  <c r="E372" i="2"/>
  <c r="E368" i="2"/>
  <c r="E364" i="2"/>
  <c r="E360" i="2"/>
  <c r="E356" i="2"/>
  <c r="E352" i="2"/>
  <c r="E348" i="2"/>
  <c r="E344" i="2"/>
  <c r="E340" i="2"/>
  <c r="E336" i="2"/>
  <c r="E332" i="2"/>
  <c r="E328" i="2"/>
  <c r="E324" i="2"/>
  <c r="E1810" i="2"/>
  <c r="E1648" i="2"/>
  <c r="E1584" i="2"/>
  <c r="E1520" i="2"/>
  <c r="E1456" i="2"/>
  <c r="E1416" i="2"/>
  <c r="E1400" i="2"/>
  <c r="E1384" i="2"/>
  <c r="E1368" i="2"/>
  <c r="E1352" i="2"/>
  <c r="E1336" i="2"/>
  <c r="E1320" i="2"/>
  <c r="E1304" i="2"/>
  <c r="E1288" i="2"/>
  <c r="E1272" i="2"/>
  <c r="E1256" i="2"/>
  <c r="E1240" i="2"/>
  <c r="E1224" i="2"/>
  <c r="E1208" i="2"/>
  <c r="E1192" i="2"/>
  <c r="E1176" i="2"/>
  <c r="E1160" i="2"/>
  <c r="E1144" i="2"/>
  <c r="E1128" i="2"/>
  <c r="E1112" i="2"/>
  <c r="E1096" i="2"/>
  <c r="E1080" i="2"/>
  <c r="E1064" i="2"/>
  <c r="E1048" i="2"/>
  <c r="E1032" i="2"/>
  <c r="E1016" i="2"/>
  <c r="E1000" i="2"/>
  <c r="E984" i="2"/>
  <c r="E968" i="2"/>
  <c r="E952" i="2"/>
  <c r="E936" i="2"/>
  <c r="E920" i="2"/>
  <c r="E904" i="2"/>
  <c r="E888" i="2"/>
  <c r="E872" i="2"/>
  <c r="E856" i="2"/>
  <c r="E840" i="2"/>
  <c r="E827" i="2"/>
  <c r="E823" i="2"/>
  <c r="E819" i="2"/>
  <c r="E815" i="2"/>
  <c r="E811" i="2"/>
  <c r="E807" i="2"/>
  <c r="E803" i="2"/>
  <c r="E799" i="2"/>
  <c r="E795" i="2"/>
  <c r="E791" i="2"/>
  <c r="E787" i="2"/>
  <c r="E783" i="2"/>
  <c r="E779" i="2"/>
  <c r="E775" i="2"/>
  <c r="E771" i="2"/>
  <c r="E767" i="2"/>
  <c r="E763" i="2"/>
  <c r="E759" i="2"/>
  <c r="E755" i="2"/>
  <c r="E751" i="2"/>
  <c r="E747" i="2"/>
  <c r="E743" i="2"/>
  <c r="E739" i="2"/>
  <c r="E735" i="2"/>
  <c r="E731" i="2"/>
  <c r="E727" i="2"/>
  <c r="E723" i="2"/>
  <c r="E719" i="2"/>
  <c r="E715" i="2"/>
  <c r="E711" i="2"/>
  <c r="E707" i="2"/>
  <c r="E703" i="2"/>
  <c r="E699" i="2"/>
  <c r="E695" i="2"/>
  <c r="E691" i="2"/>
  <c r="E687" i="2"/>
  <c r="E683" i="2"/>
  <c r="E679" i="2"/>
  <c r="E675" i="2"/>
  <c r="E671" i="2"/>
  <c r="E667" i="2"/>
  <c r="E663" i="2"/>
  <c r="E659" i="2"/>
  <c r="E655" i="2"/>
  <c r="E651" i="2"/>
  <c r="E647" i="2"/>
  <c r="E643" i="2"/>
  <c r="E639" i="2"/>
  <c r="E635" i="2"/>
  <c r="E631" i="2"/>
  <c r="E627" i="2"/>
  <c r="E623" i="2"/>
  <c r="E619" i="2"/>
  <c r="E615" i="2"/>
  <c r="E611" i="2"/>
  <c r="E607" i="2"/>
  <c r="E603" i="2"/>
  <c r="E599" i="2"/>
  <c r="E595" i="2"/>
  <c r="E591" i="2"/>
  <c r="E587" i="2"/>
  <c r="E583" i="2"/>
  <c r="E579" i="2"/>
  <c r="E575" i="2"/>
  <c r="E571" i="2"/>
  <c r="E567" i="2"/>
  <c r="E563" i="2"/>
  <c r="E559" i="2"/>
  <c r="E555" i="2"/>
  <c r="E551" i="2"/>
  <c r="E547" i="2"/>
  <c r="E543" i="2"/>
  <c r="E539" i="2"/>
  <c r="E535" i="2"/>
  <c r="E531" i="2"/>
  <c r="E527" i="2"/>
  <c r="E523" i="2"/>
  <c r="E519" i="2"/>
  <c r="E515" i="2"/>
  <c r="E511" i="2"/>
  <c r="E507" i="2"/>
  <c r="E503" i="2"/>
  <c r="E499" i="2"/>
  <c r="E495" i="2"/>
  <c r="E491" i="2"/>
  <c r="E487" i="2"/>
  <c r="E483" i="2"/>
  <c r="E479" i="2"/>
  <c r="E475" i="2"/>
  <c r="E471" i="2"/>
  <c r="E467" i="2"/>
  <c r="E463" i="2"/>
  <c r="E459" i="2"/>
  <c r="E455" i="2"/>
  <c r="E451" i="2"/>
  <c r="E447" i="2"/>
  <c r="E443" i="2"/>
  <c r="E439" i="2"/>
  <c r="E1746" i="2"/>
  <c r="E1440" i="2"/>
  <c r="E1364" i="2"/>
  <c r="E1300" i="2"/>
  <c r="E1236" i="2"/>
  <c r="E1172" i="2"/>
  <c r="E1108" i="2"/>
  <c r="E1044" i="2"/>
  <c r="E980" i="2"/>
  <c r="E916" i="2"/>
  <c r="E852" i="2"/>
  <c r="E818" i="2"/>
  <c r="E802" i="2"/>
  <c r="E786" i="2"/>
  <c r="E770" i="2"/>
  <c r="E754" i="2"/>
  <c r="E738" i="2"/>
  <c r="E722" i="2"/>
  <c r="E706" i="2"/>
  <c r="E690" i="2"/>
  <c r="E674" i="2"/>
  <c r="E658" i="2"/>
  <c r="E642" i="2"/>
  <c r="E626" i="2"/>
  <c r="E610" i="2"/>
  <c r="E594" i="2"/>
  <c r="E578" i="2"/>
  <c r="E562" i="2"/>
  <c r="E546" i="2"/>
  <c r="E530" i="2"/>
  <c r="E514" i="2"/>
  <c r="E498" i="2"/>
  <c r="E482" i="2"/>
  <c r="E466" i="2"/>
  <c r="E450" i="2"/>
  <c r="E435" i="2"/>
  <c r="E427" i="2"/>
  <c r="E419" i="2"/>
  <c r="E411" i="2"/>
  <c r="E403" i="2"/>
  <c r="E395" i="2"/>
  <c r="E387" i="2"/>
  <c r="E379" i="2"/>
  <c r="E371" i="2"/>
  <c r="E363" i="2"/>
  <c r="E355" i="2"/>
  <c r="E347" i="2"/>
  <c r="E339" i="2"/>
  <c r="E331" i="2"/>
  <c r="E323" i="2"/>
  <c r="E318" i="2"/>
  <c r="E314" i="2"/>
  <c r="E310" i="2"/>
  <c r="E306" i="2"/>
  <c r="E302" i="2"/>
  <c r="E298" i="2"/>
  <c r="E294" i="2"/>
  <c r="E290" i="2"/>
  <c r="E286" i="2"/>
  <c r="E282" i="2"/>
  <c r="E278" i="2"/>
  <c r="E274" i="2"/>
  <c r="E270" i="2"/>
  <c r="E266" i="2"/>
  <c r="E262" i="2"/>
  <c r="E258" i="2"/>
  <c r="E254" i="2"/>
  <c r="E250" i="2"/>
  <c r="E246" i="2"/>
  <c r="E242" i="2"/>
  <c r="E238" i="2"/>
  <c r="E234" i="2"/>
  <c r="E230" i="2"/>
  <c r="E226" i="2"/>
  <c r="E222" i="2"/>
  <c r="E218" i="2"/>
  <c r="E214" i="2"/>
  <c r="E210" i="2"/>
  <c r="E206" i="2"/>
  <c r="E202" i="2"/>
  <c r="E198" i="2"/>
  <c r="E194" i="2"/>
  <c r="E190" i="2"/>
  <c r="E186" i="2"/>
  <c r="E182" i="2"/>
  <c r="E178" i="2"/>
  <c r="E174" i="2"/>
  <c r="E170" i="2"/>
  <c r="E166" i="2"/>
  <c r="E162" i="2"/>
  <c r="E158" i="2"/>
  <c r="E154" i="2"/>
  <c r="E150" i="2"/>
  <c r="E146" i="2"/>
  <c r="E142" i="2"/>
  <c r="E138" i="2"/>
  <c r="E134" i="2"/>
  <c r="E130" i="2"/>
  <c r="E126" i="2"/>
  <c r="E122" i="2"/>
  <c r="E118" i="2"/>
  <c r="E114" i="2"/>
  <c r="E110" i="2"/>
  <c r="E106" i="2"/>
  <c r="E102" i="2"/>
  <c r="E98" i="2"/>
  <c r="E94" i="2"/>
  <c r="E90" i="2"/>
  <c r="E86" i="2"/>
  <c r="E82" i="2"/>
  <c r="E78" i="2"/>
  <c r="E74" i="2"/>
  <c r="E70" i="2"/>
  <c r="E66" i="2"/>
  <c r="E62" i="2"/>
  <c r="E58" i="2"/>
  <c r="E54" i="2"/>
  <c r="E50" i="2"/>
  <c r="E46" i="2"/>
  <c r="E42" i="2"/>
  <c r="E38" i="2"/>
  <c r="E34" i="2"/>
  <c r="E30" i="2"/>
  <c r="E26" i="2"/>
  <c r="E22" i="2"/>
  <c r="E18" i="2"/>
  <c r="E14" i="2"/>
  <c r="E10" i="2"/>
  <c r="E1632" i="2"/>
  <c r="E1412" i="2"/>
  <c r="E1348" i="2"/>
  <c r="E1284" i="2"/>
  <c r="E1220" i="2"/>
  <c r="E1156" i="2"/>
  <c r="E1092" i="2"/>
  <c r="E1028" i="2"/>
  <c r="E964" i="2"/>
  <c r="E900" i="2"/>
  <c r="E836" i="2"/>
  <c r="E814" i="2"/>
  <c r="E798" i="2"/>
  <c r="E782" i="2"/>
  <c r="E766" i="2"/>
  <c r="E750" i="2"/>
  <c r="E734" i="2"/>
  <c r="E718" i="2"/>
  <c r="E702" i="2"/>
  <c r="E686" i="2"/>
  <c r="E670" i="2"/>
  <c r="E654" i="2"/>
  <c r="E638" i="2"/>
  <c r="E622" i="2"/>
  <c r="E606" i="2"/>
  <c r="E590" i="2"/>
  <c r="E574" i="2"/>
  <c r="E558" i="2"/>
  <c r="E542" i="2"/>
  <c r="E526" i="2"/>
  <c r="E510" i="2"/>
  <c r="E494" i="2"/>
  <c r="E478" i="2"/>
  <c r="E462" i="2"/>
  <c r="E446" i="2"/>
  <c r="E434" i="2"/>
  <c r="E426" i="2"/>
  <c r="E418" i="2"/>
  <c r="E410" i="2"/>
  <c r="E402" i="2"/>
  <c r="E394" i="2"/>
  <c r="E386" i="2"/>
  <c r="E378" i="2"/>
  <c r="E370" i="2"/>
  <c r="E362" i="2"/>
  <c r="E354" i="2"/>
  <c r="E346" i="2"/>
  <c r="E338" i="2"/>
  <c r="E330" i="2"/>
  <c r="E322" i="2"/>
  <c r="E317" i="2"/>
  <c r="E313" i="2"/>
  <c r="E309" i="2"/>
  <c r="E305" i="2"/>
  <c r="E301" i="2"/>
  <c r="E297" i="2"/>
  <c r="E293" i="2"/>
  <c r="E289" i="2"/>
  <c r="E285" i="2"/>
  <c r="E281" i="2"/>
  <c r="E277" i="2"/>
  <c r="E273" i="2"/>
  <c r="E269" i="2"/>
  <c r="E265" i="2"/>
  <c r="E261" i="2"/>
  <c r="E257" i="2"/>
  <c r="E253" i="2"/>
  <c r="E249" i="2"/>
  <c r="E245" i="2"/>
  <c r="E241" i="2"/>
  <c r="E237" i="2"/>
  <c r="E233" i="2"/>
  <c r="E229" i="2"/>
  <c r="E225" i="2"/>
  <c r="E221" i="2"/>
  <c r="E217" i="2"/>
  <c r="E213" i="2"/>
  <c r="E209" i="2"/>
  <c r="E205" i="2"/>
  <c r="E201" i="2"/>
  <c r="E197" i="2"/>
  <c r="E193" i="2"/>
  <c r="E189" i="2"/>
  <c r="E185" i="2"/>
  <c r="E181" i="2"/>
  <c r="E177" i="2"/>
  <c r="E173" i="2"/>
  <c r="E169" i="2"/>
  <c r="E165" i="2"/>
  <c r="E161" i="2"/>
  <c r="E157" i="2"/>
  <c r="E153" i="2"/>
  <c r="E149" i="2"/>
  <c r="E145" i="2"/>
  <c r="E141" i="2"/>
  <c r="E137" i="2"/>
  <c r="E133" i="2"/>
  <c r="E129" i="2"/>
  <c r="E125" i="2"/>
  <c r="E121" i="2"/>
  <c r="E117" i="2"/>
  <c r="E113" i="2"/>
  <c r="E109" i="2"/>
  <c r="E105" i="2"/>
  <c r="E101" i="2"/>
  <c r="E97" i="2"/>
  <c r="E93" i="2"/>
  <c r="E89" i="2"/>
  <c r="E85" i="2"/>
  <c r="E81" i="2"/>
  <c r="E77" i="2"/>
  <c r="E73" i="2"/>
  <c r="E69" i="2"/>
  <c r="E65" i="2"/>
  <c r="E61" i="2"/>
  <c r="E57" i="2"/>
  <c r="E53" i="2"/>
  <c r="E49" i="2"/>
  <c r="E45" i="2"/>
  <c r="E41" i="2"/>
  <c r="E37" i="2"/>
  <c r="E33" i="2"/>
  <c r="E29" i="2"/>
  <c r="E25" i="2"/>
  <c r="E21" i="2"/>
  <c r="E17" i="2"/>
  <c r="E13" i="2"/>
  <c r="E9" i="2"/>
  <c r="E7" i="2"/>
  <c r="E1568" i="2"/>
  <c r="E1396" i="2"/>
  <c r="E1332" i="2"/>
  <c r="E1268" i="2"/>
  <c r="E1204" i="2"/>
  <c r="E1140" i="2"/>
  <c r="E1076" i="2"/>
  <c r="E1012" i="2"/>
  <c r="E948" i="2"/>
  <c r="E884" i="2"/>
  <c r="E826" i="2"/>
  <c r="E810" i="2"/>
  <c r="E794" i="2"/>
  <c r="E778" i="2"/>
  <c r="E762" i="2"/>
  <c r="E746" i="2"/>
  <c r="E730" i="2"/>
  <c r="E714" i="2"/>
  <c r="E698" i="2"/>
  <c r="E682" i="2"/>
  <c r="E666" i="2"/>
  <c r="E650" i="2"/>
  <c r="E634" i="2"/>
  <c r="E618" i="2"/>
  <c r="E602" i="2"/>
  <c r="E586" i="2"/>
  <c r="E570" i="2"/>
  <c r="E554" i="2"/>
  <c r="E538" i="2"/>
  <c r="E522" i="2"/>
  <c r="E506" i="2"/>
  <c r="E490" i="2"/>
  <c r="E474" i="2"/>
  <c r="E458" i="2"/>
  <c r="E442" i="2"/>
  <c r="E431" i="2"/>
  <c r="E423" i="2"/>
  <c r="E415" i="2"/>
  <c r="E407" i="2"/>
  <c r="E399" i="2"/>
  <c r="E391" i="2"/>
  <c r="E383" i="2"/>
  <c r="E375" i="2"/>
  <c r="E367" i="2"/>
  <c r="E359" i="2"/>
  <c r="E351" i="2"/>
  <c r="E343" i="2"/>
  <c r="E335" i="2"/>
  <c r="E327" i="2"/>
  <c r="E320" i="2"/>
  <c r="E316" i="2"/>
  <c r="E312" i="2"/>
  <c r="E308" i="2"/>
  <c r="E304" i="2"/>
  <c r="E300" i="2"/>
  <c r="E296" i="2"/>
  <c r="E292" i="2"/>
  <c r="E288" i="2"/>
  <c r="E284" i="2"/>
  <c r="E280" i="2"/>
  <c r="E276" i="2"/>
  <c r="E272" i="2"/>
  <c r="E268" i="2"/>
  <c r="E264" i="2"/>
  <c r="E260" i="2"/>
  <c r="E256" i="2"/>
  <c r="E252" i="2"/>
  <c r="E248" i="2"/>
  <c r="E244" i="2"/>
  <c r="E240" i="2"/>
  <c r="E236" i="2"/>
  <c r="E232" i="2"/>
  <c r="E228" i="2"/>
  <c r="E224" i="2"/>
  <c r="E220" i="2"/>
  <c r="E216" i="2"/>
  <c r="E212" i="2"/>
  <c r="E208" i="2"/>
  <c r="E204" i="2"/>
  <c r="E200" i="2"/>
  <c r="E196" i="2"/>
  <c r="E192" i="2"/>
  <c r="E188" i="2"/>
  <c r="E184" i="2"/>
  <c r="E180" i="2"/>
  <c r="E176" i="2"/>
  <c r="E172" i="2"/>
  <c r="E168" i="2"/>
  <c r="E164" i="2"/>
  <c r="E160" i="2"/>
  <c r="E156" i="2"/>
  <c r="E152" i="2"/>
  <c r="E148" i="2"/>
  <c r="E144" i="2"/>
  <c r="E140" i="2"/>
  <c r="E136" i="2"/>
  <c r="E132" i="2"/>
  <c r="E128" i="2"/>
  <c r="E124" i="2"/>
  <c r="E120" i="2"/>
  <c r="E116" i="2"/>
  <c r="E112" i="2"/>
  <c r="E108" i="2"/>
  <c r="E104" i="2"/>
  <c r="E100" i="2"/>
  <c r="E96" i="2"/>
  <c r="E92" i="2"/>
  <c r="E88" i="2"/>
  <c r="E84" i="2"/>
  <c r="E80" i="2"/>
  <c r="E76" i="2"/>
  <c r="E72" i="2"/>
  <c r="E68" i="2"/>
  <c r="E64" i="2"/>
  <c r="E60" i="2"/>
  <c r="E56" i="2"/>
  <c r="E52" i="2"/>
  <c r="E48" i="2"/>
  <c r="E44" i="2"/>
  <c r="E40" i="2"/>
  <c r="E36" i="2"/>
  <c r="E32" i="2"/>
  <c r="E28" i="2"/>
  <c r="E24" i="2"/>
  <c r="E20" i="2"/>
  <c r="E16" i="2"/>
  <c r="E12" i="2"/>
  <c r="E8" i="2"/>
  <c r="E6" i="2"/>
  <c r="E1504" i="2"/>
  <c r="E1380" i="2"/>
  <c r="E1316" i="2"/>
  <c r="E1252" i="2"/>
  <c r="E1188" i="2"/>
  <c r="E1124" i="2"/>
  <c r="E1060" i="2"/>
  <c r="E996" i="2"/>
  <c r="E932" i="2"/>
  <c r="E868" i="2"/>
  <c r="E822" i="2"/>
  <c r="E806" i="2"/>
  <c r="E790" i="2"/>
  <c r="E774" i="2"/>
  <c r="E758" i="2"/>
  <c r="E742" i="2"/>
  <c r="E726" i="2"/>
  <c r="E710" i="2"/>
  <c r="E694" i="2"/>
  <c r="E678" i="2"/>
  <c r="E662" i="2"/>
  <c r="E646" i="2"/>
  <c r="E630" i="2"/>
  <c r="E614" i="2"/>
  <c r="E598" i="2"/>
  <c r="E582" i="2"/>
  <c r="E566" i="2"/>
  <c r="E550" i="2"/>
  <c r="E534" i="2"/>
  <c r="E518" i="2"/>
  <c r="E502" i="2"/>
  <c r="E486" i="2"/>
  <c r="E470" i="2"/>
  <c r="E454" i="2"/>
  <c r="E438" i="2"/>
  <c r="E430" i="2"/>
  <c r="E422" i="2"/>
  <c r="E414" i="2"/>
  <c r="E406" i="2"/>
  <c r="E398" i="2"/>
  <c r="E390" i="2"/>
  <c r="E382" i="2"/>
  <c r="E374" i="2"/>
  <c r="E366" i="2"/>
  <c r="E358" i="2"/>
  <c r="E350" i="2"/>
  <c r="E342" i="2"/>
  <c r="E334" i="2"/>
  <c r="E326" i="2"/>
  <c r="E319" i="2"/>
  <c r="E315" i="2"/>
  <c r="E311" i="2"/>
  <c r="E307" i="2"/>
  <c r="E303" i="2"/>
  <c r="E299" i="2"/>
  <c r="E295" i="2"/>
  <c r="E291" i="2"/>
  <c r="E287" i="2"/>
  <c r="E283" i="2"/>
  <c r="E279" i="2"/>
  <c r="E275" i="2"/>
  <c r="E271" i="2"/>
  <c r="E267" i="2"/>
  <c r="E263" i="2"/>
  <c r="E259" i="2"/>
  <c r="E255" i="2"/>
  <c r="E251" i="2"/>
  <c r="E247" i="2"/>
  <c r="E243" i="2"/>
  <c r="E239" i="2"/>
  <c r="E235" i="2"/>
  <c r="E231" i="2"/>
  <c r="E227" i="2"/>
  <c r="E223" i="2"/>
  <c r="E219" i="2"/>
  <c r="E215" i="2"/>
  <c r="E211" i="2"/>
  <c r="E207" i="2"/>
  <c r="E203" i="2"/>
  <c r="E199" i="2"/>
  <c r="E195" i="2"/>
  <c r="E191" i="2"/>
  <c r="E187" i="2"/>
  <c r="E183" i="2"/>
  <c r="E179" i="2"/>
  <c r="E175" i="2"/>
  <c r="E159" i="2"/>
  <c r="E143" i="2"/>
  <c r="E127" i="2"/>
  <c r="E111" i="2"/>
  <c r="E95" i="2"/>
  <c r="E79" i="2"/>
  <c r="E63" i="2"/>
  <c r="E47" i="2"/>
  <c r="E31" i="2"/>
  <c r="E15" i="2"/>
  <c r="E147" i="2"/>
  <c r="E83" i="2"/>
  <c r="E19" i="2"/>
  <c r="E171" i="2"/>
  <c r="E155" i="2"/>
  <c r="E139" i="2"/>
  <c r="E123" i="2"/>
  <c r="E107" i="2"/>
  <c r="E91" i="2"/>
  <c r="E75" i="2"/>
  <c r="E59" i="2"/>
  <c r="E43" i="2"/>
  <c r="E27" i="2"/>
  <c r="E11" i="2"/>
  <c r="E3" i="2"/>
  <c r="E2" i="2"/>
  <c r="E131" i="2"/>
  <c r="E67" i="2"/>
  <c r="E35" i="2"/>
  <c r="E167" i="2"/>
  <c r="E151" i="2"/>
  <c r="E135" i="2"/>
  <c r="E119" i="2"/>
  <c r="E103" i="2"/>
  <c r="E87" i="2"/>
  <c r="E71" i="2"/>
  <c r="E55" i="2"/>
  <c r="E39" i="2"/>
  <c r="E23" i="2"/>
  <c r="E4" i="2"/>
  <c r="C2" i="2"/>
  <c r="C3" i="2" s="1"/>
  <c r="C4" i="2" s="1"/>
  <c r="C5" i="2" s="1"/>
  <c r="C6" i="2" s="1"/>
  <c r="C7" i="2" s="1"/>
  <c r="C8" i="2" s="1"/>
  <c r="E163" i="2"/>
  <c r="E115" i="2"/>
  <c r="E99" i="2"/>
  <c r="E51" i="2"/>
  <c r="E5" i="2"/>
</calcChain>
</file>

<file path=xl/sharedStrings.xml><?xml version="1.0" encoding="utf-8"?>
<sst xmlns="http://schemas.openxmlformats.org/spreadsheetml/2006/main" count="118" uniqueCount="65">
  <si>
    <t>VReeMind Inc.</t>
  </si>
  <si>
    <t>Expected Month:</t>
  </si>
  <si>
    <t>Exit at Year:</t>
  </si>
  <si>
    <t>Pre-Seed</t>
  </si>
  <si>
    <t>Seed</t>
  </si>
  <si>
    <t>Series A</t>
  </si>
  <si>
    <t>Series B</t>
  </si>
  <si>
    <t>Series C</t>
  </si>
  <si>
    <t>Series D</t>
  </si>
  <si>
    <t>Exit</t>
  </si>
  <si>
    <t>Share price</t>
  </si>
  <si>
    <t>Multiplier:</t>
  </si>
  <si>
    <t>Multipliers</t>
  </si>
  <si>
    <t>Net shares added this round</t>
  </si>
  <si>
    <t>Cumulative shareholding</t>
  </si>
  <si>
    <t>Ownership</t>
  </si>
  <si>
    <t>Founders Returns</t>
  </si>
  <si>
    <t>Laurens</t>
  </si>
  <si>
    <t>Common stock</t>
  </si>
  <si>
    <t>EBITDA</t>
  </si>
  <si>
    <t>Founder restricted stock</t>
  </si>
  <si>
    <t>Founders</t>
  </si>
  <si>
    <t>Aaron</t>
  </si>
  <si>
    <t>Senior Leadership Team</t>
  </si>
  <si>
    <t>IP license</t>
  </si>
  <si>
    <t>Option pool</t>
  </si>
  <si>
    <t>Scott</t>
  </si>
  <si>
    <t>Staff Stock Options</t>
  </si>
  <si>
    <t>Issued and outstanding</t>
  </si>
  <si>
    <t>Reserved</t>
    <phoneticPr fontId="0"/>
  </si>
  <si>
    <t>Sam</t>
  </si>
  <si>
    <t>Total</t>
  </si>
  <si>
    <t>TOTAL</t>
  </si>
  <si>
    <t>Preference Stock</t>
  </si>
  <si>
    <t>Investment in this round</t>
  </si>
  <si>
    <t>CAGR</t>
  </si>
  <si>
    <t>ROI</t>
  </si>
  <si>
    <t>ROI Multiplier</t>
  </si>
  <si>
    <t>Co-Founders (pre-seed)</t>
  </si>
  <si>
    <t>Seed Investor</t>
  </si>
  <si>
    <t>Investor 7</t>
  </si>
  <si>
    <t>Investor 8</t>
  </si>
  <si>
    <t>Investor 9</t>
  </si>
  <si>
    <t>Investor 10</t>
  </si>
  <si>
    <t>Investor 11</t>
  </si>
  <si>
    <t>Investor 12</t>
  </si>
  <si>
    <t>Investor 13</t>
  </si>
  <si>
    <t>Investor 14</t>
  </si>
  <si>
    <t>Investor 15</t>
  </si>
  <si>
    <t>Total allocated shares</t>
  </si>
  <si>
    <t>Pre-money valuation</t>
  </si>
  <si>
    <t>Post-money valuation</t>
  </si>
  <si>
    <t>Difference</t>
  </si>
  <si>
    <t>Original</t>
  </si>
  <si>
    <t>Average</t>
  </si>
  <si>
    <t>Bin</t>
  </si>
  <si>
    <t>Random</t>
  </si>
  <si>
    <t>Norm Dist</t>
  </si>
  <si>
    <t>Histogram</t>
  </si>
  <si>
    <t>Probability Distribution</t>
  </si>
  <si>
    <t>Frequency</t>
  </si>
  <si>
    <t>STDEV</t>
  </si>
  <si>
    <t>Mean</t>
  </si>
  <si>
    <t>Std Dev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</si>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</sst>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#,##0_);[Red]\(&quot;$&quot;#,##0\)"/>
    <numFmt numFmtId="165" formatCode="&quot;$&quot;#,##0.00_);[Red]\(&quot;$&quot;#,##0.00\)"/>
    <numFmt numFmtId="166" formatCode="_(&quot;£&quot;* #,##0.00_);_(&quot;£&quot;* \(#,##0.00\);_(&quot;£&quot;* &quot;-&quot;??_);_(@_)"/>
    <numFmt numFmtId="167" formatCode="#.00\x"/>
    <numFmt numFmtId="168" formatCode="#.#\x"/>
    <numFmt numFmtId="169" formatCode="_(&quot;£&quot;* #,##0_);_(&quot;£&quot;* \(#,##0\);_(&quot;£&quot;* &quot;-&quot;??_);_(@_)"/>
    <numFmt numFmtId="170" formatCode="_(* #,##0_);_(* \(#,##0\);_(* &quot;-&quot;??_);_(@_)"/>
    <numFmt numFmtId="171" formatCode="_(* #,##0.00_);_(* \(#,##0.00\);_(* &quot;-&quot;??_);_(@_)"/>
    <numFmt numFmtId="172" formatCode="_-[$$-409]* #,##0_ ;_-[$$-409]* \-#,##0\ ;_-[$$-409]* &quot;-&quot;??_ ;_-@_ "/>
    <numFmt numFmtId="173" formatCode="_-[$$-409]* #,##0.00_ ;_-[$$-409]* \-#,##0.00\ ;_-[$$-409]* &quot;-&quot;??_ ;_-@_ "/>
    <numFmt numFmtId="174" formatCode="_([$$-409]* #,##0.00_);_([$$-409]* \(#,##0.00\);_([$$-409]* &quot;-&quot;??_);_(@_)"/>
    <numFmt numFmtId="175" formatCode="&quot;$&quot;#,##0"/>
    <numFmt numFmtId="176" formatCode="&quot;$&quot;#,##0.00000000_);[Red]\(&quot;$&quot;#,##0.00000000\)"/>
    <numFmt numFmtId="177" formatCode="mm/dd/yy"/>
    <numFmt numFmtId="178" formatCode="0.00000000000000%"/>
  </numFmts>
  <fonts count="14">
    <font>
      <sz val="10"/>
      <color theme="1"/>
      <name val="Avenir"/>
      <family val="2"/>
    </font>
    <font>
      <sz val="10"/>
      <color theme="1"/>
      <name val="Avenir"/>
      <family val="2"/>
    </font>
    <font>
      <b/>
      <sz val="10"/>
      <name val="Avenir Next Regular"/>
    </font>
    <font>
      <sz val="10"/>
      <name val="Avenir Next Regular"/>
    </font>
    <font>
      <sz val="10"/>
      <color indexed="12"/>
      <name val="Avenir Next Regular"/>
    </font>
    <font>
      <sz val="10"/>
      <color indexed="23"/>
      <name val="Avenir Next Regular"/>
    </font>
    <font>
      <sz val="10"/>
      <color theme="0" tint="-0.499984740745262"/>
      <name val="Avenir Next Regular"/>
    </font>
    <font>
      <sz val="10"/>
      <color rgb="FF92D050"/>
      <name val="Avenir Next Regular"/>
    </font>
    <font>
      <b/>
      <i/>
      <sz val="10"/>
      <name val="Avenir Next Regular"/>
    </font>
    <font>
      <sz val="12"/>
      <name val="Avenir Next Regular"/>
    </font>
    <font>
      <sz val="10"/>
      <color theme="5"/>
      <name val="Avenir Next Regular"/>
    </font>
    <font>
      <b/>
      <sz val="10"/>
      <color theme="1"/>
      <name val="Avenir"/>
    </font>
    <font>
      <i/>
      <sz val="10"/>
      <color theme="1"/>
      <name val="Avenir"/>
      <family val="2"/>
    </font>
    <font>
      <u/>
      <sz val="10"/>
      <color theme="1"/>
      <name val="Avenir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0" fontId="3" fillId="3" borderId="2" xfId="0" applyFont="1" applyFill="1" applyBorder="1"/>
    <xf numFmtId="10" fontId="3" fillId="2" borderId="3" xfId="0" applyNumberFormat="1" applyFont="1" applyFill="1" applyBorder="1"/>
    <xf numFmtId="0" fontId="3" fillId="4" borderId="0" xfId="0" applyFont="1" applyFill="1"/>
    <xf numFmtId="0" fontId="3" fillId="2" borderId="2" xfId="0" applyFont="1" applyFill="1" applyBorder="1"/>
    <xf numFmtId="0" fontId="3" fillId="2" borderId="3" xfId="0" applyFont="1" applyFill="1" applyBorder="1"/>
    <xf numFmtId="164" fontId="3" fillId="5" borderId="1" xfId="0" applyNumberFormat="1" applyFont="1" applyFill="1" applyBorder="1"/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/>
    <xf numFmtId="0" fontId="3" fillId="0" borderId="0" xfId="0" applyFont="1"/>
    <xf numFmtId="164" fontId="3" fillId="2" borderId="4" xfId="0" applyNumberFormat="1" applyFont="1" applyFill="1" applyBorder="1"/>
    <xf numFmtId="0" fontId="3" fillId="2" borderId="0" xfId="0" applyFont="1" applyFill="1"/>
    <xf numFmtId="10" fontId="3" fillId="2" borderId="5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5" borderId="4" xfId="0" applyFont="1" applyFill="1" applyBorder="1"/>
    <xf numFmtId="0" fontId="3" fillId="5" borderId="0" xfId="0" applyFont="1" applyFill="1"/>
    <xf numFmtId="0" fontId="3" fillId="5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165" fontId="2" fillId="0" borderId="0" xfId="0" applyNumberFormat="1" applyFont="1"/>
    <xf numFmtId="164" fontId="3" fillId="0" borderId="0" xfId="0" applyNumberFormat="1" applyFont="1"/>
    <xf numFmtId="166" fontId="4" fillId="6" borderId="0" xfId="2" applyFont="1" applyFill="1" applyAlignment="1">
      <alignment horizontal="center"/>
    </xf>
    <xf numFmtId="166" fontId="3" fillId="0" borderId="0" xfId="2" applyFont="1"/>
    <xf numFmtId="166" fontId="3" fillId="4" borderId="0" xfId="2" applyFont="1" applyFill="1"/>
    <xf numFmtId="10" fontId="3" fillId="0" borderId="0" xfId="0" applyNumberFormat="1" applyFont="1"/>
    <xf numFmtId="165" fontId="3" fillId="0" borderId="0" xfId="0" applyNumberFormat="1" applyFont="1"/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9" fontId="4" fillId="6" borderId="0" xfId="2" applyNumberFormat="1" applyFont="1" applyFill="1" applyAlignment="1">
      <alignment horizontal="center"/>
    </xf>
    <xf numFmtId="0" fontId="3" fillId="0" borderId="0" xfId="0" applyFont="1" applyAlignment="1">
      <alignment wrapText="1"/>
    </xf>
    <xf numFmtId="164" fontId="2" fillId="0" borderId="9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10" fontId="2" fillId="0" borderId="9" xfId="0" applyNumberFormat="1" applyFont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170" fontId="3" fillId="0" borderId="0" xfId="0" applyNumberFormat="1" applyFont="1" applyAlignment="1">
      <alignment wrapText="1"/>
    </xf>
    <xf numFmtId="0" fontId="2" fillId="0" borderId="10" xfId="0" applyFont="1" applyBorder="1" applyAlignment="1">
      <alignment wrapText="1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11" xfId="0" applyFont="1" applyBorder="1"/>
    <xf numFmtId="0" fontId="2" fillId="0" borderId="10" xfId="0" applyFont="1" applyBorder="1" applyAlignment="1">
      <alignment horizontal="center"/>
    </xf>
    <xf numFmtId="169" fontId="5" fillId="0" borderId="11" xfId="2" applyNumberFormat="1" applyFont="1" applyBorder="1"/>
    <xf numFmtId="0" fontId="2" fillId="7" borderId="0" xfId="0" applyFont="1" applyFill="1" applyAlignment="1">
      <alignment horizontal="left" indent="1"/>
    </xf>
    <xf numFmtId="0" fontId="2" fillId="7" borderId="0" xfId="0" applyFont="1" applyFill="1"/>
    <xf numFmtId="38" fontId="2" fillId="7" borderId="0" xfId="0" applyNumberFormat="1" applyFont="1" applyFill="1"/>
    <xf numFmtId="10" fontId="2" fillId="7" borderId="0" xfId="0" applyNumberFormat="1" applyFont="1" applyFill="1"/>
    <xf numFmtId="0" fontId="2" fillId="4" borderId="0" xfId="0" applyFont="1" applyFill="1"/>
    <xf numFmtId="0" fontId="6" fillId="0" borderId="0" xfId="0" applyFont="1" applyAlignment="1">
      <alignment horizontal="left" indent="2"/>
    </xf>
    <xf numFmtId="170" fontId="4" fillId="6" borderId="0" xfId="1" applyNumberFormat="1" applyFont="1" applyFill="1"/>
    <xf numFmtId="170" fontId="6" fillId="0" borderId="0" xfId="1" applyNumberFormat="1" applyFont="1"/>
    <xf numFmtId="10" fontId="6" fillId="0" borderId="0" xfId="0" applyNumberFormat="1" applyFont="1"/>
    <xf numFmtId="0" fontId="5" fillId="4" borderId="0" xfId="0" applyFont="1" applyFill="1"/>
    <xf numFmtId="38" fontId="6" fillId="0" borderId="0" xfId="0" applyNumberFormat="1" applyFont="1"/>
    <xf numFmtId="9" fontId="6" fillId="0" borderId="0" xfId="3" applyFont="1" applyAlignment="1"/>
    <xf numFmtId="0" fontId="5" fillId="0" borderId="0" xfId="0" applyFont="1"/>
    <xf numFmtId="172" fontId="7" fillId="0" borderId="11" xfId="2" applyNumberFormat="1" applyFont="1" applyBorder="1"/>
    <xf numFmtId="169" fontId="5" fillId="0" borderId="0" xfId="0" applyNumberFormat="1" applyFont="1"/>
    <xf numFmtId="0" fontId="5" fillId="0" borderId="11" xfId="0" applyFont="1" applyBorder="1"/>
    <xf numFmtId="9" fontId="2" fillId="7" borderId="0" xfId="3" applyFont="1" applyFill="1" applyBorder="1"/>
    <xf numFmtId="172" fontId="3" fillId="0" borderId="11" xfId="0" applyNumberFormat="1" applyFont="1" applyBorder="1"/>
    <xf numFmtId="10" fontId="6" fillId="0" borderId="0" xfId="0" applyNumberFormat="1" applyFont="1" applyAlignment="1">
      <alignment horizontal="right"/>
    </xf>
    <xf numFmtId="0" fontId="5" fillId="4" borderId="0" xfId="0" applyFont="1" applyFill="1" applyAlignment="1">
      <alignment horizontal="right"/>
    </xf>
    <xf numFmtId="0" fontId="6" fillId="0" borderId="9" xfId="0" applyFont="1" applyBorder="1" applyAlignment="1">
      <alignment horizontal="left" indent="2"/>
    </xf>
    <xf numFmtId="170" fontId="4" fillId="6" borderId="9" xfId="1" applyNumberFormat="1" applyFont="1" applyFill="1" applyBorder="1"/>
    <xf numFmtId="170" fontId="6" fillId="0" borderId="9" xfId="1" applyNumberFormat="1" applyFont="1" applyBorder="1"/>
    <xf numFmtId="10" fontId="6" fillId="0" borderId="9" xfId="0" applyNumberFormat="1" applyFont="1" applyBorder="1" applyAlignment="1">
      <alignment horizontal="right"/>
    </xf>
    <xf numFmtId="38" fontId="6" fillId="0" borderId="9" xfId="0" applyNumberFormat="1" applyFont="1" applyBorder="1"/>
    <xf numFmtId="9" fontId="6" fillId="0" borderId="9" xfId="3" applyFont="1" applyBorder="1" applyAlignment="1"/>
    <xf numFmtId="170" fontId="3" fillId="0" borderId="0" xfId="0" applyNumberFormat="1" applyFont="1"/>
    <xf numFmtId="38" fontId="3" fillId="0" borderId="0" xfId="0" applyNumberFormat="1" applyFont="1"/>
    <xf numFmtId="168" fontId="2" fillId="0" borderId="0" xfId="0" applyNumberFormat="1" applyFont="1" applyAlignment="1">
      <alignment horizontal="right"/>
    </xf>
    <xf numFmtId="9" fontId="3" fillId="0" borderId="0" xfId="3" applyFont="1"/>
    <xf numFmtId="169" fontId="5" fillId="0" borderId="12" xfId="2" applyNumberFormat="1" applyFont="1" applyBorder="1"/>
    <xf numFmtId="10" fontId="2" fillId="0" borderId="9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170" fontId="2" fillId="0" borderId="0" xfId="0" applyNumberFormat="1" applyFont="1"/>
    <xf numFmtId="0" fontId="3" fillId="0" borderId="0" xfId="0" applyFont="1" applyAlignment="1">
      <alignment horizontal="left" indent="1"/>
    </xf>
    <xf numFmtId="173" fontId="4" fillId="6" borderId="0" xfId="2" applyNumberFormat="1" applyFont="1" applyFill="1" applyBorder="1"/>
    <xf numFmtId="10" fontId="3" fillId="0" borderId="16" xfId="3" applyNumberFormat="1" applyFont="1" applyBorder="1"/>
    <xf numFmtId="174" fontId="3" fillId="0" borderId="17" xfId="0" applyNumberFormat="1" applyFont="1" applyBorder="1"/>
    <xf numFmtId="14" fontId="3" fillId="0" borderId="0" xfId="0" applyNumberFormat="1" applyFont="1"/>
    <xf numFmtId="9" fontId="3" fillId="0" borderId="16" xfId="3" applyFont="1" applyBorder="1"/>
    <xf numFmtId="9" fontId="3" fillId="0" borderId="0" xfId="0" applyNumberFormat="1" applyFont="1"/>
    <xf numFmtId="3" fontId="3" fillId="0" borderId="17" xfId="0" applyNumberFormat="1" applyFont="1" applyBorder="1"/>
    <xf numFmtId="9" fontId="8" fillId="8" borderId="18" xfId="3" applyFont="1" applyFill="1" applyBorder="1"/>
    <xf numFmtId="9" fontId="8" fillId="8" borderId="19" xfId="0" applyNumberFormat="1" applyFont="1" applyFill="1" applyBorder="1"/>
    <xf numFmtId="3" fontId="8" fillId="8" borderId="20" xfId="0" applyNumberFormat="1" applyFont="1" applyFill="1" applyBorder="1"/>
    <xf numFmtId="0" fontId="8" fillId="0" borderId="0" xfId="0" applyFont="1" applyAlignment="1">
      <alignment horizontal="right"/>
    </xf>
    <xf numFmtId="10" fontId="3" fillId="0" borderId="0" xfId="3" applyNumberFormat="1" applyFont="1"/>
    <xf numFmtId="173" fontId="4" fillId="6" borderId="9" xfId="2" applyNumberFormat="1" applyFont="1" applyFill="1" applyBorder="1"/>
    <xf numFmtId="38" fontId="3" fillId="0" borderId="9" xfId="0" applyNumberFormat="1" applyFont="1" applyBorder="1"/>
    <xf numFmtId="10" fontId="3" fillId="0" borderId="9" xfId="0" applyNumberFormat="1" applyFont="1" applyBorder="1"/>
    <xf numFmtId="0" fontId="3" fillId="4" borderId="9" xfId="0" applyFont="1" applyFill="1" applyBorder="1"/>
    <xf numFmtId="10" fontId="3" fillId="0" borderId="0" xfId="3" applyNumberFormat="1" applyFont="1" applyBorder="1"/>
    <xf numFmtId="0" fontId="2" fillId="0" borderId="0" xfId="0" applyFont="1" applyAlignment="1">
      <alignment horizontal="right"/>
    </xf>
    <xf numFmtId="173" fontId="3" fillId="0" borderId="0" xfId="0" applyNumberFormat="1" applyFont="1"/>
    <xf numFmtId="173" fontId="3" fillId="0" borderId="0" xfId="2" applyNumberFormat="1" applyFont="1"/>
    <xf numFmtId="0" fontId="3" fillId="0" borderId="21" xfId="0" applyFont="1" applyBorder="1"/>
    <xf numFmtId="38" fontId="3" fillId="0" borderId="21" xfId="0" applyNumberFormat="1" applyFont="1" applyBorder="1"/>
    <xf numFmtId="10" fontId="3" fillId="0" borderId="21" xfId="0" applyNumberFormat="1" applyFont="1" applyBorder="1"/>
    <xf numFmtId="0" fontId="9" fillId="4" borderId="0" xfId="0" applyFont="1" applyFill="1"/>
    <xf numFmtId="0" fontId="3" fillId="0" borderId="12" xfId="0" applyFont="1" applyBorder="1"/>
    <xf numFmtId="172" fontId="3" fillId="0" borderId="0" xfId="2" applyNumberFormat="1" applyFont="1"/>
    <xf numFmtId="169" fontId="3" fillId="0" borderId="0" xfId="2" applyNumberFormat="1" applyFont="1"/>
    <xf numFmtId="169" fontId="3" fillId="4" borderId="0" xfId="2" applyNumberFormat="1" applyFont="1" applyFill="1"/>
    <xf numFmtId="175" fontId="2" fillId="0" borderId="0" xfId="0" applyNumberFormat="1" applyFont="1" applyAlignment="1">
      <alignment horizontal="right"/>
    </xf>
    <xf numFmtId="175" fontId="3" fillId="0" borderId="0" xfId="0" applyNumberFormat="1" applyFont="1"/>
    <xf numFmtId="172" fontId="10" fillId="0" borderId="0" xfId="2" applyNumberFormat="1" applyFont="1"/>
    <xf numFmtId="0" fontId="9" fillId="0" borderId="0" xfId="0" applyFont="1" applyAlignment="1">
      <alignment horizontal="right"/>
    </xf>
    <xf numFmtId="0" fontId="9" fillId="0" borderId="0" xfId="0" applyFont="1"/>
    <xf numFmtId="172" fontId="9" fillId="0" borderId="0" xfId="0" applyNumberFormat="1" applyFont="1"/>
    <xf numFmtId="175" fontId="9" fillId="0" borderId="0" xfId="0" applyNumberFormat="1" applyFont="1"/>
    <xf numFmtId="38" fontId="3" fillId="4" borderId="0" xfId="0" applyNumberFormat="1" applyFont="1" applyFill="1"/>
    <xf numFmtId="176" fontId="9" fillId="4" borderId="0" xfId="0" applyNumberFormat="1" applyFont="1" applyFill="1"/>
    <xf numFmtId="177" fontId="9" fillId="4" borderId="0" xfId="0" applyNumberFormat="1" applyFont="1" applyFill="1"/>
    <xf numFmtId="0" fontId="9" fillId="4" borderId="0" xfId="0" applyFont="1" applyFill="1" applyAlignment="1">
      <alignment horizontal="right"/>
    </xf>
    <xf numFmtId="175" fontId="9" fillId="4" borderId="0" xfId="0" applyNumberFormat="1" applyFont="1" applyFill="1"/>
    <xf numFmtId="10" fontId="9" fillId="4" borderId="0" xfId="0" applyNumberFormat="1" applyFont="1" applyFill="1"/>
    <xf numFmtId="10" fontId="3" fillId="4" borderId="0" xfId="0" applyNumberFormat="1" applyFont="1" applyFill="1" applyAlignment="1">
      <alignment horizontal="right"/>
    </xf>
    <xf numFmtId="38" fontId="3" fillId="0" borderId="0" xfId="0" applyNumberFormat="1" applyFont="1" applyAlignment="1">
      <alignment horizontal="right"/>
    </xf>
    <xf numFmtId="38" fontId="9" fillId="0" borderId="0" xfId="0" applyNumberFormat="1" applyFont="1"/>
    <xf numFmtId="0" fontId="0" fillId="0" borderId="0" xfId="0" applyAlignment="1">
      <alignment horizontal="right"/>
    </xf>
    <xf numFmtId="10" fontId="2" fillId="0" borderId="0" xfId="0" applyNumberFormat="1" applyFont="1" applyAlignment="1">
      <alignment horizontal="right"/>
    </xf>
    <xf numFmtId="170" fontId="0" fillId="0" borderId="0" xfId="1" applyNumberFormat="1" applyFont="1" applyAlignment="1">
      <alignment horizontal="left"/>
    </xf>
    <xf numFmtId="170" fontId="3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70" fontId="0" fillId="0" borderId="0" xfId="1" applyNumberFormat="1" applyFont="1" applyAlignment="1">
      <alignment horizontal="right"/>
    </xf>
    <xf numFmtId="9" fontId="0" fillId="0" borderId="0" xfId="3" applyFont="1"/>
    <xf numFmtId="0" fontId="11" fillId="0" borderId="0" xfId="0" applyFont="1"/>
    <xf numFmtId="0" fontId="11" fillId="0" borderId="0" xfId="0" applyFont="1" applyAlignment="1">
      <alignment wrapText="1"/>
    </xf>
    <xf numFmtId="9" fontId="0" fillId="0" borderId="0" xfId="0" applyNumberFormat="1"/>
    <xf numFmtId="178" fontId="0" fillId="0" borderId="0" xfId="0" applyNumberFormat="1"/>
    <xf numFmtId="0" fontId="12" fillId="0" borderId="22" xfId="0" applyFont="1" applyBorder="1" applyAlignment="1">
      <alignment horizontal="center"/>
    </xf>
    <xf numFmtId="0" fontId="12" fillId="0" borderId="0" xfId="0" applyFont="1" applyAlignment="1">
      <alignment horizontal="center"/>
    </xf>
    <xf numFmtId="2" fontId="0" fillId="0" borderId="0" xfId="0" applyNumberFormat="1"/>
    <xf numFmtId="0" fontId="0" fillId="0" borderId="7" xfId="0" applyBorder="1"/>
    <xf numFmtId="0" fontId="13" fillId="9" borderId="0" xfId="0" applyFont="1" applyFill="1"/>
    <xf numFmtId="0" fontId="0" fillId="9" borderId="0" xfId="0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'ROI Analysis'!$Q$1</c:f>
              <c:strCache>
                <c:ptCount val="1"/>
                <c:pt idx="0">
                  <c:v>Probability Distribution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</a:ln>
            <a:effectLst>
              <a:glow rad="139700">
                <a:schemeClr val="accent6">
                  <a:tint val="77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'ROI Analysis'!$P$2:$P$6</c:f>
              <c:numCache>
                <c:formatCode>0%</c:formatCode>
                <c:ptCount val="5"/>
                <c:pt idx="0">
                  <c:v>1.278910262142599</c:v>
                </c:pt>
                <c:pt idx="1">
                  <c:v>1.4586466165413534</c:v>
                </c:pt>
                <c:pt idx="2">
                  <c:v>1.4792370885724875</c:v>
                </c:pt>
                <c:pt idx="3">
                  <c:v>1.530091428564194</c:v>
                </c:pt>
                <c:pt idx="4">
                  <c:v>1.7363498469555623</c:v>
                </c:pt>
              </c:numCache>
            </c:numRef>
          </c:xVal>
          <c:yVal>
            <c:numRef>
              <c:f>'ROI Analysis'!$Q$2:$Q$6</c:f>
              <c:numCache>
                <c:formatCode>General</c:formatCode>
                <c:ptCount val="5"/>
                <c:pt idx="0">
                  <c:v>0.71513140767605643</c:v>
                </c:pt>
                <c:pt idx="1">
                  <c:v>3.0180938518657521</c:v>
                </c:pt>
                <c:pt idx="2">
                  <c:v>3.127913795075203</c:v>
                </c:pt>
                <c:pt idx="3">
                  <c:v>3.0490263522909875</c:v>
                </c:pt>
                <c:pt idx="4">
                  <c:v>0.5220155839767634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10-440B-A355-205AB6EBB5A1}"/>
            </c:ext>
          </c:extLst>
        </c:ser>
        <c:ser>
          <c:idx val="0"/>
          <c:order val="1"/>
          <c:tx>
            <c:strRef>
              <c:f>'ROI Analysis'!$Q$1</c:f>
              <c:strCache>
                <c:ptCount val="1"/>
                <c:pt idx="0">
                  <c:v>Probability Distribution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'ROI Analysis'!$P$2:$P$6</c:f>
              <c:numCache>
                <c:formatCode>0%</c:formatCode>
                <c:ptCount val="5"/>
                <c:pt idx="0">
                  <c:v>1.278910262142599</c:v>
                </c:pt>
                <c:pt idx="1">
                  <c:v>1.4586466165413534</c:v>
                </c:pt>
                <c:pt idx="2">
                  <c:v>1.4792370885724875</c:v>
                </c:pt>
                <c:pt idx="3">
                  <c:v>1.530091428564194</c:v>
                </c:pt>
                <c:pt idx="4">
                  <c:v>1.7363498469555623</c:v>
                </c:pt>
              </c:numCache>
            </c:numRef>
          </c:xVal>
          <c:yVal>
            <c:numRef>
              <c:f>'ROI Analysis'!$Q$2:$Q$6</c:f>
              <c:numCache>
                <c:formatCode>General</c:formatCode>
                <c:ptCount val="5"/>
                <c:pt idx="0">
                  <c:v>0.71513140767605643</c:v>
                </c:pt>
                <c:pt idx="1">
                  <c:v>3.0180938518657521</c:v>
                </c:pt>
                <c:pt idx="2">
                  <c:v>3.127913795075203</c:v>
                </c:pt>
                <c:pt idx="3">
                  <c:v>3.0490263522909875</c:v>
                </c:pt>
                <c:pt idx="4">
                  <c:v>0.5220155839767634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10-440B-A355-205AB6EBB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898696"/>
        <c:axId val="369895088"/>
      </c:scatterChart>
      <c:valAx>
        <c:axId val="369898696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95088"/>
        <c:crosses val="autoZero"/>
        <c:crossBetween val="midCat"/>
      </c:valAx>
      <c:valAx>
        <c:axId val="36989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98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u="none" cap="small" baseline="0">
                <a:latin typeface="Avenir Next LT Pro" panose="020B0504020202020204" pitchFamily="34" charset="0"/>
              </a:rPr>
              <a:t>VReeMind</a:t>
            </a:r>
          </a:p>
          <a:p>
            <a:pPr>
              <a:defRPr/>
            </a:pPr>
            <a:r>
              <a:rPr lang="en-US" sz="1400" u="none" cap="small" baseline="0">
                <a:latin typeface="Avenir Next LT Pro" panose="020B0504020202020204" pitchFamily="34" charset="0"/>
              </a:rPr>
              <a:t>Risk/Reward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'ROI Analysis'!$E$1</c:f>
              <c:strCache>
                <c:ptCount val="1"/>
                <c:pt idx="0">
                  <c:v>Norm Dist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'ROI Analysis'!$D$2:$D$2001</c:f>
              <c:numCache>
                <c:formatCode>0%</c:formatCode>
                <c:ptCount val="2000"/>
                <c:pt idx="0">
                  <c:v>0.94183960382360965</c:v>
                </c:pt>
                <c:pt idx="1">
                  <c:v>0.99879718318697996</c:v>
                </c:pt>
                <c:pt idx="2">
                  <c:v>1.0148217264795676</c:v>
                </c:pt>
                <c:pt idx="3">
                  <c:v>1.0222488993022125</c:v>
                </c:pt>
                <c:pt idx="4">
                  <c:v>1.0561189567160909</c:v>
                </c:pt>
                <c:pt idx="5">
                  <c:v>1.0745018064917531</c:v>
                </c:pt>
                <c:pt idx="6">
                  <c:v>1.0755764778004959</c:v>
                </c:pt>
                <c:pt idx="7">
                  <c:v>1.0803707059167209</c:v>
                </c:pt>
                <c:pt idx="8">
                  <c:v>1.0881322209243081</c:v>
                </c:pt>
                <c:pt idx="9">
                  <c:v>1.094807123830833</c:v>
                </c:pt>
                <c:pt idx="10">
                  <c:v>1.0979117298338679</c:v>
                </c:pt>
                <c:pt idx="11">
                  <c:v>1.1006342304826831</c:v>
                </c:pt>
                <c:pt idx="12">
                  <c:v>1.1025447572537814</c:v>
                </c:pt>
                <c:pt idx="13">
                  <c:v>1.105992661035998</c:v>
                </c:pt>
                <c:pt idx="14">
                  <c:v>1.1107540519733448</c:v>
                </c:pt>
                <c:pt idx="15">
                  <c:v>1.1128138386484352</c:v>
                </c:pt>
                <c:pt idx="16">
                  <c:v>1.1259248286150978</c:v>
                </c:pt>
                <c:pt idx="17">
                  <c:v>1.1303399365751829</c:v>
                </c:pt>
                <c:pt idx="18">
                  <c:v>1.1309727985681093</c:v>
                </c:pt>
                <c:pt idx="19">
                  <c:v>1.1343550279925694</c:v>
                </c:pt>
                <c:pt idx="20">
                  <c:v>1.135546122026426</c:v>
                </c:pt>
                <c:pt idx="21">
                  <c:v>1.136280480754067</c:v>
                </c:pt>
                <c:pt idx="22">
                  <c:v>1.1372984332992928</c:v>
                </c:pt>
                <c:pt idx="23">
                  <c:v>1.1372984332992928</c:v>
                </c:pt>
                <c:pt idx="24">
                  <c:v>1.1378745765287022</c:v>
                </c:pt>
                <c:pt idx="25">
                  <c:v>1.1385880388697842</c:v>
                </c:pt>
                <c:pt idx="26">
                  <c:v>1.1419165347288072</c:v>
                </c:pt>
                <c:pt idx="27">
                  <c:v>1.1425926820938912</c:v>
                </c:pt>
                <c:pt idx="28">
                  <c:v>1.1425926820938912</c:v>
                </c:pt>
                <c:pt idx="29">
                  <c:v>1.142859857322037</c:v>
                </c:pt>
                <c:pt idx="30">
                  <c:v>1.1466510588834353</c:v>
                </c:pt>
                <c:pt idx="31">
                  <c:v>1.1489108538298751</c:v>
                </c:pt>
                <c:pt idx="32">
                  <c:v>1.15182739235388</c:v>
                </c:pt>
                <c:pt idx="33">
                  <c:v>1.1528916154693434</c:v>
                </c:pt>
                <c:pt idx="34">
                  <c:v>1.1556633718864759</c:v>
                </c:pt>
                <c:pt idx="35">
                  <c:v>1.1588844006146246</c:v>
                </c:pt>
                <c:pt idx="36">
                  <c:v>1.1592112798043672</c:v>
                </c:pt>
                <c:pt idx="37">
                  <c:v>1.1603949108430243</c:v>
                </c:pt>
                <c:pt idx="38">
                  <c:v>1.1611382251649047</c:v>
                </c:pt>
                <c:pt idx="39">
                  <c:v>1.1613501742285735</c:v>
                </c:pt>
                <c:pt idx="40">
                  <c:v>1.1654637771825946</c:v>
                </c:pt>
                <c:pt idx="41">
                  <c:v>1.1666578564145311</c:v>
                </c:pt>
                <c:pt idx="42">
                  <c:v>1.1708923598907859</c:v>
                </c:pt>
                <c:pt idx="43">
                  <c:v>1.171078934770776</c:v>
                </c:pt>
                <c:pt idx="44">
                  <c:v>1.1716401520097861</c:v>
                </c:pt>
                <c:pt idx="45">
                  <c:v>1.1735685899693635</c:v>
                </c:pt>
                <c:pt idx="46">
                  <c:v>1.1741104034208547</c:v>
                </c:pt>
                <c:pt idx="47">
                  <c:v>1.1779866831275285</c:v>
                </c:pt>
                <c:pt idx="48">
                  <c:v>1.1797748167773534</c:v>
                </c:pt>
                <c:pt idx="49">
                  <c:v>1.1817719142927672</c:v>
                </c:pt>
                <c:pt idx="50">
                  <c:v>1.1831600313998933</c:v>
                </c:pt>
                <c:pt idx="51">
                  <c:v>1.1834824327925162</c:v>
                </c:pt>
                <c:pt idx="52">
                  <c:v>1.1834824327925162</c:v>
                </c:pt>
                <c:pt idx="53">
                  <c:v>1.1869586959564913</c:v>
                </c:pt>
                <c:pt idx="54">
                  <c:v>1.1878826147622021</c:v>
                </c:pt>
                <c:pt idx="55">
                  <c:v>1.1894767105368373</c:v>
                </c:pt>
                <c:pt idx="56">
                  <c:v>1.1904483925118257</c:v>
                </c:pt>
                <c:pt idx="57">
                  <c:v>1.1940903341692319</c:v>
                </c:pt>
                <c:pt idx="58">
                  <c:v>1.1950829125307791</c:v>
                </c:pt>
                <c:pt idx="59">
                  <c:v>1.1973113628973806</c:v>
                </c:pt>
                <c:pt idx="60">
                  <c:v>1.1979972121562241</c:v>
                </c:pt>
                <c:pt idx="61">
                  <c:v>1.1982696114810096</c:v>
                </c:pt>
                <c:pt idx="62">
                  <c:v>1.1998219144825271</c:v>
                </c:pt>
                <c:pt idx="63">
                  <c:v>1.20108316067126</c:v>
                </c:pt>
                <c:pt idx="64">
                  <c:v>1.20108316067126</c:v>
                </c:pt>
                <c:pt idx="65">
                  <c:v>1.2019369273220946</c:v>
                </c:pt>
                <c:pt idx="66">
                  <c:v>1.2032981776465022</c:v>
                </c:pt>
                <c:pt idx="67">
                  <c:v>1.2045758424246742</c:v>
                </c:pt>
                <c:pt idx="68">
                  <c:v>1.2052713935772772</c:v>
                </c:pt>
                <c:pt idx="69">
                  <c:v>1.2098163576538354</c:v>
                </c:pt>
                <c:pt idx="70">
                  <c:v>1.2110074516876921</c:v>
                </c:pt>
                <c:pt idx="71">
                  <c:v>1.2123007887557833</c:v>
                </c:pt>
                <c:pt idx="72">
                  <c:v>1.2149479131530825</c:v>
                </c:pt>
                <c:pt idx="73">
                  <c:v>1.2149479131530825</c:v>
                </c:pt>
                <c:pt idx="74">
                  <c:v>1.2152315069706674</c:v>
                </c:pt>
                <c:pt idx="75">
                  <c:v>1.2159636267997485</c:v>
                </c:pt>
                <c:pt idx="76">
                  <c:v>1.2176330988258997</c:v>
                </c:pt>
                <c:pt idx="77">
                  <c:v>1.2184570134959358</c:v>
                </c:pt>
                <c:pt idx="78">
                  <c:v>1.2189480785800697</c:v>
                </c:pt>
                <c:pt idx="79">
                  <c:v>1.2189480785800697</c:v>
                </c:pt>
                <c:pt idx="80">
                  <c:v>1.2191652517403782</c:v>
                </c:pt>
                <c:pt idx="81">
                  <c:v>1.2205660559393436</c:v>
                </c:pt>
                <c:pt idx="82">
                  <c:v>1.2206197895047808</c:v>
                </c:pt>
                <c:pt idx="83">
                  <c:v>1.2214713172570555</c:v>
                </c:pt>
                <c:pt idx="84">
                  <c:v>1.2220526845831046</c:v>
                </c:pt>
                <c:pt idx="85">
                  <c:v>1.2233087066751978</c:v>
                </c:pt>
                <c:pt idx="86">
                  <c:v>1.2234124423084722</c:v>
                </c:pt>
                <c:pt idx="87">
                  <c:v>1.2250610179480645</c:v>
                </c:pt>
                <c:pt idx="88">
                  <c:v>1.225672237254912</c:v>
                </c:pt>
                <c:pt idx="89">
                  <c:v>1.2259259790916985</c:v>
                </c:pt>
                <c:pt idx="90">
                  <c:v>1.2264304775671917</c:v>
                </c:pt>
                <c:pt idx="91">
                  <c:v>1.2271334917149943</c:v>
                </c:pt>
                <c:pt idx="92">
                  <c:v>1.2276820218621651</c:v>
                </c:pt>
                <c:pt idx="93">
                  <c:v>1.2277320239300025</c:v>
                </c:pt>
                <c:pt idx="94">
                  <c:v>1.2281290552746214</c:v>
                </c:pt>
                <c:pt idx="95">
                  <c:v>1.2282768225795735</c:v>
                </c:pt>
                <c:pt idx="96">
                  <c:v>1.2286223592573151</c:v>
                </c:pt>
                <c:pt idx="97">
                  <c:v>1.2296515062953404</c:v>
                </c:pt>
                <c:pt idx="98">
                  <c:v>1.2297492715324552</c:v>
                </c:pt>
                <c:pt idx="99">
                  <c:v>1.2301866030511519</c:v>
                </c:pt>
                <c:pt idx="100">
                  <c:v>1.2302351125199493</c:v>
                </c:pt>
                <c:pt idx="101">
                  <c:v>1.2313441136066103</c:v>
                </c:pt>
                <c:pt idx="102">
                  <c:v>1.2316792020910725</c:v>
                </c:pt>
                <c:pt idx="103">
                  <c:v>1.2322031043540846</c:v>
                </c:pt>
                <c:pt idx="104">
                  <c:v>1.2326299876795019</c:v>
                </c:pt>
                <c:pt idx="105">
                  <c:v>1.2326777508487794</c:v>
                </c:pt>
                <c:pt idx="106">
                  <c:v>1.2326777508487794</c:v>
                </c:pt>
                <c:pt idx="107">
                  <c:v>1.2331494121453943</c:v>
                </c:pt>
                <c:pt idx="108">
                  <c:v>1.2341800517824595</c:v>
                </c:pt>
                <c:pt idx="109">
                  <c:v>1.2342733392224545</c:v>
                </c:pt>
                <c:pt idx="110">
                  <c:v>1.2349233661043399</c:v>
                </c:pt>
                <c:pt idx="111">
                  <c:v>1.235844299711971</c:v>
                </c:pt>
                <c:pt idx="112">
                  <c:v>1.2363017813177066</c:v>
                </c:pt>
                <c:pt idx="113">
                  <c:v>1.2364391004293793</c:v>
                </c:pt>
                <c:pt idx="114">
                  <c:v>1.2404183694698077</c:v>
                </c:pt>
                <c:pt idx="115">
                  <c:v>1.2404183694698077</c:v>
                </c:pt>
                <c:pt idx="116">
                  <c:v>1.2404616548419654</c:v>
                </c:pt>
                <c:pt idx="117">
                  <c:v>1.2405937498569983</c:v>
                </c:pt>
                <c:pt idx="118">
                  <c:v>1.242028137534362</c:v>
                </c:pt>
                <c:pt idx="119">
                  <c:v>1.2422012790229928</c:v>
                </c:pt>
                <c:pt idx="120">
                  <c:v>1.2425878621743323</c:v>
                </c:pt>
                <c:pt idx="121">
                  <c:v>1.2428460818082385</c:v>
                </c:pt>
                <c:pt idx="122">
                  <c:v>1.2430169843983094</c:v>
                </c:pt>
                <c:pt idx="123">
                  <c:v>1.2445036130420704</c:v>
                </c:pt>
                <c:pt idx="124">
                  <c:v>1.2467156448192327</c:v>
                </c:pt>
                <c:pt idx="125">
                  <c:v>1.2467984840659483</c:v>
                </c:pt>
                <c:pt idx="126">
                  <c:v>1.2471693949273686</c:v>
                </c:pt>
                <c:pt idx="127">
                  <c:v>1.2483963113381833</c:v>
                </c:pt>
                <c:pt idx="128">
                  <c:v>1.248477657985859</c:v>
                </c:pt>
                <c:pt idx="129">
                  <c:v>1.2486806514552882</c:v>
                </c:pt>
                <c:pt idx="130">
                  <c:v>1.2489231987992753</c:v>
                </c:pt>
                <c:pt idx="131">
                  <c:v>1.2500508573739353</c:v>
                </c:pt>
                <c:pt idx="132">
                  <c:v>1.250450127617114</c:v>
                </c:pt>
                <c:pt idx="133">
                  <c:v>1.2517979445501624</c:v>
                </c:pt>
                <c:pt idx="134">
                  <c:v>1.2533629346435191</c:v>
                </c:pt>
                <c:pt idx="135">
                  <c:v>1.2544062613724236</c:v>
                </c:pt>
                <c:pt idx="136">
                  <c:v>1.2554018249320507</c:v>
                </c:pt>
                <c:pt idx="137">
                  <c:v>1.2562749953704042</c:v>
                </c:pt>
                <c:pt idx="138">
                  <c:v>1.2564638091489542</c:v>
                </c:pt>
                <c:pt idx="139">
                  <c:v>1.2572914553165901</c:v>
                </c:pt>
                <c:pt idx="140">
                  <c:v>1.2590392887923372</c:v>
                </c:pt>
                <c:pt idx="141">
                  <c:v>1.2607595091858457</c:v>
                </c:pt>
                <c:pt idx="142">
                  <c:v>1.2611946018059825</c:v>
                </c:pt>
                <c:pt idx="143">
                  <c:v>1.2614475973432491</c:v>
                </c:pt>
                <c:pt idx="144">
                  <c:v>1.261844628687868</c:v>
                </c:pt>
                <c:pt idx="145">
                  <c:v>1.2625618225265498</c:v>
                </c:pt>
                <c:pt idx="146">
                  <c:v>1.2628476552426946</c:v>
                </c:pt>
                <c:pt idx="147">
                  <c:v>1.26331036094507</c:v>
                </c:pt>
                <c:pt idx="148">
                  <c:v>1.2635939547626549</c:v>
                </c:pt>
                <c:pt idx="149">
                  <c:v>1.2640185991895123</c:v>
                </c:pt>
                <c:pt idx="150">
                  <c:v>1.2644410047178098</c:v>
                </c:pt>
                <c:pt idx="151">
                  <c:v>1.264757435714273</c:v>
                </c:pt>
                <c:pt idx="152">
                  <c:v>1.2656306061526266</c:v>
                </c:pt>
                <c:pt idx="153">
                  <c:v>1.2657697910130992</c:v>
                </c:pt>
                <c:pt idx="154">
                  <c:v>1.2660127115068462</c:v>
                </c:pt>
                <c:pt idx="155">
                  <c:v>1.2660477875842844</c:v>
                </c:pt>
                <c:pt idx="156">
                  <c:v>1.2666702013839313</c:v>
                </c:pt>
                <c:pt idx="157">
                  <c:v>1.2667388609397676</c:v>
                </c:pt>
                <c:pt idx="158">
                  <c:v>1.2669455859067966</c:v>
                </c:pt>
                <c:pt idx="159">
                  <c:v>1.2690598524468442</c:v>
                </c:pt>
                <c:pt idx="160">
                  <c:v>1.2693300128730698</c:v>
                </c:pt>
                <c:pt idx="161">
                  <c:v>1.2694983034148208</c:v>
                </c:pt>
                <c:pt idx="162">
                  <c:v>1.2701024328762287</c:v>
                </c:pt>
                <c:pt idx="163">
                  <c:v>1.2702703502682198</c:v>
                </c:pt>
                <c:pt idx="164">
                  <c:v>1.2712360618470484</c:v>
                </c:pt>
                <c:pt idx="165">
                  <c:v>1.2713353196832031</c:v>
                </c:pt>
                <c:pt idx="166">
                  <c:v>1.2714017403404796</c:v>
                </c:pt>
                <c:pt idx="167">
                  <c:v>1.2714681609977561</c:v>
                </c:pt>
                <c:pt idx="168">
                  <c:v>1.2718972832217332</c:v>
                </c:pt>
                <c:pt idx="169">
                  <c:v>1.2734701094600496</c:v>
                </c:pt>
                <c:pt idx="170">
                  <c:v>1.2744750017636761</c:v>
                </c:pt>
                <c:pt idx="171">
                  <c:v>1.2751507759790002</c:v>
                </c:pt>
                <c:pt idx="172">
                  <c:v>1.2759825267939959</c:v>
                </c:pt>
                <c:pt idx="173">
                  <c:v>1.2766497185648404</c:v>
                </c:pt>
                <c:pt idx="174">
                  <c:v>1.2766497185648404</c:v>
                </c:pt>
                <c:pt idx="175">
                  <c:v>1.2766497185648404</c:v>
                </c:pt>
                <c:pt idx="176">
                  <c:v>1.2770609296003386</c:v>
                </c:pt>
                <c:pt idx="177">
                  <c:v>1.2774393034569584</c:v>
                </c:pt>
                <c:pt idx="178">
                  <c:v>1.2778169310140584</c:v>
                </c:pt>
                <c:pt idx="179">
                  <c:v>1.2781303768124417</c:v>
                </c:pt>
                <c:pt idx="180">
                  <c:v>1.2781930659721183</c:v>
                </c:pt>
                <c:pt idx="181">
                  <c:v>1.2783803871516284</c:v>
                </c:pt>
                <c:pt idx="182">
                  <c:v>1.2792214667106236</c:v>
                </c:pt>
                <c:pt idx="183">
                  <c:v>1.2793763238610154</c:v>
                </c:pt>
                <c:pt idx="184">
                  <c:v>1.2799946330133025</c:v>
                </c:pt>
                <c:pt idx="185">
                  <c:v>1.2810693043220454</c:v>
                </c:pt>
                <c:pt idx="186">
                  <c:v>1.2813133442650724</c:v>
                </c:pt>
                <c:pt idx="187">
                  <c:v>1.2817394812909697</c:v>
                </c:pt>
                <c:pt idx="188">
                  <c:v>1.2819521766541584</c:v>
                </c:pt>
                <c:pt idx="189">
                  <c:v>1.2821644988675871</c:v>
                </c:pt>
                <c:pt idx="190">
                  <c:v>1.2825574255648462</c:v>
                </c:pt>
                <c:pt idx="191">
                  <c:v>1.2830399082045005</c:v>
                </c:pt>
                <c:pt idx="192">
                  <c:v>1.2834902999647966</c:v>
                </c:pt>
                <c:pt idx="193">
                  <c:v>1.2836403061683086</c:v>
                </c:pt>
                <c:pt idx="194">
                  <c:v>1.2837000101299054</c:v>
                </c:pt>
                <c:pt idx="195">
                  <c:v>1.28417764182268</c:v>
                </c:pt>
                <c:pt idx="196">
                  <c:v>1.2844160845193073</c:v>
                </c:pt>
                <c:pt idx="197">
                  <c:v>1.2846836328972131</c:v>
                </c:pt>
                <c:pt idx="198">
                  <c:v>1.2853646312091769</c:v>
                </c:pt>
                <c:pt idx="199">
                  <c:v>1.2854235888712537</c:v>
                </c:pt>
                <c:pt idx="200">
                  <c:v>1.2854825465333306</c:v>
                </c:pt>
                <c:pt idx="201">
                  <c:v>1.2855709830264459</c:v>
                </c:pt>
                <c:pt idx="202">
                  <c:v>1.2876759208224939</c:v>
                </c:pt>
                <c:pt idx="203">
                  <c:v>1.2876759208224939</c:v>
                </c:pt>
                <c:pt idx="204">
                  <c:v>1.2883121411632601</c:v>
                </c:pt>
                <c:pt idx="205">
                  <c:v>1.2896890637775869</c:v>
                </c:pt>
                <c:pt idx="206">
                  <c:v>1.2897177963091053</c:v>
                </c:pt>
                <c:pt idx="207">
                  <c:v>1.2908823967100034</c:v>
                </c:pt>
                <c:pt idx="208">
                  <c:v>1.2922324525416116</c:v>
                </c:pt>
                <c:pt idx="209">
                  <c:v>1.2924555960980797</c:v>
                </c:pt>
                <c:pt idx="210">
                  <c:v>1.2925395547940752</c:v>
                </c:pt>
                <c:pt idx="211">
                  <c:v>1.2926511265723093</c:v>
                </c:pt>
                <c:pt idx="212">
                  <c:v>1.2928462838967789</c:v>
                </c:pt>
                <c:pt idx="213">
                  <c:v>1.2936235548468176</c:v>
                </c:pt>
                <c:pt idx="214">
                  <c:v>1.2937896064900087</c:v>
                </c:pt>
                <c:pt idx="215">
                  <c:v>1.2939280450509614</c:v>
                </c:pt>
                <c:pt idx="216">
                  <c:v>1.2940933503946326</c:v>
                </c:pt>
                <c:pt idx="217">
                  <c:v>1.2943138819027808</c:v>
                </c:pt>
                <c:pt idx="218">
                  <c:v>1.29508257040834</c:v>
                </c:pt>
                <c:pt idx="219">
                  <c:v>1.2958467811167793</c:v>
                </c:pt>
                <c:pt idx="220">
                  <c:v>1.2961460472242834</c:v>
                </c:pt>
                <c:pt idx="221">
                  <c:v>1.2962818737369162</c:v>
                </c:pt>
                <c:pt idx="222">
                  <c:v>1.2965796472453803</c:v>
                </c:pt>
                <c:pt idx="223">
                  <c:v>1.2973625154418187</c:v>
                </c:pt>
                <c:pt idx="224">
                  <c:v>1.2977386503998787</c:v>
                </c:pt>
                <c:pt idx="225">
                  <c:v>1.2985677891665546</c:v>
                </c:pt>
                <c:pt idx="226">
                  <c:v>1.2986476432151903</c:v>
                </c:pt>
                <c:pt idx="227">
                  <c:v>1.2986476432151903</c:v>
                </c:pt>
                <c:pt idx="228">
                  <c:v>1.2988073513124618</c:v>
                </c:pt>
                <c:pt idx="229">
                  <c:v>1.2988872053610976</c:v>
                </c:pt>
                <c:pt idx="230">
                  <c:v>1.2993652102036322</c:v>
                </c:pt>
                <c:pt idx="231">
                  <c:v>1.2997092542823339</c:v>
                </c:pt>
                <c:pt idx="232">
                  <c:v>1.2999208301962426</c:v>
                </c:pt>
                <c:pt idx="233">
                  <c:v>1.2999734443123998</c:v>
                </c:pt>
                <c:pt idx="234">
                  <c:v>1.3003159957920616</c:v>
                </c:pt>
                <c:pt idx="235">
                  <c:v>1.3007365355715592</c:v>
                </c:pt>
                <c:pt idx="236">
                  <c:v>1.3015473899999961</c:v>
                </c:pt>
                <c:pt idx="237">
                  <c:v>1.3027418423816925</c:v>
                </c:pt>
                <c:pt idx="238">
                  <c:v>1.3046926693268688</c:v>
                </c:pt>
                <c:pt idx="239">
                  <c:v>1.3046926693268688</c:v>
                </c:pt>
                <c:pt idx="240">
                  <c:v>1.3048710349121393</c:v>
                </c:pt>
                <c:pt idx="241">
                  <c:v>1.3049217832794966</c:v>
                </c:pt>
                <c:pt idx="242">
                  <c:v>1.3051508972321244</c:v>
                </c:pt>
                <c:pt idx="243">
                  <c:v>1.3052016455994817</c:v>
                </c:pt>
                <c:pt idx="244">
                  <c:v>1.3057083829735348</c:v>
                </c:pt>
                <c:pt idx="245">
                  <c:v>1.3060875031296746</c:v>
                </c:pt>
                <c:pt idx="246">
                  <c:v>1.3062390019322265</c:v>
                </c:pt>
                <c:pt idx="247">
                  <c:v>1.3065408800880505</c:v>
                </c:pt>
                <c:pt idx="248">
                  <c:v>1.3075435334931171</c:v>
                </c:pt>
                <c:pt idx="249">
                  <c:v>1.3079920595046133</c:v>
                </c:pt>
                <c:pt idx="250">
                  <c:v>1.3080666894566093</c:v>
                </c:pt>
                <c:pt idx="251">
                  <c:v>1.3081166915244467</c:v>
                </c:pt>
                <c:pt idx="252">
                  <c:v>1.3097484754248399</c:v>
                </c:pt>
                <c:pt idx="253">
                  <c:v>1.3113130923684366</c:v>
                </c:pt>
                <c:pt idx="254">
                  <c:v>1.3117500507373734</c:v>
                </c:pt>
                <c:pt idx="255">
                  <c:v>1.3118228149405695</c:v>
                </c:pt>
                <c:pt idx="256">
                  <c:v>1.3118713244093669</c:v>
                </c:pt>
                <c:pt idx="257">
                  <c:v>1.3119922249316005</c:v>
                </c:pt>
                <c:pt idx="258">
                  <c:v>1.3123064170295038</c:v>
                </c:pt>
                <c:pt idx="259">
                  <c:v>1.3125235901898122</c:v>
                </c:pt>
                <c:pt idx="260">
                  <c:v>1.3127403902003607</c:v>
                </c:pt>
                <c:pt idx="261">
                  <c:v>1.3128605444230743</c:v>
                </c:pt>
                <c:pt idx="262">
                  <c:v>1.3131251076029002</c:v>
                </c:pt>
                <c:pt idx="263">
                  <c:v>1.3135087055561598</c:v>
                </c:pt>
                <c:pt idx="264">
                  <c:v>1.313580350310076</c:v>
                </c:pt>
                <c:pt idx="265">
                  <c:v>1.3141773899260443</c:v>
                </c:pt>
                <c:pt idx="266">
                  <c:v>1.3154352777669374</c:v>
                </c:pt>
                <c:pt idx="267">
                  <c:v>1.3160718712574635</c:v>
                </c:pt>
                <c:pt idx="268">
                  <c:v>1.3161894134318572</c:v>
                </c:pt>
                <c:pt idx="269">
                  <c:v>1.3166588358299123</c:v>
                </c:pt>
                <c:pt idx="270">
                  <c:v>1.3167058526996698</c:v>
                </c:pt>
                <c:pt idx="271">
                  <c:v>1.3177558961242539</c:v>
                </c:pt>
                <c:pt idx="272">
                  <c:v>1.3189372882643511</c:v>
                </c:pt>
                <c:pt idx="273">
                  <c:v>1.3189835588345886</c:v>
                </c:pt>
                <c:pt idx="274">
                  <c:v>1.3190529646899449</c:v>
                </c:pt>
                <c:pt idx="275">
                  <c:v>1.3193753660825678</c:v>
                </c:pt>
                <c:pt idx="276">
                  <c:v>1.3194902962086417</c:v>
                </c:pt>
                <c:pt idx="277">
                  <c:v>1.3201324869455675</c:v>
                </c:pt>
                <c:pt idx="278">
                  <c:v>1.3201783843660451</c:v>
                </c:pt>
                <c:pt idx="279">
                  <c:v>1.3202698060572402</c:v>
                </c:pt>
                <c:pt idx="280">
                  <c:v>1.3204981737103481</c:v>
                </c:pt>
                <c:pt idx="281">
                  <c:v>1.3208858763109674</c:v>
                </c:pt>
                <c:pt idx="282">
                  <c:v>1.3209769248524026</c:v>
                </c:pt>
                <c:pt idx="283">
                  <c:v>1.3214997076661348</c:v>
                </c:pt>
                <c:pt idx="284">
                  <c:v>1.3217489717058015</c:v>
                </c:pt>
                <c:pt idx="285">
                  <c:v>1.3218847982184343</c:v>
                </c:pt>
                <c:pt idx="286">
                  <c:v>1.3219523383249907</c:v>
                </c:pt>
                <c:pt idx="287">
                  <c:v>1.3222463803358551</c:v>
                </c:pt>
                <c:pt idx="288">
                  <c:v>1.3223590715633691</c:v>
                </c:pt>
                <c:pt idx="289">
                  <c:v>1.3227195342315099</c:v>
                </c:pt>
                <c:pt idx="290">
                  <c:v>1.3232135845137236</c:v>
                </c:pt>
                <c:pt idx="291">
                  <c:v>1.3233035136058788</c:v>
                </c:pt>
                <c:pt idx="292">
                  <c:v>1.323639348389861</c:v>
                </c:pt>
                <c:pt idx="293">
                  <c:v>1.3246199859590888</c:v>
                </c:pt>
                <c:pt idx="294">
                  <c:v>1.3248864148877146</c:v>
                </c:pt>
                <c:pt idx="295">
                  <c:v>1.325218891323857</c:v>
                </c:pt>
                <c:pt idx="296">
                  <c:v>1.3264316280437924</c:v>
                </c:pt>
                <c:pt idx="297">
                  <c:v>1.3264316280437924</c:v>
                </c:pt>
                <c:pt idx="298">
                  <c:v>1.3266510401026608</c:v>
                </c:pt>
                <c:pt idx="299">
                  <c:v>1.3277872811218003</c:v>
                </c:pt>
                <c:pt idx="300">
                  <c:v>1.3288291152516649</c:v>
                </c:pt>
                <c:pt idx="301">
                  <c:v>1.3295627276797859</c:v>
                </c:pt>
                <c:pt idx="302">
                  <c:v>1.3297563924052156</c:v>
                </c:pt>
                <c:pt idx="303">
                  <c:v>1.3301858877789527</c:v>
                </c:pt>
                <c:pt idx="304">
                  <c:v>1.3304213452775002</c:v>
                </c:pt>
                <c:pt idx="305">
                  <c:v>1.3304642574998979</c:v>
                </c:pt>
                <c:pt idx="306">
                  <c:v>1.3322732875362817</c:v>
                </c:pt>
                <c:pt idx="307">
                  <c:v>1.3327595016735359</c:v>
                </c:pt>
                <c:pt idx="308">
                  <c:v>1.3332860159848678</c:v>
                </c:pt>
                <c:pt idx="309">
                  <c:v>1.3347726446286288</c:v>
                </c:pt>
                <c:pt idx="310">
                  <c:v>1.3350222818180555</c:v>
                </c:pt>
                <c:pt idx="311">
                  <c:v>1.3355834990570656</c:v>
                </c:pt>
                <c:pt idx="312">
                  <c:v>1.3356663383037812</c:v>
                </c:pt>
                <c:pt idx="313">
                  <c:v>1.3361835238711137</c:v>
                </c:pt>
                <c:pt idx="314">
                  <c:v>1.3363074095914271</c:v>
                </c:pt>
                <c:pt idx="315">
                  <c:v>1.3363488292147849</c:v>
                </c:pt>
                <c:pt idx="316">
                  <c:v>1.3365137614086962</c:v>
                </c:pt>
                <c:pt idx="317">
                  <c:v>1.3365137614086962</c:v>
                </c:pt>
                <c:pt idx="318">
                  <c:v>1.3367816829363619</c:v>
                </c:pt>
                <c:pt idx="319">
                  <c:v>1.3368846722701164</c:v>
                </c:pt>
                <c:pt idx="320">
                  <c:v>1.3379306110473408</c:v>
                </c:pt>
                <c:pt idx="321">
                  <c:v>1.338114573879011</c:v>
                </c:pt>
                <c:pt idx="322">
                  <c:v>1.3384407067692337</c:v>
                </c:pt>
                <c:pt idx="323">
                  <c:v>1.3384612300060326</c:v>
                </c:pt>
                <c:pt idx="324">
                  <c:v>1.3387463164226574</c:v>
                </c:pt>
                <c:pt idx="325">
                  <c:v>1.3390105064527233</c:v>
                </c:pt>
                <c:pt idx="326">
                  <c:v>1.3390511797765612</c:v>
                </c:pt>
                <c:pt idx="327">
                  <c:v>1.3391933498351136</c:v>
                </c:pt>
                <c:pt idx="328">
                  <c:v>1.3392541732459904</c:v>
                </c:pt>
                <c:pt idx="329">
                  <c:v>1.3398411378184392</c:v>
                </c:pt>
                <c:pt idx="330">
                  <c:v>1.3402247357716988</c:v>
                </c:pt>
                <c:pt idx="331">
                  <c:v>1.3402247357716988</c:v>
                </c:pt>
                <c:pt idx="332">
                  <c:v>1.3406075874254384</c:v>
                </c:pt>
                <c:pt idx="333">
                  <c:v>1.340728487947672</c:v>
                </c:pt>
                <c:pt idx="334">
                  <c:v>1.3407684149719898</c:v>
                </c:pt>
                <c:pt idx="335">
                  <c:v>1.3409292425185413</c:v>
                </c:pt>
                <c:pt idx="336">
                  <c:v>1.3409893196298981</c:v>
                </c:pt>
                <c:pt idx="337">
                  <c:v>1.3413904556218768</c:v>
                </c:pt>
                <c:pt idx="338">
                  <c:v>1.3415106098445904</c:v>
                </c:pt>
                <c:pt idx="339">
                  <c:v>1.3419703303488859</c:v>
                </c:pt>
                <c:pt idx="340">
                  <c:v>1.3423293004179868</c:v>
                </c:pt>
                <c:pt idx="341">
                  <c:v>1.3425281892400562</c:v>
                </c:pt>
                <c:pt idx="342">
                  <c:v>1.342607670138932</c:v>
                </c:pt>
                <c:pt idx="343">
                  <c:v>1.3426475971632499</c:v>
                </c:pt>
                <c:pt idx="344">
                  <c:v>1.3426875241875678</c:v>
                </c:pt>
                <c:pt idx="345">
                  <c:v>1.3427073011248467</c:v>
                </c:pt>
                <c:pt idx="346">
                  <c:v>1.3431043324694656</c:v>
                </c:pt>
                <c:pt idx="347">
                  <c:v>1.3434606904902466</c:v>
                </c:pt>
                <c:pt idx="348">
                  <c:v>1.3436386829257572</c:v>
                </c:pt>
                <c:pt idx="349">
                  <c:v>1.3440730292463741</c:v>
                </c:pt>
                <c:pt idx="350">
                  <c:v>1.3450365019266428</c:v>
                </c:pt>
                <c:pt idx="351">
                  <c:v>1.3454477129621409</c:v>
                </c:pt>
                <c:pt idx="352">
                  <c:v>1.3456040627115726</c:v>
                </c:pt>
                <c:pt idx="353">
                  <c:v>1.345916389060676</c:v>
                </c:pt>
                <c:pt idx="354">
                  <c:v>1.3460141542977908</c:v>
                </c:pt>
                <c:pt idx="355">
                  <c:v>1.3460335580853098</c:v>
                </c:pt>
                <c:pt idx="356">
                  <c:v>1.3462089384725004</c:v>
                </c:pt>
                <c:pt idx="357">
                  <c:v>1.3465395491598429</c:v>
                </c:pt>
                <c:pt idx="358">
                  <c:v>1.3467339601847925</c:v>
                </c:pt>
                <c:pt idx="359">
                  <c:v>1.3469668056350201</c:v>
                </c:pt>
                <c:pt idx="360">
                  <c:v>1.3471798741479688</c:v>
                </c:pt>
                <c:pt idx="361">
                  <c:v>1.3474317502359554</c:v>
                </c:pt>
                <c:pt idx="362">
                  <c:v>1.3479336366631287</c:v>
                </c:pt>
                <c:pt idx="363">
                  <c:v>1.3481265550890384</c:v>
                </c:pt>
                <c:pt idx="364">
                  <c:v>1.3481265550890384</c:v>
                </c:pt>
                <c:pt idx="365">
                  <c:v>1.3483191003651882</c:v>
                </c:pt>
                <c:pt idx="366">
                  <c:v>1.3489530818073945</c:v>
                </c:pt>
                <c:pt idx="367">
                  <c:v>1.3490295775081904</c:v>
                </c:pt>
                <c:pt idx="368">
                  <c:v>1.3497184119651138</c:v>
                </c:pt>
                <c:pt idx="369">
                  <c:v>1.3498519995791867</c:v>
                </c:pt>
                <c:pt idx="370">
                  <c:v>1.3500807403820545</c:v>
                </c:pt>
                <c:pt idx="371">
                  <c:v>1.3503281386729213</c:v>
                </c:pt>
                <c:pt idx="372">
                  <c:v>1.3503852305861983</c:v>
                </c:pt>
                <c:pt idx="373">
                  <c:v>1.3506326288770651</c:v>
                </c:pt>
                <c:pt idx="374">
                  <c:v>1.3512013091112749</c:v>
                </c:pt>
                <c:pt idx="375">
                  <c:v>1.3522965036568166</c:v>
                </c:pt>
                <c:pt idx="376">
                  <c:v>1.3525786048753616</c:v>
                </c:pt>
                <c:pt idx="377">
                  <c:v>1.3526162930011196</c:v>
                </c:pt>
                <c:pt idx="378">
                  <c:v>1.3528976479201447</c:v>
                </c:pt>
                <c:pt idx="379">
                  <c:v>1.3529166785579037</c:v>
                </c:pt>
                <c:pt idx="380">
                  <c:v>1.3529353360459027</c:v>
                </c:pt>
                <c:pt idx="381">
                  <c:v>1.3539267949581699</c:v>
                </c:pt>
                <c:pt idx="382">
                  <c:v>1.3539454524461689</c:v>
                </c:pt>
                <c:pt idx="383">
                  <c:v>1.3542062841283951</c:v>
                </c:pt>
                <c:pt idx="384">
                  <c:v>1.3544111433466242</c:v>
                </c:pt>
                <c:pt idx="385">
                  <c:v>1.3544857732986202</c:v>
                </c:pt>
                <c:pt idx="386">
                  <c:v>1.3545600301008562</c:v>
                </c:pt>
                <c:pt idx="387">
                  <c:v>1.3548201154835624</c:v>
                </c:pt>
                <c:pt idx="388">
                  <c:v>1.3548201154835624</c:v>
                </c:pt>
                <c:pt idx="389">
                  <c:v>1.3552652831472187</c:v>
                </c:pt>
                <c:pt idx="390">
                  <c:v>1.3563918222725988</c:v>
                </c:pt>
                <c:pt idx="391">
                  <c:v>1.3567045217714622</c:v>
                </c:pt>
                <c:pt idx="392">
                  <c:v>1.3568146009506563</c:v>
                </c:pt>
                <c:pt idx="393">
                  <c:v>1.3571448384882387</c:v>
                </c:pt>
                <c:pt idx="394">
                  <c:v>1.3578038209643637</c:v>
                </c:pt>
                <c:pt idx="395">
                  <c:v>1.3578952426555588</c:v>
                </c:pt>
                <c:pt idx="396">
                  <c:v>1.3588788654228665</c:v>
                </c:pt>
                <c:pt idx="397">
                  <c:v>1.3592785088158053</c:v>
                </c:pt>
                <c:pt idx="398">
                  <c:v>1.3593326155310024</c:v>
                </c:pt>
                <c:pt idx="399">
                  <c:v>1.3593691842074804</c:v>
                </c:pt>
                <c:pt idx="400">
                  <c:v>1.359640837232746</c:v>
                </c:pt>
                <c:pt idx="401">
                  <c:v>1.3597132282861821</c:v>
                </c:pt>
                <c:pt idx="402">
                  <c:v>1.3597311394746612</c:v>
                </c:pt>
                <c:pt idx="403">
                  <c:v>1.3598397260548154</c:v>
                </c:pt>
                <c:pt idx="404">
                  <c:v>1.360561397690617</c:v>
                </c:pt>
                <c:pt idx="405">
                  <c:v>1.3608136469283636</c:v>
                </c:pt>
                <c:pt idx="406">
                  <c:v>1.3613166528048168</c:v>
                </c:pt>
                <c:pt idx="407">
                  <c:v>1.3622651994946864</c:v>
                </c:pt>
                <c:pt idx="408">
                  <c:v>1.3623006487218845</c:v>
                </c:pt>
                <c:pt idx="409">
                  <c:v>1.3623543822873216</c:v>
                </c:pt>
                <c:pt idx="410">
                  <c:v>1.3623722934758007</c:v>
                </c:pt>
                <c:pt idx="411">
                  <c:v>1.3623900180893997</c:v>
                </c:pt>
                <c:pt idx="412">
                  <c:v>1.3630491871404047</c:v>
                </c:pt>
                <c:pt idx="413">
                  <c:v>1.3630667251791238</c:v>
                </c:pt>
                <c:pt idx="414">
                  <c:v>1.3632447176146343</c:v>
                </c:pt>
                <c:pt idx="415">
                  <c:v>1.3642016601741034</c:v>
                </c:pt>
                <c:pt idx="416">
                  <c:v>1.364378346585454</c:v>
                </c:pt>
                <c:pt idx="417">
                  <c:v>1.364395884624173</c:v>
                </c:pt>
                <c:pt idx="418">
                  <c:v>1.365242188279808</c:v>
                </c:pt>
                <c:pt idx="419">
                  <c:v>1.3656638475085856</c:v>
                </c:pt>
                <c:pt idx="420">
                  <c:v>1.3658216898570572</c:v>
                </c:pt>
                <c:pt idx="421">
                  <c:v>1.3658918420119335</c:v>
                </c:pt>
                <c:pt idx="422">
                  <c:v>1.3671848059302647</c:v>
                </c:pt>
                <c:pt idx="423">
                  <c:v>1.3672892878630591</c:v>
                </c:pt>
                <c:pt idx="424">
                  <c:v>1.3677935997636723</c:v>
                </c:pt>
                <c:pt idx="425">
                  <c:v>1.367949762938224</c:v>
                </c:pt>
                <c:pt idx="426">
                  <c:v>1.3681579805042929</c:v>
                </c:pt>
                <c:pt idx="427">
                  <c:v>1.3682966056401256</c:v>
                </c:pt>
                <c:pt idx="428">
                  <c:v>1.3683658249206019</c:v>
                </c:pt>
                <c:pt idx="429">
                  <c:v>1.3683658249206019</c:v>
                </c:pt>
                <c:pt idx="430">
                  <c:v>1.3685218015202736</c:v>
                </c:pt>
                <c:pt idx="431">
                  <c:v>1.368815656956258</c:v>
                </c:pt>
                <c:pt idx="432">
                  <c:v>1.3690574580007251</c:v>
                </c:pt>
                <c:pt idx="433">
                  <c:v>1.3697121492546103</c:v>
                </c:pt>
                <c:pt idx="434">
                  <c:v>1.3697983468491657</c:v>
                </c:pt>
                <c:pt idx="435">
                  <c:v>1.3698155117381248</c:v>
                </c:pt>
                <c:pt idx="436">
                  <c:v>1.3700218635553938</c:v>
                </c:pt>
                <c:pt idx="437">
                  <c:v>1.3702965017787392</c:v>
                </c:pt>
                <c:pt idx="438">
                  <c:v>1.3705879317412837</c:v>
                </c:pt>
                <c:pt idx="439">
                  <c:v>1.3706050966302428</c:v>
                </c:pt>
                <c:pt idx="440">
                  <c:v>1.3709644398491037</c:v>
                </c:pt>
                <c:pt idx="441">
                  <c:v>1.3718348116642574</c:v>
                </c:pt>
                <c:pt idx="442">
                  <c:v>1.3719029114954537</c:v>
                </c:pt>
                <c:pt idx="443">
                  <c:v>1.3719200763844128</c:v>
                </c:pt>
                <c:pt idx="444">
                  <c:v>1.3722260591875965</c:v>
                </c:pt>
                <c:pt idx="445">
                  <c:v>1.3727693652381276</c:v>
                </c:pt>
                <c:pt idx="446">
                  <c:v>1.3731253501091487</c:v>
                </c:pt>
                <c:pt idx="447">
                  <c:v>1.3731421418483478</c:v>
                </c:pt>
                <c:pt idx="448">
                  <c:v>1.3734466320524916</c:v>
                </c:pt>
                <c:pt idx="449">
                  <c:v>1.37366604411136</c:v>
                </c:pt>
                <c:pt idx="450">
                  <c:v>1.3739024344843074</c:v>
                </c:pt>
                <c:pt idx="451">
                  <c:v>1.3739697880159838</c:v>
                </c:pt>
                <c:pt idx="452">
                  <c:v>1.3740877033401375</c:v>
                </c:pt>
                <c:pt idx="453">
                  <c:v>1.374172035185893</c:v>
                </c:pt>
                <c:pt idx="454">
                  <c:v>1.3742563670316486</c:v>
                </c:pt>
                <c:pt idx="455">
                  <c:v>1.3746265315935489</c:v>
                </c:pt>
                <c:pt idx="456">
                  <c:v>1.3746601150719471</c:v>
                </c:pt>
                <c:pt idx="457">
                  <c:v>1.3750631168127256</c:v>
                </c:pt>
                <c:pt idx="458">
                  <c:v>1.3754149970363869</c:v>
                </c:pt>
                <c:pt idx="459">
                  <c:v>1.375582354703738</c:v>
                </c:pt>
                <c:pt idx="460">
                  <c:v>1.3757161288926909</c:v>
                </c:pt>
                <c:pt idx="461">
                  <c:v>1.375883299985162</c:v>
                </c:pt>
                <c:pt idx="462">
                  <c:v>1.3760504710776331</c:v>
                </c:pt>
                <c:pt idx="463">
                  <c:v>1.3762172690203442</c:v>
                </c:pt>
                <c:pt idx="464">
                  <c:v>1.3764674659344109</c:v>
                </c:pt>
                <c:pt idx="465">
                  <c:v>1.3770833496132582</c:v>
                </c:pt>
                <c:pt idx="466">
                  <c:v>1.3775479210644335</c:v>
                </c:pt>
                <c:pt idx="467">
                  <c:v>1.3776971809684255</c:v>
                </c:pt>
                <c:pt idx="468">
                  <c:v>1.3777469964613829</c:v>
                </c:pt>
                <c:pt idx="469">
                  <c:v>1.3779789090372105</c:v>
                </c:pt>
                <c:pt idx="470">
                  <c:v>1.3794470667678524</c:v>
                </c:pt>
                <c:pt idx="471">
                  <c:v>1.3796278578265628</c:v>
                </c:pt>
                <c:pt idx="472">
                  <c:v>1.3796606950054411</c:v>
                </c:pt>
                <c:pt idx="473">
                  <c:v>1.380169298128294</c:v>
                </c:pt>
                <c:pt idx="474">
                  <c:v>1.3805950620044314</c:v>
                </c:pt>
                <c:pt idx="475">
                  <c:v>1.380676781801867</c:v>
                </c:pt>
                <c:pt idx="476">
                  <c:v>1.3807096189807453</c:v>
                </c:pt>
                <c:pt idx="477">
                  <c:v>1.3809057091796149</c:v>
                </c:pt>
                <c:pt idx="478">
                  <c:v>1.3814441642832662</c:v>
                </c:pt>
                <c:pt idx="479">
                  <c:v>1.3816070441534976</c:v>
                </c:pt>
                <c:pt idx="480">
                  <c:v>1.3817048093906124</c:v>
                </c:pt>
                <c:pt idx="481">
                  <c:v>1.381786156038288</c:v>
                </c:pt>
                <c:pt idx="482">
                  <c:v>1.3820626600104333</c:v>
                </c:pt>
                <c:pt idx="483">
                  <c:v>1.3827119405927988</c:v>
                </c:pt>
                <c:pt idx="484">
                  <c:v>1.3827929140907145</c:v>
                </c:pt>
                <c:pt idx="485">
                  <c:v>1.3830033705553433</c:v>
                </c:pt>
                <c:pt idx="486">
                  <c:v>1.3830518800241407</c:v>
                </c:pt>
                <c:pt idx="487">
                  <c:v>1.3830518800241407</c:v>
                </c:pt>
                <c:pt idx="488">
                  <c:v>1.3837306394375446</c:v>
                </c:pt>
                <c:pt idx="489">
                  <c:v>1.3842946552997546</c:v>
                </c:pt>
                <c:pt idx="490">
                  <c:v>1.3846164969677375</c:v>
                </c:pt>
                <c:pt idx="491">
                  <c:v>1.385114278747551</c:v>
                </c:pt>
                <c:pt idx="492">
                  <c:v>1.3853866780723365</c:v>
                </c:pt>
                <c:pt idx="493">
                  <c:v>1.3861225293990174</c:v>
                </c:pt>
                <c:pt idx="494">
                  <c:v>1.386505381052757</c:v>
                </c:pt>
                <c:pt idx="495">
                  <c:v>1.3870949576735256</c:v>
                </c:pt>
                <c:pt idx="496">
                  <c:v>1.3871901108623206</c:v>
                </c:pt>
                <c:pt idx="497">
                  <c:v>1.3876031876466186</c:v>
                </c:pt>
                <c:pt idx="498">
                  <c:v>1.3876031876466186</c:v>
                </c:pt>
                <c:pt idx="499">
                  <c:v>1.3886327078344038</c:v>
                </c:pt>
                <c:pt idx="500">
                  <c:v>1.3886644255640022</c:v>
                </c:pt>
                <c:pt idx="501">
                  <c:v>1.388948765681107</c:v>
                </c:pt>
                <c:pt idx="502">
                  <c:v>1.389137952609417</c:v>
                </c:pt>
                <c:pt idx="503">
                  <c:v>1.3894058741370827</c:v>
                </c:pt>
                <c:pt idx="504">
                  <c:v>1.3896107333553118</c:v>
                </c:pt>
                <c:pt idx="505">
                  <c:v>1.3901139258066451</c:v>
                </c:pt>
                <c:pt idx="506">
                  <c:v>1.3904749481994259</c:v>
                </c:pt>
                <c:pt idx="507">
                  <c:v>1.3907257048381325</c:v>
                </c:pt>
                <c:pt idx="508">
                  <c:v>1.3911014666464325</c:v>
                </c:pt>
                <c:pt idx="509">
                  <c:v>1.3915705158947276</c:v>
                </c:pt>
                <c:pt idx="510">
                  <c:v>1.3915861881846467</c:v>
                </c:pt>
                <c:pt idx="511">
                  <c:v>1.3916641764844826</c:v>
                </c:pt>
                <c:pt idx="512">
                  <c:v>1.3926302612130712</c:v>
                </c:pt>
                <c:pt idx="513">
                  <c:v>1.3926769049330687</c:v>
                </c:pt>
                <c:pt idx="514">
                  <c:v>1.3927078763631471</c:v>
                </c:pt>
                <c:pt idx="515">
                  <c:v>1.3931582681234431</c:v>
                </c:pt>
                <c:pt idx="516">
                  <c:v>1.393499513578945</c:v>
                </c:pt>
                <c:pt idx="517">
                  <c:v>1.3936855287342951</c:v>
                </c:pt>
                <c:pt idx="518">
                  <c:v>1.3939485993150811</c:v>
                </c:pt>
                <c:pt idx="519">
                  <c:v>1.3943349958915405</c:v>
                </c:pt>
                <c:pt idx="520">
                  <c:v>1.3945049656072115</c:v>
                </c:pt>
                <c:pt idx="521">
                  <c:v>1.3946128058878458</c:v>
                </c:pt>
                <c:pt idx="522">
                  <c:v>1.3947053470283208</c:v>
                </c:pt>
                <c:pt idx="523">
                  <c:v>1.3947671033135975</c:v>
                </c:pt>
                <c:pt idx="524">
                  <c:v>1.3948288595988743</c:v>
                </c:pt>
                <c:pt idx="525">
                  <c:v>1.3952139501511738</c:v>
                </c:pt>
                <c:pt idx="526">
                  <c:v>1.3954600424178807</c:v>
                </c:pt>
                <c:pt idx="527">
                  <c:v>1.3955523969834758</c:v>
                </c:pt>
                <c:pt idx="528">
                  <c:v>1.3956137801189925</c:v>
                </c:pt>
                <c:pt idx="529">
                  <c:v>1.3957520321050652</c:v>
                </c:pt>
                <c:pt idx="530">
                  <c:v>1.3959977512220121</c:v>
                </c:pt>
                <c:pt idx="531">
                  <c:v>1.396074433497688</c:v>
                </c:pt>
                <c:pt idx="532">
                  <c:v>1.3963352651799141</c:v>
                </c:pt>
                <c:pt idx="533">
                  <c:v>1.3964423591610284</c:v>
                </c:pt>
                <c:pt idx="534">
                  <c:v>1.3967181168336538</c:v>
                </c:pt>
                <c:pt idx="535">
                  <c:v>1.3969629030762007</c:v>
                </c:pt>
                <c:pt idx="536">
                  <c:v>1.3976804700646426</c:v>
                </c:pt>
                <c:pt idx="537">
                  <c:v>1.3977259943353602</c:v>
                </c:pt>
                <c:pt idx="538">
                  <c:v>1.3983200487532486</c:v>
                </c:pt>
                <c:pt idx="539">
                  <c:v>1.3987152143490675</c:v>
                </c:pt>
                <c:pt idx="540">
                  <c:v>1.3987454394796259</c:v>
                </c:pt>
                <c:pt idx="541">
                  <c:v>1.3988215620306619</c:v>
                </c:pt>
                <c:pt idx="542">
                  <c:v>1.3992006821868017</c:v>
                </c:pt>
                <c:pt idx="543">
                  <c:v>1.399382779269672</c:v>
                </c:pt>
                <c:pt idx="544">
                  <c:v>1.3994130044002304</c:v>
                </c:pt>
                <c:pt idx="545">
                  <c:v>1.3996551785944575</c:v>
                </c:pt>
                <c:pt idx="546">
                  <c:v>1.400305205476343</c:v>
                </c:pt>
                <c:pt idx="547">
                  <c:v>1.400380581727859</c:v>
                </c:pt>
                <c:pt idx="548">
                  <c:v>1.4004410319889757</c:v>
                </c:pt>
                <c:pt idx="549">
                  <c:v>1.4006824598836829</c:v>
                </c:pt>
                <c:pt idx="550">
                  <c:v>1.4009686657495877</c:v>
                </c:pt>
                <c:pt idx="551">
                  <c:v>1.4010440420011037</c:v>
                </c:pt>
                <c:pt idx="552">
                  <c:v>1.4011041191124605</c:v>
                </c:pt>
                <c:pt idx="553">
                  <c:v>1.4014653280801213</c:v>
                </c:pt>
                <c:pt idx="554">
                  <c:v>1.4017657136369053</c:v>
                </c:pt>
                <c:pt idx="555">
                  <c:v>1.4019910960919333</c:v>
                </c:pt>
                <c:pt idx="556">
                  <c:v>1.4022310313876005</c:v>
                </c:pt>
                <c:pt idx="557">
                  <c:v>1.4025306706448646</c:v>
                </c:pt>
                <c:pt idx="558">
                  <c:v>1.402635525727419</c:v>
                </c:pt>
                <c:pt idx="559">
                  <c:v>1.4027702327907718</c:v>
                </c:pt>
                <c:pt idx="560">
                  <c:v>1.4028299367523687</c:v>
                </c:pt>
                <c:pt idx="561">
                  <c:v>1.4030243477773183</c:v>
                </c:pt>
                <c:pt idx="562">
                  <c:v>1.4030541997581167</c:v>
                </c:pt>
                <c:pt idx="563">
                  <c:v>1.4030991643041943</c:v>
                </c:pt>
                <c:pt idx="564">
                  <c:v>1.4039049812108715</c:v>
                </c:pt>
                <c:pt idx="565">
                  <c:v>1.4039646851724683</c:v>
                </c:pt>
                <c:pt idx="566">
                  <c:v>1.4042475326905333</c:v>
                </c:pt>
                <c:pt idx="567">
                  <c:v>1.4044557502566022</c:v>
                </c:pt>
                <c:pt idx="568">
                  <c:v>1.404515454218199</c:v>
                </c:pt>
                <c:pt idx="569">
                  <c:v>1.4047085592189887</c:v>
                </c:pt>
                <c:pt idx="570">
                  <c:v>1.4050945826456882</c:v>
                </c:pt>
                <c:pt idx="571">
                  <c:v>1.4051244346264866</c:v>
                </c:pt>
                <c:pt idx="572">
                  <c:v>1.4055543031499838</c:v>
                </c:pt>
                <c:pt idx="573">
                  <c:v>1.4060871610072354</c:v>
                </c:pt>
                <c:pt idx="574">
                  <c:v>1.4061020869976346</c:v>
                </c:pt>
                <c:pt idx="575">
                  <c:v>1.4061905234907499</c:v>
                </c:pt>
                <c:pt idx="576">
                  <c:v>1.4065599417531303</c:v>
                </c:pt>
                <c:pt idx="577">
                  <c:v>1.4066633042366448</c:v>
                </c:pt>
                <c:pt idx="578">
                  <c:v>1.4068256243822361</c:v>
                </c:pt>
                <c:pt idx="579">
                  <c:v>1.4074592326746824</c:v>
                </c:pt>
                <c:pt idx="580">
                  <c:v>1.4080473166964111</c:v>
                </c:pt>
                <c:pt idx="581">
                  <c:v>1.4086048024378215</c:v>
                </c:pt>
                <c:pt idx="582">
                  <c:v>1.4091615418797119</c:v>
                </c:pt>
                <c:pt idx="583">
                  <c:v>1.409234679232668</c:v>
                </c:pt>
                <c:pt idx="584">
                  <c:v>1.4093955067792194</c:v>
                </c:pt>
                <c:pt idx="585">
                  <c:v>1.4097169752974423</c:v>
                </c:pt>
                <c:pt idx="586">
                  <c:v>1.4100089649846268</c:v>
                </c:pt>
                <c:pt idx="587">
                  <c:v>1.4106649622626719</c:v>
                </c:pt>
                <c:pt idx="588">
                  <c:v>1.4106795151033111</c:v>
                </c:pt>
                <c:pt idx="589">
                  <c:v>1.4107813849877857</c:v>
                </c:pt>
                <c:pt idx="590">
                  <c:v>1.4109560190754564</c:v>
                </c:pt>
                <c:pt idx="591">
                  <c:v>1.411377305154474</c:v>
                </c:pt>
                <c:pt idx="592">
                  <c:v>1.4114646221983094</c:v>
                </c:pt>
                <c:pt idx="593">
                  <c:v>1.4118709822869278</c:v>
                </c:pt>
                <c:pt idx="594">
                  <c:v>1.4118709822869278</c:v>
                </c:pt>
                <c:pt idx="595">
                  <c:v>1.4121463668097931</c:v>
                </c:pt>
                <c:pt idx="596">
                  <c:v>1.4129710277793492</c:v>
                </c:pt>
                <c:pt idx="597">
                  <c:v>1.413202007480777</c:v>
                </c:pt>
                <c:pt idx="598">
                  <c:v>1.413202007480777</c:v>
                </c:pt>
                <c:pt idx="599">
                  <c:v>1.4132165603214162</c:v>
                </c:pt>
                <c:pt idx="600">
                  <c:v>1.413822368956744</c:v>
                </c:pt>
                <c:pt idx="601">
                  <c:v>1.4138800205946609</c:v>
                </c:pt>
                <c:pt idx="602">
                  <c:v>1.414254289803921</c:v>
                </c:pt>
                <c:pt idx="603">
                  <c:v>1.4145278085779864</c:v>
                </c:pt>
                <c:pt idx="604">
                  <c:v>1.414743302564375</c:v>
                </c:pt>
                <c:pt idx="605">
                  <c:v>1.4147576688301342</c:v>
                </c:pt>
                <c:pt idx="606">
                  <c:v>1.414987529082282</c:v>
                </c:pt>
                <c:pt idx="607">
                  <c:v>1.4152170161846698</c:v>
                </c:pt>
                <c:pt idx="608">
                  <c:v>1.4152457487161882</c:v>
                </c:pt>
                <c:pt idx="609">
                  <c:v>1.4152457487161882</c:v>
                </c:pt>
                <c:pt idx="610">
                  <c:v>1.4152457487161882</c:v>
                </c:pt>
                <c:pt idx="611">
                  <c:v>1.4154608695528168</c:v>
                </c:pt>
                <c:pt idx="612">
                  <c:v>1.4156472578579269</c:v>
                </c:pt>
                <c:pt idx="613">
                  <c:v>1.4157043497712039</c:v>
                </c:pt>
                <c:pt idx="614">
                  <c:v>1.41577599452512</c:v>
                </c:pt>
                <c:pt idx="615">
                  <c:v>1.4160194747435071</c:v>
                </c:pt>
                <c:pt idx="616">
                  <c:v>1.4162625818121342</c:v>
                </c:pt>
                <c:pt idx="617">
                  <c:v>1.4162913143436526</c:v>
                </c:pt>
                <c:pt idx="618">
                  <c:v>1.4165200551465205</c:v>
                </c:pt>
                <c:pt idx="619">
                  <c:v>1.4165342348373997</c:v>
                </c:pt>
                <c:pt idx="620">
                  <c:v>1.4165627807940382</c:v>
                </c:pt>
                <c:pt idx="621">
                  <c:v>1.4167198768429898</c:v>
                </c:pt>
                <c:pt idx="622">
                  <c:v>1.4168913391577007</c:v>
                </c:pt>
                <c:pt idx="623">
                  <c:v>1.4171051539701693</c:v>
                </c:pt>
                <c:pt idx="624">
                  <c:v>1.4172193377967233</c:v>
                </c:pt>
                <c:pt idx="625">
                  <c:v>1.417318968782638</c:v>
                </c:pt>
                <c:pt idx="626">
                  <c:v>1.4175613295517451</c:v>
                </c:pt>
                <c:pt idx="627">
                  <c:v>1.417675326803419</c:v>
                </c:pt>
                <c:pt idx="628">
                  <c:v>1.4178174968619714</c:v>
                </c:pt>
                <c:pt idx="629">
                  <c:v>1.4179598534954039</c:v>
                </c:pt>
                <c:pt idx="630">
                  <c:v>1.418144749201474</c:v>
                </c:pt>
                <c:pt idx="631">
                  <c:v>1.418201654539871</c:v>
                </c:pt>
                <c:pt idx="632">
                  <c:v>1.4185141674638544</c:v>
                </c:pt>
                <c:pt idx="633">
                  <c:v>1.4185567065364921</c:v>
                </c:pt>
                <c:pt idx="634">
                  <c:v>1.4189966501035087</c:v>
                </c:pt>
                <c:pt idx="635">
                  <c:v>1.4191809860849389</c:v>
                </c:pt>
                <c:pt idx="636">
                  <c:v>1.4191951657758182</c:v>
                </c:pt>
                <c:pt idx="637">
                  <c:v>1.4194360339458854</c:v>
                </c:pt>
                <c:pt idx="638">
                  <c:v>1.4196625358501933</c:v>
                </c:pt>
                <c:pt idx="639">
                  <c:v>1.419931390252259</c:v>
                </c:pt>
                <c:pt idx="640">
                  <c:v>1.419987735866016</c:v>
                </c:pt>
                <c:pt idx="641">
                  <c:v>1.4201858783885655</c:v>
                </c:pt>
                <c:pt idx="642">
                  <c:v>1.4202422240023225</c:v>
                </c:pt>
                <c:pt idx="643">
                  <c:v>1.4202847630749602</c:v>
                </c:pt>
                <c:pt idx="644">
                  <c:v>1.4203694680704757</c:v>
                </c:pt>
                <c:pt idx="645">
                  <c:v>1.4206375761730214</c:v>
                </c:pt>
                <c:pt idx="646">
                  <c:v>1.4206517558639007</c:v>
                </c:pt>
                <c:pt idx="647">
                  <c:v>1.4206941083616584</c:v>
                </c:pt>
                <c:pt idx="648">
                  <c:v>1.4217504953321622</c:v>
                </c:pt>
                <c:pt idx="649">
                  <c:v>1.421961511521431</c:v>
                </c:pt>
                <c:pt idx="650">
                  <c:v>1.4222005139426983</c:v>
                </c:pt>
                <c:pt idx="651">
                  <c:v>1.4226917656017122</c:v>
                </c:pt>
                <c:pt idx="652">
                  <c:v>1.423014353569215</c:v>
                </c:pt>
                <c:pt idx="653">
                  <c:v>1.4232804093480809</c:v>
                </c:pt>
                <c:pt idx="654">
                  <c:v>1.4242313815113903</c:v>
                </c:pt>
                <c:pt idx="655">
                  <c:v>1.4248592059825569</c:v>
                </c:pt>
                <c:pt idx="656">
                  <c:v>1.4250125705339087</c:v>
                </c:pt>
                <c:pt idx="657">
                  <c:v>1.425082349539025</c:v>
                </c:pt>
                <c:pt idx="658">
                  <c:v>1.425402512033088</c:v>
                </c:pt>
                <c:pt idx="659">
                  <c:v>1.4254722910382043</c:v>
                </c:pt>
                <c:pt idx="660">
                  <c:v>1.4259034655858613</c:v>
                </c:pt>
                <c:pt idx="661">
                  <c:v>1.4260146642143354</c:v>
                </c:pt>
                <c:pt idx="662">
                  <c:v>1.4261812755821666</c:v>
                </c:pt>
                <c:pt idx="663">
                  <c:v>1.4263756866071162</c:v>
                </c:pt>
                <c:pt idx="664">
                  <c:v>1.426417479380234</c:v>
                </c:pt>
                <c:pt idx="665">
                  <c:v>1.4264868852355903</c:v>
                </c:pt>
                <c:pt idx="666">
                  <c:v>1.4266533100285415</c:v>
                </c:pt>
                <c:pt idx="667">
                  <c:v>1.4267921217392541</c:v>
                </c:pt>
                <c:pt idx="668">
                  <c:v>1.4269585465322052</c:v>
                </c:pt>
                <c:pt idx="669">
                  <c:v>1.4269723530733245</c:v>
                </c:pt>
                <c:pt idx="670">
                  <c:v>1.4270969850931579</c:v>
                </c:pt>
                <c:pt idx="671">
                  <c:v>1.4271801974896334</c:v>
                </c:pt>
                <c:pt idx="672">
                  <c:v>1.427470881152658</c:v>
                </c:pt>
                <c:pt idx="673">
                  <c:v>1.4281623276579012</c:v>
                </c:pt>
                <c:pt idx="674">
                  <c:v>1.4288664612549837</c:v>
                </c:pt>
                <c:pt idx="675">
                  <c:v>1.4290455731397742</c:v>
                </c:pt>
                <c:pt idx="676">
                  <c:v>1.429086992763132</c:v>
                </c:pt>
                <c:pt idx="677">
                  <c:v>1.4292661046479225</c:v>
                </c:pt>
                <c:pt idx="678">
                  <c:v>1.4295552957119071</c:v>
                </c:pt>
                <c:pt idx="679">
                  <c:v>1.4297616475291761</c:v>
                </c:pt>
                <c:pt idx="680">
                  <c:v>1.4301193115741171</c:v>
                </c:pt>
                <c:pt idx="681">
                  <c:v>1.4303254768165061</c:v>
                </c:pt>
                <c:pt idx="682">
                  <c:v>1.4303665232901039</c:v>
                </c:pt>
                <c:pt idx="683">
                  <c:v>1.4304353694208203</c:v>
                </c:pt>
                <c:pt idx="684">
                  <c:v>1.4308745666883169</c:v>
                </c:pt>
                <c:pt idx="685">
                  <c:v>1.4309157997367947</c:v>
                </c:pt>
                <c:pt idx="686">
                  <c:v>1.4309978926839904</c:v>
                </c:pt>
                <c:pt idx="687">
                  <c:v>1.4312173047428587</c:v>
                </c:pt>
                <c:pt idx="688">
                  <c:v>1.4312995842649343</c:v>
                </c:pt>
                <c:pt idx="689">
                  <c:v>1.4316421357445961</c:v>
                </c:pt>
                <c:pt idx="690">
                  <c:v>1.4316968021844332</c:v>
                </c:pt>
                <c:pt idx="691">
                  <c:v>1.431888414586183</c:v>
                </c:pt>
                <c:pt idx="692">
                  <c:v>1.4320662204468135</c:v>
                </c:pt>
                <c:pt idx="693">
                  <c:v>1.4322714528148026</c:v>
                </c:pt>
                <c:pt idx="694">
                  <c:v>1.4330770831465998</c:v>
                </c:pt>
                <c:pt idx="695">
                  <c:v>1.433240895891231</c:v>
                </c:pt>
                <c:pt idx="696">
                  <c:v>1.433786067690562</c:v>
                </c:pt>
                <c:pt idx="697">
                  <c:v>1.4339901806092712</c:v>
                </c:pt>
                <c:pt idx="698">
                  <c:v>1.4345342329593223</c:v>
                </c:pt>
                <c:pt idx="699">
                  <c:v>1.4353626254264782</c:v>
                </c:pt>
                <c:pt idx="700">
                  <c:v>1.4356339053019838</c:v>
                </c:pt>
                <c:pt idx="701">
                  <c:v>1.4357965985973351</c:v>
                </c:pt>
                <c:pt idx="702">
                  <c:v>1.4357965985973351</c:v>
                </c:pt>
                <c:pt idx="703">
                  <c:v>1.4360133986078836</c:v>
                </c:pt>
                <c:pt idx="704">
                  <c:v>1.4361895252945942</c:v>
                </c:pt>
                <c:pt idx="705">
                  <c:v>1.4362029586859535</c:v>
                </c:pt>
                <c:pt idx="706">
                  <c:v>1.4367443989876847</c:v>
                </c:pt>
                <c:pt idx="707">
                  <c:v>1.4367712657704033</c:v>
                </c:pt>
                <c:pt idx="708">
                  <c:v>1.4369201525246353</c:v>
                </c:pt>
                <c:pt idx="709">
                  <c:v>1.4372712864487767</c:v>
                </c:pt>
                <c:pt idx="710">
                  <c:v>1.4372712864487767</c:v>
                </c:pt>
                <c:pt idx="711">
                  <c:v>1.4373929332705302</c:v>
                </c:pt>
                <c:pt idx="712">
                  <c:v>1.4375007735511645</c:v>
                </c:pt>
                <c:pt idx="713">
                  <c:v>1.4377033938708337</c:v>
                </c:pt>
                <c:pt idx="714">
                  <c:v>1.438053968070335</c:v>
                </c:pt>
                <c:pt idx="715">
                  <c:v>1.4388754572669313</c:v>
                </c:pt>
                <c:pt idx="716">
                  <c:v>1.4388888906582906</c:v>
                </c:pt>
                <c:pt idx="717">
                  <c:v>1.4391713650265956</c:v>
                </c:pt>
                <c:pt idx="718">
                  <c:v>1.4393598056553856</c:v>
                </c:pt>
                <c:pt idx="719">
                  <c:v>1.439426972612182</c:v>
                </c:pt>
                <c:pt idx="720">
                  <c:v>1.4395075729603377</c:v>
                </c:pt>
                <c:pt idx="721">
                  <c:v>1.4396687736566491</c:v>
                </c:pt>
                <c:pt idx="722">
                  <c:v>1.4402460363353384</c:v>
                </c:pt>
                <c:pt idx="723">
                  <c:v>1.4402861499345363</c:v>
                </c:pt>
                <c:pt idx="724">
                  <c:v>1.4406749719844356</c:v>
                </c:pt>
                <c:pt idx="725">
                  <c:v>1.4407419523663521</c:v>
                </c:pt>
                <c:pt idx="726">
                  <c:v>1.4410098738940178</c:v>
                </c:pt>
                <c:pt idx="727">
                  <c:v>1.4416524377807036</c:v>
                </c:pt>
                <c:pt idx="728">
                  <c:v>1.4417860253947765</c:v>
                </c:pt>
                <c:pt idx="729">
                  <c:v>1.4417994587861358</c:v>
                </c:pt>
                <c:pt idx="730">
                  <c:v>1.4422537686189116</c:v>
                </c:pt>
                <c:pt idx="731">
                  <c:v>1.4428543531575997</c:v>
                </c:pt>
                <c:pt idx="732">
                  <c:v>1.4430144344046312</c:v>
                </c:pt>
                <c:pt idx="733">
                  <c:v>1.4434409445802885</c:v>
                </c:pt>
                <c:pt idx="734">
                  <c:v>1.4435741590446014</c:v>
                </c:pt>
                <c:pt idx="735">
                  <c:v>1.4437073735089143</c:v>
                </c:pt>
                <c:pt idx="736">
                  <c:v>1.4438137211905087</c:v>
                </c:pt>
                <c:pt idx="737">
                  <c:v>1.4446518155514241</c:v>
                </c:pt>
                <c:pt idx="738">
                  <c:v>1.444691742575742</c:v>
                </c:pt>
                <c:pt idx="739">
                  <c:v>1.444784656865977</c:v>
                </c:pt>
                <c:pt idx="740">
                  <c:v>1.4449174981805299</c:v>
                </c:pt>
                <c:pt idx="741">
                  <c:v>1.4452096744425944</c:v>
                </c:pt>
                <c:pt idx="742">
                  <c:v>1.4453025887328295</c:v>
                </c:pt>
                <c:pt idx="743">
                  <c:v>1.4453555759987466</c:v>
                </c:pt>
                <c:pt idx="744">
                  <c:v>1.4456738727440097</c:v>
                </c:pt>
                <c:pt idx="745">
                  <c:v>1.4457932806672034</c:v>
                </c:pt>
                <c:pt idx="746">
                  <c:v>1.4458727615660791</c:v>
                </c:pt>
                <c:pt idx="747">
                  <c:v>1.4462173653694208</c:v>
                </c:pt>
                <c:pt idx="748">
                  <c:v>1.446270352635338</c:v>
                </c:pt>
                <c:pt idx="749">
                  <c:v>1.4463365867177345</c:v>
                </c:pt>
                <c:pt idx="750">
                  <c:v>1.4464690548825274</c:v>
                </c:pt>
                <c:pt idx="751">
                  <c:v>1.4465750294143618</c:v>
                </c:pt>
                <c:pt idx="752">
                  <c:v>1.4466145832889197</c:v>
                </c:pt>
                <c:pt idx="753">
                  <c:v>1.4470909089575343</c:v>
                </c:pt>
                <c:pt idx="754">
                  <c:v>1.4471041557740136</c:v>
                </c:pt>
                <c:pt idx="755">
                  <c:v>1.4471174025904929</c:v>
                </c:pt>
                <c:pt idx="756">
                  <c:v>1.447209943730968</c:v>
                </c:pt>
                <c:pt idx="757">
                  <c:v>1.4476592160419841</c:v>
                </c:pt>
                <c:pt idx="758">
                  <c:v>1.4478706053810129</c:v>
                </c:pt>
                <c:pt idx="759">
                  <c:v>1.4482269634017939</c:v>
                </c:pt>
                <c:pt idx="760">
                  <c:v>1.448319317967389</c:v>
                </c:pt>
                <c:pt idx="761">
                  <c:v>1.4487939644620837</c:v>
                </c:pt>
                <c:pt idx="762">
                  <c:v>1.4488202715201624</c:v>
                </c:pt>
                <c:pt idx="763">
                  <c:v>1.4494132064887708</c:v>
                </c:pt>
                <c:pt idx="764">
                  <c:v>1.449597355895321</c:v>
                </c:pt>
                <c:pt idx="765">
                  <c:v>1.4499789015249007</c:v>
                </c:pt>
                <c:pt idx="766">
                  <c:v>1.4503470137631211</c:v>
                </c:pt>
                <c:pt idx="767">
                  <c:v>1.4503602605796004</c:v>
                </c:pt>
                <c:pt idx="768">
                  <c:v>1.4504520554205556</c:v>
                </c:pt>
                <c:pt idx="769">
                  <c:v>1.4508330413254953</c:v>
                </c:pt>
                <c:pt idx="770">
                  <c:v>1.4510431246403641</c:v>
                </c:pt>
                <c:pt idx="771">
                  <c:v>1.4510957387565213</c:v>
                </c:pt>
                <c:pt idx="772">
                  <c:v>1.4511481662977985</c:v>
                </c:pt>
                <c:pt idx="773">
                  <c:v>1.4511875335974764</c:v>
                </c:pt>
                <c:pt idx="774">
                  <c:v>1.4515942668358548</c:v>
                </c:pt>
                <c:pt idx="775">
                  <c:v>1.451777669942885</c:v>
                </c:pt>
                <c:pt idx="776">
                  <c:v>1.4520922351905483</c:v>
                </c:pt>
                <c:pt idx="777">
                  <c:v>1.4521577229734248</c:v>
                </c:pt>
                <c:pt idx="778">
                  <c:v>1.4523541863220544</c:v>
                </c:pt>
                <c:pt idx="779">
                  <c:v>1.4523672465636537</c:v>
                </c:pt>
                <c:pt idx="780">
                  <c:v>1.4529038359185051</c:v>
                </c:pt>
                <c:pt idx="781">
                  <c:v>1.4532047811999291</c:v>
                </c:pt>
                <c:pt idx="782">
                  <c:v>1.4532178414415284</c:v>
                </c:pt>
                <c:pt idx="783">
                  <c:v>1.4534792328483945</c:v>
                </c:pt>
                <c:pt idx="784">
                  <c:v>1.4536490159891855</c:v>
                </c:pt>
                <c:pt idx="785">
                  <c:v>1.4539104073960516</c:v>
                </c:pt>
                <c:pt idx="786">
                  <c:v>1.4539626483624488</c:v>
                </c:pt>
                <c:pt idx="787">
                  <c:v>1.4542889678275515</c:v>
                </c:pt>
                <c:pt idx="788">
                  <c:v>1.45469327559249</c:v>
                </c:pt>
                <c:pt idx="789">
                  <c:v>1.454993287999514</c:v>
                </c:pt>
                <c:pt idx="790">
                  <c:v>1.4550584026326305</c:v>
                </c:pt>
                <c:pt idx="791">
                  <c:v>1.4551757582321443</c:v>
                </c:pt>
                <c:pt idx="792">
                  <c:v>1.4556576811471587</c:v>
                </c:pt>
                <c:pt idx="793">
                  <c:v>1.455800784080111</c:v>
                </c:pt>
                <c:pt idx="794">
                  <c:v>1.4559050794380255</c:v>
                </c:pt>
                <c:pt idx="795">
                  <c:v>1.4559179531047448</c:v>
                </c:pt>
                <c:pt idx="796">
                  <c:v>1.4560220618877793</c:v>
                </c:pt>
                <c:pt idx="797">
                  <c:v>1.4564644309282357</c:v>
                </c:pt>
                <c:pt idx="798">
                  <c:v>1.4566465280111061</c:v>
                </c:pt>
                <c:pt idx="799">
                  <c:v>1.4575948881260956</c:v>
                </c:pt>
                <c:pt idx="800">
                  <c:v>1.4577116840009694</c:v>
                </c:pt>
                <c:pt idx="801">
                  <c:v>1.457737617909288</c:v>
                </c:pt>
                <c:pt idx="802">
                  <c:v>1.4578934079340797</c:v>
                </c:pt>
                <c:pt idx="803">
                  <c:v>1.4581915545923039</c:v>
                </c:pt>
                <c:pt idx="804">
                  <c:v>1.4586195573670011</c:v>
                </c:pt>
                <c:pt idx="805">
                  <c:v>1.4587878479087522</c:v>
                </c:pt>
                <c:pt idx="806">
                  <c:v>1.4588266554837901</c:v>
                </c:pt>
                <c:pt idx="807">
                  <c:v>1.4589951326004211</c:v>
                </c:pt>
                <c:pt idx="808">
                  <c:v>1.4593835815005605</c:v>
                </c:pt>
                <c:pt idx="809">
                  <c:v>1.4594225756504784</c:v>
                </c:pt>
                <c:pt idx="810">
                  <c:v>1.4594613832255163</c:v>
                </c:pt>
                <c:pt idx="811">
                  <c:v>1.4596035532840688</c:v>
                </c:pt>
                <c:pt idx="812">
                  <c:v>1.4601339856678806</c:v>
                </c:pt>
                <c:pt idx="813">
                  <c:v>1.4603925784515468</c:v>
                </c:pt>
                <c:pt idx="814">
                  <c:v>1.460444259693304</c:v>
                </c:pt>
                <c:pt idx="815">
                  <c:v>1.460483067268342</c:v>
                </c:pt>
                <c:pt idx="816">
                  <c:v>1.460689792235371</c:v>
                </c:pt>
                <c:pt idx="817">
                  <c:v>1.4607155395688096</c:v>
                </c:pt>
                <c:pt idx="818">
                  <c:v>1.4607155395688096</c:v>
                </c:pt>
                <c:pt idx="819">
                  <c:v>1.4607285998104089</c:v>
                </c:pt>
                <c:pt idx="820">
                  <c:v>1.4607802810521662</c:v>
                </c:pt>
                <c:pt idx="821">
                  <c:v>1.4608189020523241</c:v>
                </c:pt>
                <c:pt idx="822">
                  <c:v>1.4608965172024</c:v>
                </c:pt>
                <c:pt idx="823">
                  <c:v>1.4610256270193531</c:v>
                </c:pt>
                <c:pt idx="824">
                  <c:v>1.4610513743527918</c:v>
                </c:pt>
                <c:pt idx="825">
                  <c:v>1.4613226542282973</c:v>
                </c:pt>
                <c:pt idx="826">
                  <c:v>1.4617484181044347</c:v>
                </c:pt>
                <c:pt idx="827">
                  <c:v>1.4618773413465078</c:v>
                </c:pt>
                <c:pt idx="828">
                  <c:v>1.4618773413465078</c:v>
                </c:pt>
                <c:pt idx="829">
                  <c:v>1.4618773413465078</c:v>
                </c:pt>
                <c:pt idx="830">
                  <c:v>1.4619159623466658</c:v>
                </c:pt>
                <c:pt idx="831">
                  <c:v>1.461967643588423</c:v>
                </c:pt>
                <c:pt idx="832">
                  <c:v>1.4623544133146424</c:v>
                </c:pt>
                <c:pt idx="833">
                  <c:v>1.4623801606480811</c:v>
                </c:pt>
                <c:pt idx="834">
                  <c:v>1.4626380071322274</c:v>
                </c:pt>
                <c:pt idx="835">
                  <c:v>1.4626380071322274</c:v>
                </c:pt>
                <c:pt idx="836">
                  <c:v>1.4627538701327012</c:v>
                </c:pt>
                <c:pt idx="837">
                  <c:v>1.4628570460413357</c:v>
                </c:pt>
                <c:pt idx="838">
                  <c:v>1.4628827933747743</c:v>
                </c:pt>
                <c:pt idx="839">
                  <c:v>1.4629857827085289</c:v>
                </c:pt>
                <c:pt idx="840">
                  <c:v>1.4630630247088448</c:v>
                </c:pt>
                <c:pt idx="841">
                  <c:v>1.4630630247088448</c:v>
                </c:pt>
                <c:pt idx="842">
                  <c:v>1.4631016457090027</c:v>
                </c:pt>
                <c:pt idx="843">
                  <c:v>1.4635134164691408</c:v>
                </c:pt>
                <c:pt idx="844">
                  <c:v>1.4635906584694567</c:v>
                </c:pt>
                <c:pt idx="845">
                  <c:v>1.4644653215068502</c:v>
                </c:pt>
                <c:pt idx="846">
                  <c:v>1.4644908822654088</c:v>
                </c:pt>
                <c:pt idx="847">
                  <c:v>1.464619432357722</c:v>
                </c:pt>
                <c:pt idx="848">
                  <c:v>1.4648377249673104</c:v>
                </c:pt>
                <c:pt idx="849">
                  <c:v>1.4648377249673104</c:v>
                </c:pt>
                <c:pt idx="850">
                  <c:v>1.4649791487263428</c:v>
                </c:pt>
                <c:pt idx="851">
                  <c:v>1.4652103150026505</c:v>
                </c:pt>
                <c:pt idx="852">
                  <c:v>1.4653386785200837</c:v>
                </c:pt>
                <c:pt idx="853">
                  <c:v>1.4655054764627948</c:v>
                </c:pt>
                <c:pt idx="854">
                  <c:v>1.4655440974629528</c:v>
                </c:pt>
                <c:pt idx="855">
                  <c:v>1.4660571783829255</c:v>
                </c:pt>
                <c:pt idx="856">
                  <c:v>1.4660700520496448</c:v>
                </c:pt>
                <c:pt idx="857">
                  <c:v>1.4661855419003587</c:v>
                </c:pt>
                <c:pt idx="858">
                  <c:v>1.4664932038774623</c:v>
                </c:pt>
                <c:pt idx="859">
                  <c:v>1.4666726889120127</c:v>
                </c:pt>
                <c:pt idx="860">
                  <c:v>1.4666982496705714</c:v>
                </c:pt>
                <c:pt idx="861">
                  <c:v>1.4667366840958493</c:v>
                </c:pt>
                <c:pt idx="862">
                  <c:v>1.4667879921878466</c:v>
                </c:pt>
                <c:pt idx="863">
                  <c:v>1.4670699068315116</c:v>
                </c:pt>
                <c:pt idx="864">
                  <c:v>1.4671978971991848</c:v>
                </c:pt>
                <c:pt idx="865">
                  <c:v>1.4675691812103651</c:v>
                </c:pt>
                <c:pt idx="866">
                  <c:v>1.4675949285438037</c:v>
                </c:pt>
                <c:pt idx="867">
                  <c:v>1.4679020307962674</c:v>
                </c:pt>
                <c:pt idx="868">
                  <c:v>1.4679788996468233</c:v>
                </c:pt>
                <c:pt idx="869">
                  <c:v>1.4689890160470895</c:v>
                </c:pt>
                <c:pt idx="870">
                  <c:v>1.4691168198398827</c:v>
                </c:pt>
                <c:pt idx="871">
                  <c:v>1.469206375782278</c:v>
                </c:pt>
                <c:pt idx="872">
                  <c:v>1.469206375782278</c:v>
                </c:pt>
                <c:pt idx="873">
                  <c:v>1.4694617967929844</c:v>
                </c:pt>
                <c:pt idx="874">
                  <c:v>1.4694746704597037</c:v>
                </c:pt>
                <c:pt idx="875">
                  <c:v>1.4697554656540888</c:v>
                </c:pt>
                <c:pt idx="876">
                  <c:v>1.4699215172972799</c:v>
                </c:pt>
                <c:pt idx="877">
                  <c:v>1.4702789947673409</c:v>
                </c:pt>
                <c:pt idx="878">
                  <c:v>1.4705724770535653</c:v>
                </c:pt>
                <c:pt idx="879">
                  <c:v>1.4707510292137158</c:v>
                </c:pt>
                <c:pt idx="880">
                  <c:v>1.4709424550405856</c:v>
                </c:pt>
                <c:pt idx="881">
                  <c:v>1.4709933899828229</c:v>
                </c:pt>
                <c:pt idx="882">
                  <c:v>1.4710316378332209</c:v>
                </c:pt>
                <c:pt idx="883">
                  <c:v>1.4710316378332209</c:v>
                </c:pt>
                <c:pt idx="884">
                  <c:v>1.4711081335340168</c:v>
                </c:pt>
                <c:pt idx="885">
                  <c:v>1.4712228770852107</c:v>
                </c:pt>
                <c:pt idx="886">
                  <c:v>1.4714906120379965</c:v>
                </c:pt>
                <c:pt idx="887">
                  <c:v>1.4715542340720731</c:v>
                </c:pt>
                <c:pt idx="888">
                  <c:v>1.4717837211744609</c:v>
                </c:pt>
                <c:pt idx="889">
                  <c:v>1.4720510829774867</c:v>
                </c:pt>
                <c:pt idx="890">
                  <c:v>1.4721785136205199</c:v>
                </c:pt>
                <c:pt idx="891">
                  <c:v>1.472420501239867</c:v>
                </c:pt>
                <c:pt idx="892">
                  <c:v>1.4727005501347321</c:v>
                </c:pt>
                <c:pt idx="893">
                  <c:v>1.4727134238014514</c:v>
                </c:pt>
                <c:pt idx="894">
                  <c:v>1.4727897329273674</c:v>
                </c:pt>
                <c:pt idx="895">
                  <c:v>1.472853354961444</c:v>
                </c:pt>
                <c:pt idx="896">
                  <c:v>1.4728787291451226</c:v>
                </c:pt>
                <c:pt idx="897">
                  <c:v>1.4729296640873599</c:v>
                </c:pt>
                <c:pt idx="898">
                  <c:v>1.4729552248459186</c:v>
                </c:pt>
                <c:pt idx="899">
                  <c:v>1.4735149494858888</c:v>
                </c:pt>
                <c:pt idx="900">
                  <c:v>1.4735403236695674</c:v>
                </c:pt>
                <c:pt idx="901">
                  <c:v>1.4735912586118047</c:v>
                </c:pt>
                <c:pt idx="902">
                  <c:v>1.4739601171495451</c:v>
                </c:pt>
                <c:pt idx="903">
                  <c:v>1.474150796676895</c:v>
                </c:pt>
                <c:pt idx="904">
                  <c:v>1.4743668503879235</c:v>
                </c:pt>
                <c:pt idx="905">
                  <c:v>1.4744049116634415</c:v>
                </c:pt>
                <c:pt idx="906">
                  <c:v>1.4747224621091846</c:v>
                </c:pt>
                <c:pt idx="907">
                  <c:v>1.4748623932691771</c:v>
                </c:pt>
                <c:pt idx="908">
                  <c:v>1.4749258287283737</c:v>
                </c:pt>
                <c:pt idx="909">
                  <c:v>1.4749385158202131</c:v>
                </c:pt>
                <c:pt idx="910">
                  <c:v>1.4749892641875704</c:v>
                </c:pt>
                <c:pt idx="911">
                  <c:v>1.4750653867386063</c:v>
                </c:pt>
                <c:pt idx="912">
                  <c:v>1.4750782604053256</c:v>
                </c:pt>
                <c:pt idx="913">
                  <c:v>1.4751543829563616</c:v>
                </c:pt>
                <c:pt idx="914">
                  <c:v>1.4757766101811285</c:v>
                </c:pt>
                <c:pt idx="915">
                  <c:v>1.4758146714566465</c:v>
                </c:pt>
                <c:pt idx="916">
                  <c:v>1.4766518329431619</c:v>
                </c:pt>
                <c:pt idx="917">
                  <c:v>1.4772477531098502</c:v>
                </c:pt>
                <c:pt idx="918">
                  <c:v>1.4773111885690469</c:v>
                </c:pt>
                <c:pt idx="919">
                  <c:v>1.4783375369838723</c:v>
                </c:pt>
                <c:pt idx="920">
                  <c:v>1.4785526578205008</c:v>
                </c:pt>
                <c:pt idx="921">
                  <c:v>1.4785780320041795</c:v>
                </c:pt>
                <c:pt idx="922">
                  <c:v>1.4787425910483307</c:v>
                </c:pt>
                <c:pt idx="923">
                  <c:v>1.4788819624836833</c:v>
                </c:pt>
                <c:pt idx="924">
                  <c:v>1.4791476451127892</c:v>
                </c:pt>
                <c:pt idx="925">
                  <c:v>1.4792741428814224</c:v>
                </c:pt>
                <c:pt idx="926">
                  <c:v>1.4793248912487797</c:v>
                </c:pt>
                <c:pt idx="927">
                  <c:v>1.4794640761092523</c:v>
                </c:pt>
                <c:pt idx="928">
                  <c:v>1.4797803205308355</c:v>
                </c:pt>
                <c:pt idx="929">
                  <c:v>1.4799068182994688</c:v>
                </c:pt>
                <c:pt idx="930">
                  <c:v>1.4799446930001068</c:v>
                </c:pt>
                <c:pt idx="931">
                  <c:v>1.4802103756292126</c:v>
                </c:pt>
                <c:pt idx="932">
                  <c:v>1.4803368733978459</c:v>
                </c:pt>
                <c:pt idx="933">
                  <c:v>1.4804126227991219</c:v>
                </c:pt>
                <c:pt idx="934">
                  <c:v>1.4811331749856436</c:v>
                </c:pt>
                <c:pt idx="935">
                  <c:v>1.4811712362611615</c:v>
                </c:pt>
                <c:pt idx="936">
                  <c:v>1.4816637939443353</c:v>
                </c:pt>
                <c:pt idx="937">
                  <c:v>1.48176491752929</c:v>
                </c:pt>
                <c:pt idx="938">
                  <c:v>1.4823712858892577</c:v>
                </c:pt>
                <c:pt idx="939">
                  <c:v>1.4825479723006083</c:v>
                </c:pt>
                <c:pt idx="940">
                  <c:v>1.4826742834943616</c:v>
                </c:pt>
                <c:pt idx="941">
                  <c:v>1.4829645940076261</c:v>
                </c:pt>
                <c:pt idx="942">
                  <c:v>1.4834062167485627</c:v>
                </c:pt>
                <c:pt idx="943">
                  <c:v>1.4834819661498386</c:v>
                </c:pt>
                <c:pt idx="944">
                  <c:v>1.4836586525611892</c:v>
                </c:pt>
                <c:pt idx="945">
                  <c:v>1.4838478394894992</c:v>
                </c:pt>
                <c:pt idx="946">
                  <c:v>1.4839739641083725</c:v>
                </c:pt>
                <c:pt idx="947">
                  <c:v>1.4839739641083725</c:v>
                </c:pt>
                <c:pt idx="948">
                  <c:v>1.4845919001108996</c:v>
                </c:pt>
                <c:pt idx="949">
                  <c:v>1.4846803366040149</c:v>
                </c:pt>
                <c:pt idx="950">
                  <c:v>1.4848064612228882</c:v>
                </c:pt>
                <c:pt idx="951">
                  <c:v>1.4850333362769561</c:v>
                </c:pt>
                <c:pt idx="952">
                  <c:v>1.4850458367939154</c:v>
                </c:pt>
                <c:pt idx="953">
                  <c:v>1.4852475242391847</c:v>
                </c:pt>
                <c:pt idx="954">
                  <c:v>1.4857895242655559</c:v>
                </c:pt>
                <c:pt idx="955">
                  <c:v>1.4860540874453818</c:v>
                </c:pt>
                <c:pt idx="956">
                  <c:v>1.4863188372000877</c:v>
                </c:pt>
                <c:pt idx="957">
                  <c:v>1.4865832138050337</c:v>
                </c:pt>
                <c:pt idx="958">
                  <c:v>1.4867345260327056</c:v>
                </c:pt>
                <c:pt idx="959">
                  <c:v>1.4868477769848596</c:v>
                </c:pt>
                <c:pt idx="960">
                  <c:v>1.4871752158992422</c:v>
                </c:pt>
                <c:pt idx="961">
                  <c:v>1.4872255911168395</c:v>
                </c:pt>
                <c:pt idx="962">
                  <c:v>1.487741843809772</c:v>
                </c:pt>
                <c:pt idx="963">
                  <c:v>1.4881950341932679</c:v>
                </c:pt>
                <c:pt idx="964">
                  <c:v>1.4882202218020666</c:v>
                </c:pt>
                <c:pt idx="965">
                  <c:v>1.4882327223190259</c:v>
                </c:pt>
                <c:pt idx="966">
                  <c:v>1.4885347870497299</c:v>
                </c:pt>
                <c:pt idx="967">
                  <c:v>1.4888241646885945</c:v>
                </c:pt>
                <c:pt idx="968">
                  <c:v>1.4888368517804338</c:v>
                </c:pt>
                <c:pt idx="969">
                  <c:v>1.4891010418104997</c:v>
                </c:pt>
                <c:pt idx="970">
                  <c:v>1.4891262294192984</c:v>
                </c:pt>
                <c:pt idx="971">
                  <c:v>1.4897678604315843</c:v>
                </c:pt>
                <c:pt idx="972">
                  <c:v>1.4898182356491816</c:v>
                </c:pt>
                <c:pt idx="973">
                  <c:v>1.4903085544337955</c:v>
                </c:pt>
                <c:pt idx="974">
                  <c:v>1.4903966177771508</c:v>
                </c:pt>
                <c:pt idx="975">
                  <c:v>1.4904469929947481</c:v>
                </c:pt>
                <c:pt idx="976">
                  <c:v>1.4904846811205061</c:v>
                </c:pt>
                <c:pt idx="977">
                  <c:v>1.4909499988712014</c:v>
                </c:pt>
                <c:pt idx="978">
                  <c:v>1.4910380622145567</c:v>
                </c:pt>
                <c:pt idx="979">
                  <c:v>1.491088250857274</c:v>
                </c:pt>
                <c:pt idx="980">
                  <c:v>1.4912140023263873</c:v>
                </c:pt>
                <c:pt idx="981">
                  <c:v>1.4912895651527833</c:v>
                </c:pt>
                <c:pt idx="982">
                  <c:v>1.4914026295300573</c:v>
                </c:pt>
                <c:pt idx="983">
                  <c:v>1.4914906928734126</c:v>
                </c:pt>
                <c:pt idx="984">
                  <c:v>1.4916037572506866</c:v>
                </c:pt>
                <c:pt idx="985">
                  <c:v>1.4916791335022026</c:v>
                </c:pt>
                <c:pt idx="986">
                  <c:v>1.4917671968455579</c:v>
                </c:pt>
                <c:pt idx="987">
                  <c:v>1.4918048849713159</c:v>
                </c:pt>
                <c:pt idx="988">
                  <c:v>1.4925715211531951</c:v>
                </c:pt>
                <c:pt idx="989">
                  <c:v>1.4929735900195737</c:v>
                </c:pt>
                <c:pt idx="990">
                  <c:v>1.4931622172232437</c:v>
                </c:pt>
                <c:pt idx="991">
                  <c:v>1.4934512217123483</c:v>
                </c:pt>
                <c:pt idx="992">
                  <c:v>1.4939034792214443</c:v>
                </c:pt>
                <c:pt idx="993">
                  <c:v>1.4941421084929516</c:v>
                </c:pt>
                <c:pt idx="994">
                  <c:v>1.4945818654850882</c:v>
                </c:pt>
                <c:pt idx="995">
                  <c:v>1.4949083715250708</c:v>
                </c:pt>
                <c:pt idx="996">
                  <c:v>1.4950968121538608</c:v>
                </c:pt>
                <c:pt idx="997">
                  <c:v>1.4952223770480941</c:v>
                </c:pt>
                <c:pt idx="998">
                  <c:v>1.4956117588226334</c:v>
                </c:pt>
                <c:pt idx="999">
                  <c:v>1.4958378875771814</c:v>
                </c:pt>
                <c:pt idx="1000">
                  <c:v>1.4959382648626161</c:v>
                </c:pt>
                <c:pt idx="1001">
                  <c:v>1.4960009540222927</c:v>
                </c:pt>
                <c:pt idx="1002">
                  <c:v>1.4963024590283567</c:v>
                </c:pt>
                <c:pt idx="1003">
                  <c:v>1.496729342353774</c:v>
                </c:pt>
                <c:pt idx="1004">
                  <c:v>1.4973823544337392</c:v>
                </c:pt>
                <c:pt idx="1005">
                  <c:v>1.4974827317191739</c:v>
                </c:pt>
                <c:pt idx="1006">
                  <c:v>1.4975454208788506</c:v>
                </c:pt>
                <c:pt idx="1007">
                  <c:v>1.4976334842222059</c:v>
                </c:pt>
                <c:pt idx="1008">
                  <c:v>1.4977213609906812</c:v>
                </c:pt>
                <c:pt idx="1009">
                  <c:v>1.4978719269188332</c:v>
                </c:pt>
                <c:pt idx="1010">
                  <c:v>1.4981984329588158</c:v>
                </c:pt>
                <c:pt idx="1011">
                  <c:v>1.4985249389987985</c:v>
                </c:pt>
                <c:pt idx="1012">
                  <c:v>1.4995919607374617</c:v>
                </c:pt>
                <c:pt idx="1013">
                  <c:v>1.4996171483462604</c:v>
                </c:pt>
                <c:pt idx="1014">
                  <c:v>1.5000690327055963</c:v>
                </c:pt>
                <c:pt idx="1015">
                  <c:v>1.5008224220709963</c:v>
                </c:pt>
                <c:pt idx="1016">
                  <c:v>1.5012116172706556</c:v>
                </c:pt>
                <c:pt idx="1017">
                  <c:v>1.5017765660072655</c:v>
                </c:pt>
                <c:pt idx="1018">
                  <c:v>1.5018267546499828</c:v>
                </c:pt>
                <c:pt idx="1019">
                  <c:v>1.5019523195442162</c:v>
                </c:pt>
                <c:pt idx="1020">
                  <c:v>1.5020651973466101</c:v>
                </c:pt>
                <c:pt idx="1021">
                  <c:v>1.5021657612069248</c:v>
                </c:pt>
                <c:pt idx="1022">
                  <c:v>1.5021782617238841</c:v>
                </c:pt>
                <c:pt idx="1023">
                  <c:v>1.5027180228516954</c:v>
                </c:pt>
                <c:pt idx="1024">
                  <c:v>1.5027180228516954</c:v>
                </c:pt>
                <c:pt idx="1025">
                  <c:v>1.5028310872289694</c:v>
                </c:pt>
                <c:pt idx="1026">
                  <c:v>1.5031450927519927</c:v>
                </c:pt>
                <c:pt idx="1027">
                  <c:v>1.5033710349316607</c:v>
                </c:pt>
                <c:pt idx="1028">
                  <c:v>1.5034714122170953</c:v>
                </c:pt>
                <c:pt idx="1029">
                  <c:v>1.5034840993089347</c:v>
                </c:pt>
                <c:pt idx="1030">
                  <c:v>1.5036725399377247</c:v>
                </c:pt>
                <c:pt idx="1031">
                  <c:v>1.5040994232631419</c:v>
                </c:pt>
                <c:pt idx="1032">
                  <c:v>1.5042249881573753</c:v>
                </c:pt>
                <c:pt idx="1033">
                  <c:v>1.5048529992034219</c:v>
                </c:pt>
                <c:pt idx="1034">
                  <c:v>1.5050789413830898</c:v>
                </c:pt>
                <c:pt idx="1035">
                  <c:v>1.5051418171176465</c:v>
                </c:pt>
                <c:pt idx="1036">
                  <c:v>1.5052296938861218</c:v>
                </c:pt>
                <c:pt idx="1037">
                  <c:v>1.5053302577464365</c:v>
                </c:pt>
                <c:pt idx="1038">
                  <c:v>1.5054308216067511</c:v>
                </c:pt>
                <c:pt idx="1039">
                  <c:v>1.5056065751437018</c:v>
                </c:pt>
                <c:pt idx="1040">
                  <c:v>1.5060840202615964</c:v>
                </c:pt>
                <c:pt idx="1041">
                  <c:v>1.5060965207785557</c:v>
                </c:pt>
                <c:pt idx="1042">
                  <c:v>1.5065110901618937</c:v>
                </c:pt>
                <c:pt idx="1043">
                  <c:v>1.506712217882523</c:v>
                </c:pt>
                <c:pt idx="1044">
                  <c:v>1.506712217882523</c:v>
                </c:pt>
                <c:pt idx="1045">
                  <c:v>1.506787594134039</c:v>
                </c:pt>
                <c:pt idx="1046">
                  <c:v>1.5072148506092162</c:v>
                </c:pt>
                <c:pt idx="1047">
                  <c:v>1.5082704912802001</c:v>
                </c:pt>
                <c:pt idx="1048">
                  <c:v>1.5084466179669107</c:v>
                </c:pt>
                <c:pt idx="1049">
                  <c:v>1.508610057561782</c:v>
                </c:pt>
                <c:pt idx="1050">
                  <c:v>1.5087734971566533</c:v>
                </c:pt>
                <c:pt idx="1051">
                  <c:v>1.508798498190572</c:v>
                </c:pt>
                <c:pt idx="1052">
                  <c:v>1.5090626882206379</c:v>
                </c:pt>
                <c:pt idx="1053">
                  <c:v>1.5093895674103806</c:v>
                </c:pt>
                <c:pt idx="1054">
                  <c:v>1.5095278193964532</c:v>
                </c:pt>
                <c:pt idx="1055">
                  <c:v>1.5096660713825258</c:v>
                </c:pt>
                <c:pt idx="1056">
                  <c:v>1.5099931371471484</c:v>
                </c:pt>
                <c:pt idx="1057">
                  <c:v>1.5100056376641078</c:v>
                </c:pt>
                <c:pt idx="1058">
                  <c:v>1.5103830786463277</c:v>
                </c:pt>
                <c:pt idx="1059">
                  <c:v>1.510546704816079</c:v>
                </c:pt>
                <c:pt idx="1060">
                  <c:v>1.5105592053330383</c:v>
                </c:pt>
                <c:pt idx="1061">
                  <c:v>1.5112512115629215</c:v>
                </c:pt>
                <c:pt idx="1062">
                  <c:v>1.5113519619981162</c:v>
                </c:pt>
                <c:pt idx="1063">
                  <c:v>1.5113771496069148</c:v>
                </c:pt>
                <c:pt idx="1064">
                  <c:v>1.5114527124333108</c:v>
                </c:pt>
                <c:pt idx="1065">
                  <c:v>1.5114527124333108</c:v>
                </c:pt>
                <c:pt idx="1066">
                  <c:v>1.5117169024633768</c:v>
                </c:pt>
                <c:pt idx="1067">
                  <c:v>1.5119434043676847</c:v>
                </c:pt>
                <c:pt idx="1068">
                  <c:v>1.512107217112316</c:v>
                </c:pt>
                <c:pt idx="1069">
                  <c:v>1.5126359703222079</c:v>
                </c:pt>
                <c:pt idx="1070">
                  <c:v>1.5127870959749998</c:v>
                </c:pt>
                <c:pt idx="1071">
                  <c:v>1.5133158491848917</c:v>
                </c:pt>
                <c:pt idx="1072">
                  <c:v>1.513328536276731</c:v>
                </c:pt>
                <c:pt idx="1073">
                  <c:v>1.5135679118477583</c:v>
                </c:pt>
                <c:pt idx="1074">
                  <c:v>1.5135804123647176</c:v>
                </c:pt>
                <c:pt idx="1075">
                  <c:v>1.5138072874187856</c:v>
                </c:pt>
                <c:pt idx="1076">
                  <c:v>1.5141601005168468</c:v>
                </c:pt>
                <c:pt idx="1077">
                  <c:v>1.5150549136412792</c:v>
                </c:pt>
                <c:pt idx="1078">
                  <c:v>1.5151685377431932</c:v>
                </c:pt>
                <c:pt idx="1079">
                  <c:v>1.5154711621985371</c:v>
                </c:pt>
                <c:pt idx="1080">
                  <c:v>1.5159629735821909</c:v>
                </c:pt>
                <c:pt idx="1081">
                  <c:v>1.5160512235004262</c:v>
                </c:pt>
                <c:pt idx="1082">
                  <c:v>1.5162025357280982</c:v>
                </c:pt>
                <c:pt idx="1083">
                  <c:v>1.5163919092312881</c:v>
                </c:pt>
                <c:pt idx="1084">
                  <c:v>1.5167831567546273</c:v>
                </c:pt>
                <c:pt idx="1085">
                  <c:v>1.5169850307747765</c:v>
                </c:pt>
                <c:pt idx="1086">
                  <c:v>1.5169850307747765</c:v>
                </c:pt>
                <c:pt idx="1087">
                  <c:v>1.5172499671043624</c:v>
                </c:pt>
                <c:pt idx="1088">
                  <c:v>1.5172753412880411</c:v>
                </c:pt>
                <c:pt idx="1089">
                  <c:v>1.5174899024000297</c:v>
                </c:pt>
                <c:pt idx="1090">
                  <c:v>1.5181845206782327</c:v>
                </c:pt>
                <c:pt idx="1091">
                  <c:v>1.5182097082870314</c:v>
                </c:pt>
                <c:pt idx="1092">
                  <c:v>1.5182854576883074</c:v>
                </c:pt>
                <c:pt idx="1093">
                  <c:v>1.5185507671676532</c:v>
                </c:pt>
                <c:pt idx="1094">
                  <c:v>1.5193470687554509</c:v>
                </c:pt>
                <c:pt idx="1095">
                  <c:v>1.5196885007858327</c:v>
                </c:pt>
                <c:pt idx="1096">
                  <c:v>1.5198780608639026</c:v>
                </c:pt>
                <c:pt idx="1097">
                  <c:v>1.5200553069998932</c:v>
                </c:pt>
                <c:pt idx="1098">
                  <c:v>1.5200804946086919</c:v>
                </c:pt>
                <c:pt idx="1099">
                  <c:v>1.5201691176766872</c:v>
                </c:pt>
                <c:pt idx="1100">
                  <c:v>1.5202069923773252</c:v>
                </c:pt>
                <c:pt idx="1101">
                  <c:v>1.5203083025371598</c:v>
                </c:pt>
                <c:pt idx="1102">
                  <c:v>1.5209915397476834</c:v>
                </c:pt>
                <c:pt idx="1103">
                  <c:v>1.5210169139313621</c:v>
                </c:pt>
                <c:pt idx="1104">
                  <c:v>1.5211941600673526</c:v>
                </c:pt>
                <c:pt idx="1105">
                  <c:v>1.522955053784699</c:v>
                </c:pt>
                <c:pt idx="1106">
                  <c:v>1.5231324864955695</c:v>
                </c:pt>
                <c:pt idx="1107">
                  <c:v>1.5231705477710875</c:v>
                </c:pt>
                <c:pt idx="1108">
                  <c:v>1.5234367901248334</c:v>
                </c:pt>
                <c:pt idx="1109">
                  <c:v>1.5235255997677086</c:v>
                </c:pt>
                <c:pt idx="1110">
                  <c:v>1.5236017223187446</c:v>
                </c:pt>
                <c:pt idx="1111">
                  <c:v>1.5236270965024232</c:v>
                </c:pt>
                <c:pt idx="1112">
                  <c:v>1.5237920286963345</c:v>
                </c:pt>
                <c:pt idx="1113">
                  <c:v>1.5240203963494423</c:v>
                </c:pt>
                <c:pt idx="1114">
                  <c:v>1.524045770533121</c:v>
                </c:pt>
                <c:pt idx="1115">
                  <c:v>1.5241726414515142</c:v>
                </c:pt>
                <c:pt idx="1116">
                  <c:v>1.5244646311386987</c:v>
                </c:pt>
                <c:pt idx="1117">
                  <c:v>1.524477318230538</c:v>
                </c:pt>
                <c:pt idx="1118">
                  <c:v>1.524515566080936</c:v>
                </c:pt>
                <c:pt idx="1119">
                  <c:v>1.5245916886319719</c:v>
                </c:pt>
                <c:pt idx="1120">
                  <c:v>1.5247312466422045</c:v>
                </c:pt>
                <c:pt idx="1121">
                  <c:v>1.5247439337340438</c:v>
                </c:pt>
                <c:pt idx="1122">
                  <c:v>1.5248709912273171</c:v>
                </c:pt>
                <c:pt idx="1123">
                  <c:v>1.5248836783191564</c:v>
                </c:pt>
                <c:pt idx="1124">
                  <c:v>1.5249726745369117</c:v>
                </c:pt>
                <c:pt idx="1125">
                  <c:v>1.5253282862581727</c:v>
                </c:pt>
                <c:pt idx="1126">
                  <c:v>1.5260018215749369</c:v>
                </c:pt>
                <c:pt idx="1127">
                  <c:v>1.5261925011022868</c:v>
                </c:pt>
                <c:pt idx="1128">
                  <c:v>1.5262561231363634</c:v>
                </c:pt>
                <c:pt idx="1129">
                  <c:v>1.526713977891859</c:v>
                </c:pt>
                <c:pt idx="1130">
                  <c:v>1.5268285348681729</c:v>
                </c:pt>
                <c:pt idx="1131">
                  <c:v>1.5268539090518516</c:v>
                </c:pt>
                <c:pt idx="1132">
                  <c:v>1.5272485149230306</c:v>
                </c:pt>
                <c:pt idx="1133">
                  <c:v>1.5272485149230306</c:v>
                </c:pt>
                <c:pt idx="1134">
                  <c:v>1.5272612020148699</c:v>
                </c:pt>
                <c:pt idx="1135">
                  <c:v>1.5272865761985486</c:v>
                </c:pt>
                <c:pt idx="1136">
                  <c:v>1.5274393810252604</c:v>
                </c:pt>
                <c:pt idx="1137">
                  <c:v>1.5274903159674977</c:v>
                </c:pt>
                <c:pt idx="1138">
                  <c:v>1.5275156901511764</c:v>
                </c:pt>
                <c:pt idx="1139">
                  <c:v>1.527579498760133</c:v>
                </c:pt>
                <c:pt idx="1140">
                  <c:v>1.5276304337023703</c:v>
                </c:pt>
                <c:pt idx="1141">
                  <c:v>1.527936043355794</c:v>
                </c:pt>
                <c:pt idx="1142">
                  <c:v>1.5280888481825059</c:v>
                </c:pt>
                <c:pt idx="1143">
                  <c:v>1.5281144089410645</c:v>
                </c:pt>
                <c:pt idx="1144">
                  <c:v>1.5282800874344957</c:v>
                </c:pt>
                <c:pt idx="1145">
                  <c:v>1.5286496922717561</c:v>
                </c:pt>
                <c:pt idx="1146">
                  <c:v>1.5292234100277255</c:v>
                </c:pt>
                <c:pt idx="1147">
                  <c:v>1.5292362836944449</c:v>
                </c:pt>
                <c:pt idx="1148">
                  <c:v>1.5292872186366822</c:v>
                </c:pt>
                <c:pt idx="1149">
                  <c:v>1.5293892750960367</c:v>
                </c:pt>
                <c:pt idx="1150">
                  <c:v>1.5295042052221106</c:v>
                </c:pt>
                <c:pt idx="1151">
                  <c:v>1.5298613095424116</c:v>
                </c:pt>
                <c:pt idx="1152">
                  <c:v>1.5300656090360008</c:v>
                </c:pt>
                <c:pt idx="1153">
                  <c:v>1.530116730553118</c:v>
                </c:pt>
                <c:pt idx="1154">
                  <c:v>1.5301678520702353</c:v>
                </c:pt>
                <c:pt idx="1155">
                  <c:v>1.5302316606791919</c:v>
                </c:pt>
                <c:pt idx="1156">
                  <c:v>1.5302316606791919</c:v>
                </c:pt>
                <c:pt idx="1157">
                  <c:v>1.5304997687817377</c:v>
                </c:pt>
                <c:pt idx="1158">
                  <c:v>1.5311003533204257</c:v>
                </c:pt>
                <c:pt idx="1159">
                  <c:v>1.5312410307799382</c:v>
                </c:pt>
                <c:pt idx="1160">
                  <c:v>1.5312792786303362</c:v>
                </c:pt>
                <c:pt idx="1161">
                  <c:v>1.5319188573189422</c:v>
                </c:pt>
                <c:pt idx="1162">
                  <c:v>1.5320084132613374</c:v>
                </c:pt>
                <c:pt idx="1163">
                  <c:v>1.5321490907208499</c:v>
                </c:pt>
                <c:pt idx="1164">
                  <c:v>1.5323155155138011</c:v>
                </c:pt>
                <c:pt idx="1165">
                  <c:v>1.5325714962491475</c:v>
                </c:pt>
                <c:pt idx="1166">
                  <c:v>1.532635678007864</c:v>
                </c:pt>
                <c:pt idx="1167">
                  <c:v>1.5328276635593738</c:v>
                </c:pt>
                <c:pt idx="1168">
                  <c:v>1.532955840501927</c:v>
                </c:pt>
                <c:pt idx="1169">
                  <c:v>1.5331480126283168</c:v>
                </c:pt>
                <c:pt idx="1170">
                  <c:v>1.5331480126283168</c:v>
                </c:pt>
                <c:pt idx="1171">
                  <c:v>1.533237568570712</c:v>
                </c:pt>
                <c:pt idx="1172">
                  <c:v>1.5332888766627093</c:v>
                </c:pt>
                <c:pt idx="1173">
                  <c:v>1.5333528718465459</c:v>
                </c:pt>
                <c:pt idx="1174">
                  <c:v>1.5334683616972598</c:v>
                </c:pt>
                <c:pt idx="1175">
                  <c:v>1.5337760236743634</c:v>
                </c:pt>
                <c:pt idx="1176">
                  <c:v>1.5338273317663607</c:v>
                </c:pt>
                <c:pt idx="1177">
                  <c:v>1.5338528925249193</c:v>
                </c:pt>
                <c:pt idx="1178">
                  <c:v>1.5340454378010691</c:v>
                </c:pt>
                <c:pt idx="1179">
                  <c:v>1.5342506701690581</c:v>
                </c:pt>
                <c:pt idx="1180">
                  <c:v>1.53440459444505</c:v>
                </c:pt>
                <c:pt idx="1181">
                  <c:v>1.5345329579624831</c:v>
                </c:pt>
                <c:pt idx="1182">
                  <c:v>1.5348409930893467</c:v>
                </c:pt>
                <c:pt idx="1183">
                  <c:v>1.5353290729754008</c:v>
                </c:pt>
                <c:pt idx="1184">
                  <c:v>1.5354447494009946</c:v>
                </c:pt>
                <c:pt idx="1185">
                  <c:v>1.5354833704011526</c:v>
                </c:pt>
                <c:pt idx="1186">
                  <c:v>1.5356376678269044</c:v>
                </c:pt>
                <c:pt idx="1187">
                  <c:v>1.5356761022521823</c:v>
                </c:pt>
                <c:pt idx="1188">
                  <c:v>1.5359589497702473</c:v>
                </c:pt>
                <c:pt idx="1189">
                  <c:v>1.536190489196315</c:v>
                </c:pt>
                <c:pt idx="1190">
                  <c:v>1.536190489196315</c:v>
                </c:pt>
                <c:pt idx="1191">
                  <c:v>1.5362934785300695</c:v>
                </c:pt>
                <c:pt idx="1192">
                  <c:v>1.5364220286223826</c:v>
                </c:pt>
                <c:pt idx="1193">
                  <c:v>1.5365121442894178</c:v>
                </c:pt>
                <c:pt idx="1194">
                  <c:v>1.5365378916228565</c:v>
                </c:pt>
                <c:pt idx="1195">
                  <c:v>1.5366923756234883</c:v>
                </c:pt>
                <c:pt idx="1196">
                  <c:v>1.5370013436247518</c:v>
                </c:pt>
                <c:pt idx="1197">
                  <c:v>1.5378646255944659</c:v>
                </c:pt>
                <c:pt idx="1198">
                  <c:v>1.5378776858360652</c:v>
                </c:pt>
                <c:pt idx="1199">
                  <c:v>1.5378903729279045</c:v>
                </c:pt>
                <c:pt idx="1200">
                  <c:v>1.5379806751698197</c:v>
                </c:pt>
                <c:pt idx="1201">
                  <c:v>1.5390001203140855</c:v>
                </c:pt>
                <c:pt idx="1202">
                  <c:v>1.5390131805556848</c:v>
                </c:pt>
                <c:pt idx="1203">
                  <c:v>1.5391422903726379</c:v>
                </c:pt>
                <c:pt idx="1204">
                  <c:v>1.5392844604311904</c:v>
                </c:pt>
                <c:pt idx="1205">
                  <c:v>1.5395299929732573</c:v>
                </c:pt>
                <c:pt idx="1206">
                  <c:v>1.5397755255153243</c:v>
                </c:pt>
                <c:pt idx="1207">
                  <c:v>1.5397883991820436</c:v>
                </c:pt>
                <c:pt idx="1208">
                  <c:v>1.5406035448327202</c:v>
                </c:pt>
                <c:pt idx="1209">
                  <c:v>1.541134350366292</c:v>
                </c:pt>
                <c:pt idx="1210">
                  <c:v>1.5426778843484499</c:v>
                </c:pt>
                <c:pt idx="1211">
                  <c:v>1.5427166919234878</c:v>
                </c:pt>
                <c:pt idx="1212">
                  <c:v>1.5428857287647588</c:v>
                </c:pt>
                <c:pt idx="1213">
                  <c:v>1.5431846217225029</c:v>
                </c:pt>
                <c:pt idx="1214">
                  <c:v>1.543314477838976</c:v>
                </c:pt>
                <c:pt idx="1215">
                  <c:v>1.5433924661388119</c:v>
                </c:pt>
                <c:pt idx="1216">
                  <c:v>1.5435355690717643</c:v>
                </c:pt>
                <c:pt idx="1217">
                  <c:v>1.5436786720047166</c:v>
                </c:pt>
                <c:pt idx="1218">
                  <c:v>1.5437305398213539</c:v>
                </c:pt>
                <c:pt idx="1219">
                  <c:v>1.543821588362789</c:v>
                </c:pt>
                <c:pt idx="1220">
                  <c:v>1.5444335539691565</c:v>
                </c:pt>
                <c:pt idx="1221">
                  <c:v>1.5445768434769889</c:v>
                </c:pt>
                <c:pt idx="1222">
                  <c:v>1.5446548317768247</c:v>
                </c:pt>
                <c:pt idx="1223">
                  <c:v>1.544837302009455</c:v>
                </c:pt>
                <c:pt idx="1224">
                  <c:v>1.5449936517588867</c:v>
                </c:pt>
                <c:pt idx="1225">
                  <c:v>1.545006712000486</c:v>
                </c:pt>
                <c:pt idx="1226">
                  <c:v>1.5450458927252839</c:v>
                </c:pt>
                <c:pt idx="1227">
                  <c:v>1.5450458927252839</c:v>
                </c:pt>
                <c:pt idx="1228">
                  <c:v>1.5451501880831984</c:v>
                </c:pt>
                <c:pt idx="1229">
                  <c:v>1.5452936641659107</c:v>
                </c:pt>
                <c:pt idx="1230">
                  <c:v>1.5455022548817396</c:v>
                </c:pt>
                <c:pt idx="1231">
                  <c:v>1.5456067368145341</c:v>
                </c:pt>
                <c:pt idx="1232">
                  <c:v>1.5456981585057292</c:v>
                </c:pt>
                <c:pt idx="1233">
                  <c:v>1.5460634721207498</c:v>
                </c:pt>
                <c:pt idx="1234">
                  <c:v>1.5462593757447394</c:v>
                </c:pt>
                <c:pt idx="1235">
                  <c:v>1.5465077069100062</c:v>
                </c:pt>
                <c:pt idx="1236">
                  <c:v>1.5468737668245467</c:v>
                </c:pt>
                <c:pt idx="1237">
                  <c:v>1.5469261943658239</c:v>
                </c:pt>
                <c:pt idx="1238">
                  <c:v>1.5470306762986183</c:v>
                </c:pt>
                <c:pt idx="1239">
                  <c:v>1.5473971093629189</c:v>
                </c:pt>
                <c:pt idx="1240">
                  <c:v>1.5474625971457954</c:v>
                </c:pt>
                <c:pt idx="1241">
                  <c:v>1.5475280849286719</c:v>
                </c:pt>
                <c:pt idx="1242">
                  <c:v>1.5476851809776235</c:v>
                </c:pt>
                <c:pt idx="1243">
                  <c:v>1.5479732525923282</c:v>
                </c:pt>
                <c:pt idx="1244">
                  <c:v>1.5479995596504068</c:v>
                </c:pt>
                <c:pt idx="1245">
                  <c:v>1.5479995596504068</c:v>
                </c:pt>
                <c:pt idx="1246">
                  <c:v>1.5484189799806245</c:v>
                </c:pt>
                <c:pt idx="1247">
                  <c:v>1.5486680574454113</c:v>
                </c:pt>
                <c:pt idx="1248">
                  <c:v>1.5488650805186808</c:v>
                </c:pt>
                <c:pt idx="1249">
                  <c:v>1.5489305683015573</c:v>
                </c:pt>
                <c:pt idx="1250">
                  <c:v>1.5489305683015573</c:v>
                </c:pt>
                <c:pt idx="1251">
                  <c:v>1.5494033490474521</c:v>
                </c:pt>
                <c:pt idx="1252">
                  <c:v>1.5495610048210438</c:v>
                </c:pt>
                <c:pt idx="1253">
                  <c:v>1.5496266791788003</c:v>
                </c:pt>
                <c:pt idx="1254">
                  <c:v>1.550271108814286</c:v>
                </c:pt>
                <c:pt idx="1255">
                  <c:v>1.5503104761139639</c:v>
                </c:pt>
                <c:pt idx="1256">
                  <c:v>1.5503104761139639</c:v>
                </c:pt>
                <c:pt idx="1257">
                  <c:v>1.5503763370466004</c:v>
                </c:pt>
                <c:pt idx="1258">
                  <c:v>1.550402644104679</c:v>
                </c:pt>
                <c:pt idx="1259">
                  <c:v>1.5504552582208362</c:v>
                </c:pt>
                <c:pt idx="1260">
                  <c:v>1.5505474262115513</c:v>
                </c:pt>
                <c:pt idx="1261">
                  <c:v>1.5506922083184236</c:v>
                </c:pt>
                <c:pt idx="1262">
                  <c:v>1.5510478200396847</c:v>
                </c:pt>
                <c:pt idx="1263">
                  <c:v>1.5512323425959949</c:v>
                </c:pt>
                <c:pt idx="1264">
                  <c:v>1.5513774978526271</c:v>
                </c:pt>
                <c:pt idx="1265">
                  <c:v>1.5514829126598215</c:v>
                </c:pt>
                <c:pt idx="1266">
                  <c:v>1.5515224665343794</c:v>
                </c:pt>
                <c:pt idx="1267">
                  <c:v>1.5515357133508587</c:v>
                </c:pt>
                <c:pt idx="1268">
                  <c:v>1.5516543749745324</c:v>
                </c:pt>
                <c:pt idx="1269">
                  <c:v>1.5516543749745324</c:v>
                </c:pt>
                <c:pt idx="1270">
                  <c:v>1.5521163343773878</c:v>
                </c:pt>
                <c:pt idx="1271">
                  <c:v>1.5524465719149703</c:v>
                </c:pt>
                <c:pt idx="1272">
                  <c:v>1.5525654201135239</c:v>
                </c:pt>
                <c:pt idx="1273">
                  <c:v>1.5531074201398951</c:v>
                </c:pt>
                <c:pt idx="1274">
                  <c:v>1.5533059358122046</c:v>
                </c:pt>
                <c:pt idx="1275">
                  <c:v>1.5533854167110803</c:v>
                </c:pt>
                <c:pt idx="1276">
                  <c:v>1.5536236728328277</c:v>
                </c:pt>
                <c:pt idx="1277">
                  <c:v>1.5536899069152241</c:v>
                </c:pt>
                <c:pt idx="1278">
                  <c:v>1.5539680900612893</c:v>
                </c:pt>
                <c:pt idx="1279">
                  <c:v>1.5543791145219075</c:v>
                </c:pt>
                <c:pt idx="1280">
                  <c:v>1.5543923613383868</c:v>
                </c:pt>
                <c:pt idx="1281">
                  <c:v>1.5545117692615804</c:v>
                </c:pt>
                <c:pt idx="1282">
                  <c:v>1.5545914367353362</c:v>
                </c:pt>
                <c:pt idx="1283">
                  <c:v>1.5546444240012534</c:v>
                </c:pt>
                <c:pt idx="1284">
                  <c:v>1.5548434993982028</c:v>
                </c:pt>
                <c:pt idx="1285">
                  <c:v>1.5548832398476407</c:v>
                </c:pt>
                <c:pt idx="1286">
                  <c:v>1.5550425747951522</c:v>
                </c:pt>
                <c:pt idx="1287">
                  <c:v>1.5550560081865115</c:v>
                </c:pt>
                <c:pt idx="1288">
                  <c:v>1.5550692550029908</c:v>
                </c:pt>
                <c:pt idx="1289">
                  <c:v>1.5553216908156173</c:v>
                </c:pt>
                <c:pt idx="1290">
                  <c:v>1.5554013582893731</c:v>
                </c:pt>
                <c:pt idx="1291">
                  <c:v>1.5556140536525618</c:v>
                </c:pt>
                <c:pt idx="1292">
                  <c:v>1.5562926264910857</c:v>
                </c:pt>
                <c:pt idx="1293">
                  <c:v>1.5564258409553986</c:v>
                </c:pt>
                <c:pt idx="1294">
                  <c:v>1.5566790230675451</c:v>
                </c:pt>
                <c:pt idx="1295">
                  <c:v>1.5567989907153787</c:v>
                </c:pt>
                <c:pt idx="1296">
                  <c:v>1.5568922781553738</c:v>
                </c:pt>
                <c:pt idx="1297">
                  <c:v>1.5577061177818905</c:v>
                </c:pt>
                <c:pt idx="1298">
                  <c:v>1.5577061177818905</c:v>
                </c:pt>
                <c:pt idx="1299">
                  <c:v>1.557866572178682</c:v>
                </c:pt>
                <c:pt idx="1300">
                  <c:v>1.5578932523865205</c:v>
                </c:pt>
                <c:pt idx="1301">
                  <c:v>1.5582540882044214</c:v>
                </c:pt>
                <c:pt idx="1302">
                  <c:v>1.55865541077128</c:v>
                </c:pt>
                <c:pt idx="1303">
                  <c:v>1.5586688441626393</c:v>
                </c:pt>
                <c:pt idx="1304">
                  <c:v>1.5591507670776537</c:v>
                </c:pt>
                <c:pt idx="1305">
                  <c:v>1.5597405302733023</c:v>
                </c:pt>
                <c:pt idx="1306">
                  <c:v>1.559821130621458</c:v>
                </c:pt>
                <c:pt idx="1307">
                  <c:v>1.5601162920816023</c:v>
                </c:pt>
                <c:pt idx="1308">
                  <c:v>1.5602103258211173</c:v>
                </c:pt>
                <c:pt idx="1309">
                  <c:v>1.5611917096898651</c:v>
                </c:pt>
                <c:pt idx="1310">
                  <c:v>1.5612320098639429</c:v>
                </c:pt>
                <c:pt idx="1311">
                  <c:v>1.56147455720793</c:v>
                </c:pt>
                <c:pt idx="1312">
                  <c:v>1.5615956443050436</c:v>
                </c:pt>
                <c:pt idx="1313">
                  <c:v>1.56166299783672</c:v>
                </c:pt>
                <c:pt idx="1314">
                  <c:v>1.5617977049000729</c:v>
                </c:pt>
                <c:pt idx="1315">
                  <c:v>1.5619325985383057</c:v>
                </c:pt>
                <c:pt idx="1316">
                  <c:v>1.5620538722102992</c:v>
                </c:pt>
                <c:pt idx="1317">
                  <c:v>1.5621887658485321</c:v>
                </c:pt>
                <c:pt idx="1318">
                  <c:v>1.562472173091237</c:v>
                </c:pt>
                <c:pt idx="1319">
                  <c:v>1.5628637937643362</c:v>
                </c:pt>
                <c:pt idx="1320">
                  <c:v>1.5630123073688083</c:v>
                </c:pt>
                <c:pt idx="1321">
                  <c:v>1.5631070874078432</c:v>
                </c:pt>
                <c:pt idx="1322">
                  <c:v>1.563431541124146</c:v>
                </c:pt>
                <c:pt idx="1323">
                  <c:v>1.5636209146273359</c:v>
                </c:pt>
                <c:pt idx="1324">
                  <c:v>1.56391887471068</c:v>
                </c:pt>
                <c:pt idx="1325">
                  <c:v>1.5639459280682786</c:v>
                </c:pt>
                <c:pt idx="1326">
                  <c:v>1.5641086213636299</c:v>
                </c:pt>
                <c:pt idx="1327">
                  <c:v>1.5641761614701863</c:v>
                </c:pt>
                <c:pt idx="1328">
                  <c:v>1.5643931480556148</c:v>
                </c:pt>
                <c:pt idx="1329">
                  <c:v>1.5648000678688732</c:v>
                </c:pt>
                <c:pt idx="1330">
                  <c:v>1.564840741192711</c:v>
                </c:pt>
                <c:pt idx="1331">
                  <c:v>1.5649222744152667</c:v>
                </c:pt>
                <c:pt idx="1332">
                  <c:v>1.5649631343139845</c:v>
                </c:pt>
                <c:pt idx="1333">
                  <c:v>1.5651123942179765</c:v>
                </c:pt>
                <c:pt idx="1334">
                  <c:v>1.5653840472432421</c:v>
                </c:pt>
                <c:pt idx="1335">
                  <c:v>1.5654112871757206</c:v>
                </c:pt>
                <c:pt idx="1336">
                  <c:v>1.5654385271081992</c:v>
                </c:pt>
                <c:pt idx="1337">
                  <c:v>1.5656424534520283</c:v>
                </c:pt>
                <c:pt idx="1338">
                  <c:v>1.5656833133507462</c:v>
                </c:pt>
                <c:pt idx="1339">
                  <c:v>1.5657512266070626</c:v>
                </c:pt>
                <c:pt idx="1340">
                  <c:v>1.5668682504135631</c:v>
                </c:pt>
                <c:pt idx="1341">
                  <c:v>1.5668956769209217</c:v>
                </c:pt>
                <c:pt idx="1342">
                  <c:v>1.567359688647457</c:v>
                </c:pt>
                <c:pt idx="1343">
                  <c:v>1.5674688349522512</c:v>
                </c:pt>
                <c:pt idx="1344">
                  <c:v>1.5675371213583276</c:v>
                </c:pt>
                <c:pt idx="1345">
                  <c:v>1.5679199730120672</c:v>
                </c:pt>
                <c:pt idx="1346">
                  <c:v>1.568262151341969</c:v>
                </c:pt>
                <c:pt idx="1347">
                  <c:v>1.5684673837099581</c:v>
                </c:pt>
                <c:pt idx="1348">
                  <c:v>1.5686043296718708</c:v>
                </c:pt>
                <c:pt idx="1349">
                  <c:v>1.5686867957688264</c:v>
                </c:pt>
                <c:pt idx="1350">
                  <c:v>1.5688375482718584</c:v>
                </c:pt>
                <c:pt idx="1351">
                  <c:v>1.5691390532779224</c:v>
                </c:pt>
                <c:pt idx="1352">
                  <c:v>1.5692351393411172</c:v>
                </c:pt>
                <c:pt idx="1353">
                  <c:v>1.5696883297246131</c:v>
                </c:pt>
                <c:pt idx="1354">
                  <c:v>1.5699219214743607</c:v>
                </c:pt>
                <c:pt idx="1355">
                  <c:v>1.5699905810301971</c:v>
                </c:pt>
                <c:pt idx="1356">
                  <c:v>1.5703346251088988</c:v>
                </c:pt>
                <c:pt idx="1357">
                  <c:v>1.5705271703850485</c:v>
                </c:pt>
                <c:pt idx="1358">
                  <c:v>1.5707477018931968</c:v>
                </c:pt>
                <c:pt idx="1359">
                  <c:v>1.5709406203191065</c:v>
                </c:pt>
                <c:pt idx="1360">
                  <c:v>1.5710232729909421</c:v>
                </c:pt>
                <c:pt idx="1361">
                  <c:v>1.5712854106973282</c:v>
                </c:pt>
                <c:pt idx="1362">
                  <c:v>1.5713956764514023</c:v>
                </c:pt>
                <c:pt idx="1363">
                  <c:v>1.571741026554264</c:v>
                </c:pt>
                <c:pt idx="1364">
                  <c:v>1.5718514788832181</c:v>
                </c:pt>
                <c:pt idx="1365">
                  <c:v>1.5718514788832181</c:v>
                </c:pt>
                <c:pt idx="1366">
                  <c:v>1.5725429253884613</c:v>
                </c:pt>
                <c:pt idx="1367">
                  <c:v>1.5728198025103666</c:v>
                </c:pt>
                <c:pt idx="1368">
                  <c:v>1.5729862273033177</c:v>
                </c:pt>
                <c:pt idx="1369">
                  <c:v>1.5729862273033177</c:v>
                </c:pt>
                <c:pt idx="1370">
                  <c:v>1.573582520619766</c:v>
                </c:pt>
                <c:pt idx="1371">
                  <c:v>1.5736103202768845</c:v>
                </c:pt>
                <c:pt idx="1372">
                  <c:v>1.5736659195911216</c:v>
                </c:pt>
                <c:pt idx="1373">
                  <c:v>1.5739853357856646</c:v>
                </c:pt>
                <c:pt idx="1374">
                  <c:v>1.5745556951937942</c:v>
                </c:pt>
                <c:pt idx="1375">
                  <c:v>1.5746530872811491</c:v>
                </c:pt>
                <c:pt idx="1376">
                  <c:v>1.5748480580307387</c:v>
                </c:pt>
                <c:pt idx="1377">
                  <c:v>1.5748758576878572</c:v>
                </c:pt>
                <c:pt idx="1378">
                  <c:v>1.5750570218963276</c:v>
                </c:pt>
                <c:pt idx="1379">
                  <c:v>1.5758105978366075</c:v>
                </c:pt>
                <c:pt idx="1380">
                  <c:v>1.5759781420788386</c:v>
                </c:pt>
                <c:pt idx="1381">
                  <c:v>1.5760061283108371</c:v>
                </c:pt>
                <c:pt idx="1382">
                  <c:v>1.576495700795931</c:v>
                </c:pt>
                <c:pt idx="1383">
                  <c:v>1.5767617565747969</c:v>
                </c:pt>
                <c:pt idx="1384">
                  <c:v>1.5768035493479147</c:v>
                </c:pt>
                <c:pt idx="1385">
                  <c:v>1.5769998261216642</c:v>
                </c:pt>
                <c:pt idx="1386">
                  <c:v>1.577041805469662</c:v>
                </c:pt>
                <c:pt idx="1387">
                  <c:v>1.5770557985856613</c:v>
                </c:pt>
                <c:pt idx="1388">
                  <c:v>1.577210096011413</c:v>
                </c:pt>
                <c:pt idx="1389">
                  <c:v>1.5773222275142871</c:v>
                </c:pt>
                <c:pt idx="1390">
                  <c:v>1.5773783865531641</c:v>
                </c:pt>
                <c:pt idx="1391">
                  <c:v>1.5773923796691633</c:v>
                </c:pt>
                <c:pt idx="1392">
                  <c:v>1.5777854929413024</c:v>
                </c:pt>
                <c:pt idx="1393">
                  <c:v>1.5779681497488127</c:v>
                </c:pt>
                <c:pt idx="1394">
                  <c:v>1.5780524815945682</c:v>
                </c:pt>
                <c:pt idx="1395">
                  <c:v>1.5792777188314631</c:v>
                </c:pt>
                <c:pt idx="1396">
                  <c:v>1.5796023591226458</c:v>
                </c:pt>
                <c:pt idx="1397">
                  <c:v>1.5798850200658308</c:v>
                </c:pt>
                <c:pt idx="1398">
                  <c:v>1.580125328511258</c:v>
                </c:pt>
                <c:pt idx="1399">
                  <c:v>1.5803658235315652</c:v>
                </c:pt>
                <c:pt idx="1400">
                  <c:v>1.5803658235315652</c:v>
                </c:pt>
                <c:pt idx="1401">
                  <c:v>1.5808048342241818</c:v>
                </c:pt>
                <c:pt idx="1402">
                  <c:v>1.5811309671144045</c:v>
                </c:pt>
                <c:pt idx="1403">
                  <c:v>1.5814149340817494</c:v>
                </c:pt>
                <c:pt idx="1404">
                  <c:v>1.5815709106814211</c:v>
                </c:pt>
                <c:pt idx="1405">
                  <c:v>1.5817699860783705</c:v>
                </c:pt>
                <c:pt idx="1406">
                  <c:v>1.5822821341239433</c:v>
                </c:pt>
                <c:pt idx="1407">
                  <c:v>1.582324673196581</c:v>
                </c:pt>
                <c:pt idx="1408">
                  <c:v>1.582381765109858</c:v>
                </c:pt>
                <c:pt idx="1409">
                  <c:v>1.5828661134983122</c:v>
                </c:pt>
                <c:pt idx="1410">
                  <c:v>1.5829802973248661</c:v>
                </c:pt>
                <c:pt idx="1411">
                  <c:v>1.583508677384998</c:v>
                </c:pt>
                <c:pt idx="1412">
                  <c:v>1.5836945059654681</c:v>
                </c:pt>
                <c:pt idx="1413">
                  <c:v>1.5838803345459382</c:v>
                </c:pt>
                <c:pt idx="1414">
                  <c:v>1.5838803345459382</c:v>
                </c:pt>
                <c:pt idx="1415">
                  <c:v>1.5839948915222521</c:v>
                </c:pt>
                <c:pt idx="1416">
                  <c:v>1.5850412034492365</c:v>
                </c:pt>
                <c:pt idx="1417">
                  <c:v>1.5858175415248752</c:v>
                </c:pt>
                <c:pt idx="1418">
                  <c:v>1.5867256014657869</c:v>
                </c:pt>
                <c:pt idx="1419">
                  <c:v>1.5867547071470653</c:v>
                </c:pt>
                <c:pt idx="1420">
                  <c:v>1.5868700104228992</c:v>
                </c:pt>
                <c:pt idx="1421">
                  <c:v>1.5880275209783576</c:v>
                </c:pt>
                <c:pt idx="1422">
                  <c:v>1.5880857323409145</c:v>
                </c:pt>
                <c:pt idx="1423">
                  <c:v>1.5885935891642475</c:v>
                </c:pt>
                <c:pt idx="1424">
                  <c:v>1.5890150618181451</c:v>
                </c:pt>
                <c:pt idx="1425">
                  <c:v>1.5896992319030687</c:v>
                </c:pt>
                <c:pt idx="1426">
                  <c:v>1.5897578164153856</c:v>
                </c:pt>
                <c:pt idx="1427">
                  <c:v>1.5902830247025577</c:v>
                </c:pt>
                <c:pt idx="1428">
                  <c:v>1.590370528321273</c:v>
                </c:pt>
                <c:pt idx="1429">
                  <c:v>1.5904876973459068</c:v>
                </c:pt>
                <c:pt idx="1430">
                  <c:v>1.590502250186546</c:v>
                </c:pt>
                <c:pt idx="1431">
                  <c:v>1.5909556271449219</c:v>
                </c:pt>
                <c:pt idx="1432">
                  <c:v>1.5909849194010803</c:v>
                </c:pt>
                <c:pt idx="1433">
                  <c:v>1.5916884932735229</c:v>
                </c:pt>
                <c:pt idx="1434">
                  <c:v>1.5920261938063049</c:v>
                </c:pt>
                <c:pt idx="1435">
                  <c:v>1.5920261938063049</c:v>
                </c:pt>
                <c:pt idx="1436">
                  <c:v>1.5920849648935018</c:v>
                </c:pt>
                <c:pt idx="1437">
                  <c:v>1.5921582888213379</c:v>
                </c:pt>
                <c:pt idx="1438">
                  <c:v>1.5922760175706117</c:v>
                </c:pt>
                <c:pt idx="1439">
                  <c:v>1.5924377779915631</c:v>
                </c:pt>
                <c:pt idx="1440">
                  <c:v>1.5927616719832258</c:v>
                </c:pt>
                <c:pt idx="1441">
                  <c:v>1.5927911508142643</c:v>
                </c:pt>
                <c:pt idx="1442">
                  <c:v>1.5933072169323168</c:v>
                </c:pt>
                <c:pt idx="1443">
                  <c:v>1.5936173043828603</c:v>
                </c:pt>
                <c:pt idx="1444">
                  <c:v>1.5937798111033317</c:v>
                </c:pt>
                <c:pt idx="1445">
                  <c:v>1.5941792679213904</c:v>
                </c:pt>
                <c:pt idx="1446">
                  <c:v>1.5942087467524289</c:v>
                </c:pt>
                <c:pt idx="1447">
                  <c:v>1.5945345064928915</c:v>
                </c:pt>
                <c:pt idx="1448">
                  <c:v>1.594638242126166</c:v>
                </c:pt>
                <c:pt idx="1449">
                  <c:v>1.5946680941069644</c:v>
                </c:pt>
                <c:pt idx="1450">
                  <c:v>1.5952169974038952</c:v>
                </c:pt>
                <c:pt idx="1451">
                  <c:v>1.595558989158917</c:v>
                </c:pt>
                <c:pt idx="1452">
                  <c:v>1.595558989158917</c:v>
                </c:pt>
                <c:pt idx="1453">
                  <c:v>1.5956483585264323</c:v>
                </c:pt>
                <c:pt idx="1454">
                  <c:v>1.5965424253513447</c:v>
                </c:pt>
                <c:pt idx="1455">
                  <c:v>1.5966469072841392</c:v>
                </c:pt>
                <c:pt idx="1456">
                  <c:v>1.5970652081650769</c:v>
                </c:pt>
                <c:pt idx="1457">
                  <c:v>1.5973794002629802</c:v>
                </c:pt>
                <c:pt idx="1458">
                  <c:v>1.5980689810194235</c:v>
                </c:pt>
                <c:pt idx="1459">
                  <c:v>1.5980839070098227</c:v>
                </c:pt>
                <c:pt idx="1460">
                  <c:v>1.5980990195751019</c:v>
                </c:pt>
                <c:pt idx="1461">
                  <c:v>1.5984596688181227</c:v>
                </c:pt>
                <c:pt idx="1462">
                  <c:v>1.5987302023941083</c:v>
                </c:pt>
                <c:pt idx="1463">
                  <c:v>1.5987302023941083</c:v>
                </c:pt>
                <c:pt idx="1464">
                  <c:v>1.5989257328683379</c:v>
                </c:pt>
                <c:pt idx="1465">
                  <c:v>1.5993779903774339</c:v>
                </c:pt>
                <c:pt idx="1466">
                  <c:v>1.5993929163678331</c:v>
                </c:pt>
                <c:pt idx="1467">
                  <c:v>1.5998761453070074</c:v>
                </c:pt>
                <c:pt idx="1468">
                  <c:v>1.6001783966125913</c:v>
                </c:pt>
                <c:pt idx="1469">
                  <c:v>1.6002843711444257</c:v>
                </c:pt>
                <c:pt idx="1470">
                  <c:v>1.6003599339708217</c:v>
                </c:pt>
                <c:pt idx="1471">
                  <c:v>1.6003599339708217</c:v>
                </c:pt>
                <c:pt idx="1472">
                  <c:v>1.6005112461984936</c:v>
                </c:pt>
                <c:pt idx="1473">
                  <c:v>1.6011026885680621</c:v>
                </c:pt>
                <c:pt idx="1474">
                  <c:v>1.6014215450379652</c:v>
                </c:pt>
                <c:pt idx="1475">
                  <c:v>1.6014519567434036</c:v>
                </c:pt>
                <c:pt idx="1476">
                  <c:v>1.6014974810141211</c:v>
                </c:pt>
                <c:pt idx="1477">
                  <c:v>1.6018168972086642</c:v>
                </c:pt>
                <c:pt idx="1478">
                  <c:v>1.6019997405910544</c:v>
                </c:pt>
                <c:pt idx="1479">
                  <c:v>1.6021366865529671</c:v>
                </c:pt>
                <c:pt idx="1480">
                  <c:v>1.6023807264959942</c:v>
                </c:pt>
                <c:pt idx="1481">
                  <c:v>1.6028232821113306</c:v>
                </c:pt>
                <c:pt idx="1482">
                  <c:v>1.6036035382594491</c:v>
                </c:pt>
                <c:pt idx="1483">
                  <c:v>1.603680220535125</c:v>
                </c:pt>
                <c:pt idx="1484">
                  <c:v>1.6036955196752842</c:v>
                </c:pt>
                <c:pt idx="1485">
                  <c:v>1.6037722019509602</c:v>
                </c:pt>
                <c:pt idx="1486">
                  <c:v>1.6038180993714377</c:v>
                </c:pt>
                <c:pt idx="1487">
                  <c:v>1.6038949682219936</c:v>
                </c:pt>
                <c:pt idx="1488">
                  <c:v>1.6042938653154124</c:v>
                </c:pt>
                <c:pt idx="1489">
                  <c:v>1.6048476195592229</c:v>
                </c:pt>
                <c:pt idx="1490">
                  <c:v>1.6048938901294605</c:v>
                </c:pt>
                <c:pt idx="1491">
                  <c:v>1.6050480009803323</c:v>
                </c:pt>
                <c:pt idx="1492">
                  <c:v>1.6053254378268775</c:v>
                </c:pt>
                <c:pt idx="1493">
                  <c:v>1.6053409235419167</c:v>
                </c:pt>
                <c:pt idx="1494">
                  <c:v>1.6053717083971151</c:v>
                </c:pt>
                <c:pt idx="1495">
                  <c:v>1.6054644361124701</c:v>
                </c:pt>
                <c:pt idx="1496">
                  <c:v>1.6056650041084595</c:v>
                </c:pt>
                <c:pt idx="1497">
                  <c:v>1.6058040023940521</c:v>
                </c:pt>
                <c:pt idx="1498">
                  <c:v>1.6059894578247622</c:v>
                </c:pt>
                <c:pt idx="1499">
                  <c:v>1.6062062578353107</c:v>
                </c:pt>
                <c:pt idx="1500">
                  <c:v>1.6062834998356266</c:v>
                </c:pt>
                <c:pt idx="1501">
                  <c:v>1.6066245587162484</c:v>
                </c:pt>
                <c:pt idx="1502">
                  <c:v>1.607121221046782</c:v>
                </c:pt>
                <c:pt idx="1503">
                  <c:v>1.6071521924768604</c:v>
                </c:pt>
                <c:pt idx="1504">
                  <c:v>1.6073542530718896</c:v>
                </c:pt>
                <c:pt idx="1505">
                  <c:v>1.6078990517214606</c:v>
                </c:pt>
                <c:pt idx="1506">
                  <c:v>1.6080861863260907</c:v>
                </c:pt>
                <c:pt idx="1507">
                  <c:v>1.6083514958054366</c:v>
                </c:pt>
                <c:pt idx="1508">
                  <c:v>1.6085544892748658</c:v>
                </c:pt>
                <c:pt idx="1509">
                  <c:v>1.6088828610636483</c:v>
                </c:pt>
                <c:pt idx="1510">
                  <c:v>1.6090548831029992</c:v>
                </c:pt>
                <c:pt idx="1511">
                  <c:v>1.609321312031625</c:v>
                </c:pt>
                <c:pt idx="1512">
                  <c:v>1.6095563963804125</c:v>
                </c:pt>
                <c:pt idx="1513">
                  <c:v>1.6097291647192833</c:v>
                </c:pt>
                <c:pt idx="1514">
                  <c:v>1.6097448370092025</c:v>
                </c:pt>
                <c:pt idx="1515">
                  <c:v>1.6100903736869441</c:v>
                </c:pt>
                <c:pt idx="1516">
                  <c:v>1.6103420632000507</c:v>
                </c:pt>
                <c:pt idx="1517">
                  <c:v>1.6108461885257839</c:v>
                </c:pt>
                <c:pt idx="1518">
                  <c:v>1.610862047390583</c:v>
                </c:pt>
                <c:pt idx="1519">
                  <c:v>1.6111460143579279</c:v>
                </c:pt>
                <c:pt idx="1520">
                  <c:v>1.611351433300797</c:v>
                </c:pt>
                <c:pt idx="1521">
                  <c:v>1.6118893286798084</c:v>
                </c:pt>
                <c:pt idx="1522">
                  <c:v>1.6119844818686033</c:v>
                </c:pt>
                <c:pt idx="1523">
                  <c:v>1.6122380371305098</c:v>
                </c:pt>
                <c:pt idx="1524">
                  <c:v>1.6124124846433006</c:v>
                </c:pt>
                <c:pt idx="1525">
                  <c:v>1.6125080109818555</c:v>
                </c:pt>
                <c:pt idx="1526">
                  <c:v>1.61317576247734</c:v>
                </c:pt>
                <c:pt idx="1527">
                  <c:v>1.6142931594336005</c:v>
                </c:pt>
                <c:pt idx="1528">
                  <c:v>1.6145651856086261</c:v>
                </c:pt>
                <c:pt idx="1529">
                  <c:v>1.6152551395148294</c:v>
                </c:pt>
                <c:pt idx="1530">
                  <c:v>1.6153353667132251</c:v>
                </c:pt>
                <c:pt idx="1531">
                  <c:v>1.6153353667132251</c:v>
                </c:pt>
                <c:pt idx="1532">
                  <c:v>1.6161887602142997</c:v>
                </c:pt>
                <c:pt idx="1533">
                  <c:v>1.6162048056539788</c:v>
                </c:pt>
                <c:pt idx="1534">
                  <c:v>1.6164954893170034</c:v>
                </c:pt>
                <c:pt idx="1535">
                  <c:v>1.6169318879613002</c:v>
                </c:pt>
                <c:pt idx="1536">
                  <c:v>1.6169966294446567</c:v>
                </c:pt>
                <c:pt idx="1537">
                  <c:v>1.6173205234363195</c:v>
                </c:pt>
                <c:pt idx="1538">
                  <c:v>1.6175962811089448</c:v>
                </c:pt>
                <c:pt idx="1539">
                  <c:v>1.6177100917857388</c:v>
                </c:pt>
                <c:pt idx="1540">
                  <c:v>1.6178724119313301</c:v>
                </c:pt>
                <c:pt idx="1541">
                  <c:v>1.6180186866372424</c:v>
                </c:pt>
                <c:pt idx="1542">
                  <c:v>1.6181976119471528</c:v>
                </c:pt>
                <c:pt idx="1543">
                  <c:v>1.6186049049101712</c:v>
                </c:pt>
                <c:pt idx="1544">
                  <c:v>1.6187515527658434</c:v>
                </c:pt>
                <c:pt idx="1545">
                  <c:v>1.6188168539738399</c:v>
                </c:pt>
                <c:pt idx="1546">
                  <c:v>1.6188657365923973</c:v>
                </c:pt>
                <c:pt idx="1547">
                  <c:v>1.6191269414243834</c:v>
                </c:pt>
                <c:pt idx="1548">
                  <c:v>1.619830701871706</c:v>
                </c:pt>
                <c:pt idx="1549">
                  <c:v>1.6198799576400233</c:v>
                </c:pt>
                <c:pt idx="1550">
                  <c:v>1.6202572120473633</c:v>
                </c:pt>
                <c:pt idx="1551">
                  <c:v>1.6203228864051198</c:v>
                </c:pt>
                <c:pt idx="1552">
                  <c:v>1.6206516313436623</c:v>
                </c:pt>
                <c:pt idx="1553">
                  <c:v>1.6209973545962839</c:v>
                </c:pt>
                <c:pt idx="1554">
                  <c:v>1.621013959760603</c:v>
                </c:pt>
                <c:pt idx="1555">
                  <c:v>1.6212941952303481</c:v>
                </c:pt>
                <c:pt idx="1556">
                  <c:v>1.6213434509986655</c:v>
                </c:pt>
                <c:pt idx="1557">
                  <c:v>1.6215748038498532</c:v>
                </c:pt>
                <c:pt idx="1558">
                  <c:v>1.621690480275447</c:v>
                </c:pt>
                <c:pt idx="1559">
                  <c:v>1.6217565277829635</c:v>
                </c:pt>
                <c:pt idx="1560">
                  <c:v>1.6221867694562206</c:v>
                </c:pt>
                <c:pt idx="1561">
                  <c:v>1.6227838090721889</c:v>
                </c:pt>
                <c:pt idx="1562">
                  <c:v>1.623232708233445</c:v>
                </c:pt>
                <c:pt idx="1563">
                  <c:v>1.6232494999726441</c:v>
                </c:pt>
                <c:pt idx="1564">
                  <c:v>1.6234491350942335</c:v>
                </c:pt>
                <c:pt idx="1565">
                  <c:v>1.6241667020826753</c:v>
                </c:pt>
                <c:pt idx="1566">
                  <c:v>1.6242170773002726</c:v>
                </c:pt>
                <c:pt idx="1567">
                  <c:v>1.624417645296262</c:v>
                </c:pt>
                <c:pt idx="1568">
                  <c:v>1.6254240301989284</c:v>
                </c:pt>
                <c:pt idx="1569">
                  <c:v>1.6254408219381276</c:v>
                </c:pt>
                <c:pt idx="1570">
                  <c:v>1.6256089259049986</c:v>
                </c:pt>
                <c:pt idx="1571">
                  <c:v>1.6257100494899532</c:v>
                </c:pt>
                <c:pt idx="1572">
                  <c:v>1.6259794636166589</c:v>
                </c:pt>
                <c:pt idx="1573">
                  <c:v>1.6260470037232153</c:v>
                </c:pt>
                <c:pt idx="1574">
                  <c:v>1.6260637954624144</c:v>
                </c:pt>
                <c:pt idx="1575">
                  <c:v>1.6261313355689708</c:v>
                </c:pt>
                <c:pt idx="1576">
                  <c:v>1.6262664157820836</c:v>
                </c:pt>
                <c:pt idx="1577">
                  <c:v>1.6266716564214221</c:v>
                </c:pt>
                <c:pt idx="1578">
                  <c:v>1.6268746498908513</c:v>
                </c:pt>
                <c:pt idx="1579">
                  <c:v>1.6269765197753259</c:v>
                </c:pt>
                <c:pt idx="1580">
                  <c:v>1.6272645913900305</c:v>
                </c:pt>
                <c:pt idx="1581">
                  <c:v>1.6274172096418624</c:v>
                </c:pt>
                <c:pt idx="1582">
                  <c:v>1.6274172096418624</c:v>
                </c:pt>
                <c:pt idx="1583">
                  <c:v>1.6276549060389698</c:v>
                </c:pt>
                <c:pt idx="1584">
                  <c:v>1.6279439105280744</c:v>
                </c:pt>
                <c:pt idx="1585">
                  <c:v>1.6279780537311126</c:v>
                </c:pt>
                <c:pt idx="1586">
                  <c:v>1.6281993315387808</c:v>
                </c:pt>
                <c:pt idx="1587">
                  <c:v>1.6284377742354081</c:v>
                </c:pt>
                <c:pt idx="1588">
                  <c:v>1.6289157790779427</c:v>
                </c:pt>
                <c:pt idx="1589">
                  <c:v>1.6293949033697572</c:v>
                </c:pt>
                <c:pt idx="1590">
                  <c:v>1.6299609715556471</c:v>
                </c:pt>
                <c:pt idx="1591">
                  <c:v>1.6301844882618752</c:v>
                </c:pt>
                <c:pt idx="1592">
                  <c:v>1.6307009275296878</c:v>
                </c:pt>
                <c:pt idx="1593">
                  <c:v>1.6308046631629622</c:v>
                </c:pt>
                <c:pt idx="1594">
                  <c:v>1.6313054301408556</c:v>
                </c:pt>
                <c:pt idx="1595">
                  <c:v>1.6314091657741301</c:v>
                </c:pt>
                <c:pt idx="1596">
                  <c:v>1.6315823072627609</c:v>
                </c:pt>
                <c:pt idx="1597">
                  <c:v>1.6320155341340978</c:v>
                </c:pt>
                <c:pt idx="1598">
                  <c:v>1.6323106955942421</c:v>
                </c:pt>
                <c:pt idx="1599">
                  <c:v>1.6323976394883175</c:v>
                </c:pt>
                <c:pt idx="1600">
                  <c:v>1.6327629531033381</c:v>
                </c:pt>
                <c:pt idx="1601">
                  <c:v>1.6339506887893549</c:v>
                </c:pt>
                <c:pt idx="1602">
                  <c:v>1.6342133862203809</c:v>
                </c:pt>
                <c:pt idx="1603">
                  <c:v>1.6349339384069026</c:v>
                </c:pt>
                <c:pt idx="1604">
                  <c:v>1.635057077827696</c:v>
                </c:pt>
                <c:pt idx="1605">
                  <c:v>1.6351630523595304</c:v>
                </c:pt>
                <c:pt idx="1606">
                  <c:v>1.6354802296555135</c:v>
                </c:pt>
                <c:pt idx="1607">
                  <c:v>1.6356921787191823</c:v>
                </c:pt>
                <c:pt idx="1608">
                  <c:v>1.6358865897441319</c:v>
                </c:pt>
                <c:pt idx="1609">
                  <c:v>1.635904500932611</c:v>
                </c:pt>
                <c:pt idx="1610">
                  <c:v>1.637182165710783</c:v>
                </c:pt>
                <c:pt idx="1611">
                  <c:v>1.6374672521274078</c:v>
                </c:pt>
                <c:pt idx="1612">
                  <c:v>1.6376635289011574</c:v>
                </c:pt>
                <c:pt idx="1613">
                  <c:v>1.6376993512781155</c:v>
                </c:pt>
                <c:pt idx="1614">
                  <c:v>1.6380206332214584</c:v>
                </c:pt>
                <c:pt idx="1615">
                  <c:v>1.6382713898601651</c:v>
                </c:pt>
                <c:pt idx="1616">
                  <c:v>1.6385758800643089</c:v>
                </c:pt>
                <c:pt idx="1617">
                  <c:v>1.6387732762873384</c:v>
                </c:pt>
                <c:pt idx="1618">
                  <c:v>1.6391684418831574</c:v>
                </c:pt>
                <c:pt idx="1619">
                  <c:v>1.6392766553135516</c:v>
                </c:pt>
                <c:pt idx="1620">
                  <c:v>1.6405946202658015</c:v>
                </c:pt>
                <c:pt idx="1621">
                  <c:v>1.6407759710491518</c:v>
                </c:pt>
                <c:pt idx="1622">
                  <c:v>1.6410118016974593</c:v>
                </c:pt>
                <c:pt idx="1623">
                  <c:v>1.6416666795262245</c:v>
                </c:pt>
                <c:pt idx="1624">
                  <c:v>1.6423424537415485</c:v>
                </c:pt>
                <c:pt idx="1625">
                  <c:v>1.6432771938902988</c:v>
                </c:pt>
                <c:pt idx="1626">
                  <c:v>1.6440324490044986</c:v>
                </c:pt>
                <c:pt idx="1627">
                  <c:v>1.6448459154812554</c:v>
                </c:pt>
                <c:pt idx="1628">
                  <c:v>1.6450869702262025</c:v>
                </c:pt>
                <c:pt idx="1629">
                  <c:v>1.6453283981209097</c:v>
                </c:pt>
                <c:pt idx="1630">
                  <c:v>1.6457564008956069</c:v>
                </c:pt>
                <c:pt idx="1631">
                  <c:v>1.6461291775058271</c:v>
                </c:pt>
                <c:pt idx="1632">
                  <c:v>1.6465403885413252</c:v>
                </c:pt>
                <c:pt idx="1633">
                  <c:v>1.6472900464091254</c:v>
                </c:pt>
                <c:pt idx="1634">
                  <c:v>1.6480613469630043</c:v>
                </c:pt>
                <c:pt idx="1635">
                  <c:v>1.6482124726157963</c:v>
                </c:pt>
                <c:pt idx="1636">
                  <c:v>1.6485147239213802</c:v>
                </c:pt>
                <c:pt idx="1637">
                  <c:v>1.6495196162250068</c:v>
                </c:pt>
                <c:pt idx="1638">
                  <c:v>1.6506256321135879</c:v>
                </c:pt>
                <c:pt idx="1639">
                  <c:v>1.6506640665388659</c:v>
                </c:pt>
                <c:pt idx="1640">
                  <c:v>1.6507789966649398</c:v>
                </c:pt>
                <c:pt idx="1641">
                  <c:v>1.6508170579404577</c:v>
                </c:pt>
                <c:pt idx="1642">
                  <c:v>1.6509894531295686</c:v>
                </c:pt>
                <c:pt idx="1643">
                  <c:v>1.6512390903189953</c:v>
                </c:pt>
                <c:pt idx="1644">
                  <c:v>1.6512771515945133</c:v>
                </c:pt>
                <c:pt idx="1645">
                  <c:v>1.6517193340600897</c:v>
                </c:pt>
                <c:pt idx="1646">
                  <c:v>1.6520275557618334</c:v>
                </c:pt>
                <c:pt idx="1647">
                  <c:v>1.6520853939746303</c:v>
                </c:pt>
                <c:pt idx="1648">
                  <c:v>1.6521626359749462</c:v>
                </c:pt>
                <c:pt idx="1649">
                  <c:v>1.6533436549652833</c:v>
                </c:pt>
                <c:pt idx="1650">
                  <c:v>1.6534798546276761</c:v>
                </c:pt>
                <c:pt idx="1651">
                  <c:v>1.6539276343396523</c:v>
                </c:pt>
                <c:pt idx="1652">
                  <c:v>1.6547481906618486</c:v>
                </c:pt>
                <c:pt idx="1653">
                  <c:v>1.6555332977568469</c:v>
                </c:pt>
                <c:pt idx="1654">
                  <c:v>1.6557299476803564</c:v>
                </c:pt>
                <c:pt idx="1655">
                  <c:v>1.6560057053529817</c:v>
                </c:pt>
                <c:pt idx="1656">
                  <c:v>1.6572729219378743</c:v>
                </c:pt>
                <c:pt idx="1657">
                  <c:v>1.6575315147215406</c:v>
                </c:pt>
                <c:pt idx="1658">
                  <c:v>1.6576706995820132</c:v>
                </c:pt>
                <c:pt idx="1659">
                  <c:v>1.6578901116408815</c:v>
                </c:pt>
                <c:pt idx="1660">
                  <c:v>1.6580296696511141</c:v>
                </c:pt>
                <c:pt idx="1661">
                  <c:v>1.6583494589954171</c:v>
                </c:pt>
                <c:pt idx="1662">
                  <c:v>1.6584893901554096</c:v>
                </c:pt>
                <c:pt idx="1663">
                  <c:v>1.6591711347668934</c:v>
                </c:pt>
                <c:pt idx="1664">
                  <c:v>1.6591912848539323</c:v>
                </c:pt>
                <c:pt idx="1665">
                  <c:v>1.6593319623134448</c:v>
                </c:pt>
                <c:pt idx="1666">
                  <c:v>1.6600375885095673</c:v>
                </c:pt>
                <c:pt idx="1667">
                  <c:v>1.6601383389447619</c:v>
                </c:pt>
                <c:pt idx="1668">
                  <c:v>1.6601588621815608</c:v>
                </c:pt>
                <c:pt idx="1669">
                  <c:v>1.6612335334903037</c:v>
                </c:pt>
                <c:pt idx="1670">
                  <c:v>1.6616813132022799</c:v>
                </c:pt>
                <c:pt idx="1671">
                  <c:v>1.6620488657158603</c:v>
                </c:pt>
                <c:pt idx="1672">
                  <c:v>1.6621309586630559</c:v>
                </c:pt>
                <c:pt idx="1673">
                  <c:v>1.662355967968324</c:v>
                </c:pt>
                <c:pt idx="1674">
                  <c:v>1.6623970144419218</c:v>
                </c:pt>
                <c:pt idx="1675">
                  <c:v>1.6625608271865531</c:v>
                </c:pt>
                <c:pt idx="1676">
                  <c:v>1.6627660595545422</c:v>
                </c:pt>
                <c:pt idx="1677">
                  <c:v>1.6630537580194868</c:v>
                </c:pt>
                <c:pt idx="1678">
                  <c:v>1.6632798867740348</c:v>
                </c:pt>
                <c:pt idx="1679">
                  <c:v>1.6633623528709904</c:v>
                </c:pt>
                <c:pt idx="1680">
                  <c:v>1.663444818967946</c:v>
                </c:pt>
                <c:pt idx="1681">
                  <c:v>1.6637955797423274</c:v>
                </c:pt>
                <c:pt idx="1682">
                  <c:v>1.6643959777061355</c:v>
                </c:pt>
                <c:pt idx="1683">
                  <c:v>1.664478816952851</c:v>
                </c:pt>
                <c:pt idx="1684">
                  <c:v>1.6645825525861255</c:v>
                </c:pt>
                <c:pt idx="1685">
                  <c:v>1.6663986724679489</c:v>
                </c:pt>
                <c:pt idx="1686">
                  <c:v>1.6666927144788133</c:v>
                </c:pt>
                <c:pt idx="1687">
                  <c:v>1.6674517010906129</c:v>
                </c:pt>
                <c:pt idx="1688">
                  <c:v>1.6675785720090062</c:v>
                </c:pt>
                <c:pt idx="1689">
                  <c:v>1.6676629038547617</c:v>
                </c:pt>
                <c:pt idx="1690">
                  <c:v>1.6680229933731425</c:v>
                </c:pt>
                <c:pt idx="1691">
                  <c:v>1.6683629328044844</c:v>
                </c:pt>
                <c:pt idx="1692">
                  <c:v>1.6684054718771222</c:v>
                </c:pt>
                <c:pt idx="1693">
                  <c:v>1.6684689073363188</c:v>
                </c:pt>
                <c:pt idx="1694">
                  <c:v>1.6687032453855863</c:v>
                </c:pt>
                <c:pt idx="1695">
                  <c:v>1.6690443042662082</c:v>
                </c:pt>
                <c:pt idx="1696">
                  <c:v>1.6691081128751648</c:v>
                </c:pt>
                <c:pt idx="1697">
                  <c:v>1.6691935641702003</c:v>
                </c:pt>
                <c:pt idx="1698">
                  <c:v>1.6698999366658427</c:v>
                </c:pt>
                <c:pt idx="1699">
                  <c:v>1.6708469907566723</c:v>
                </c:pt>
                <c:pt idx="1700">
                  <c:v>1.671886212838217</c:v>
                </c:pt>
                <c:pt idx="1701">
                  <c:v>1.6727358748416918</c:v>
                </c:pt>
                <c:pt idx="1702">
                  <c:v>1.6735463561203687</c:v>
                </c:pt>
                <c:pt idx="1703">
                  <c:v>1.673766141328997</c:v>
                </c:pt>
                <c:pt idx="1704">
                  <c:v>1.674162426374096</c:v>
                </c:pt>
                <c:pt idx="1705">
                  <c:v>1.6741844422099348</c:v>
                </c:pt>
                <c:pt idx="1706">
                  <c:v>1.6752688154124371</c:v>
                </c:pt>
                <c:pt idx="1707">
                  <c:v>1.6753800140409112</c:v>
                </c:pt>
                <c:pt idx="1708">
                  <c:v>1.67540202987675</c:v>
                </c:pt>
                <c:pt idx="1709">
                  <c:v>1.6766740974085224</c:v>
                </c:pt>
                <c:pt idx="1710">
                  <c:v>1.6768983604142704</c:v>
                </c:pt>
                <c:pt idx="1711">
                  <c:v>1.6769207493998692</c:v>
                </c:pt>
                <c:pt idx="1712">
                  <c:v>1.6771229965697785</c:v>
                </c:pt>
                <c:pt idx="1713">
                  <c:v>1.6771681476907361</c:v>
                </c:pt>
                <c:pt idx="1714">
                  <c:v>1.6772804657684901</c:v>
                </c:pt>
                <c:pt idx="1715">
                  <c:v>1.6775957773156733</c:v>
                </c:pt>
                <c:pt idx="1716">
                  <c:v>1.6776633174222297</c:v>
                </c:pt>
                <c:pt idx="1717">
                  <c:v>1.6779118351623765</c:v>
                </c:pt>
                <c:pt idx="1718">
                  <c:v>1.6782510282941985</c:v>
                </c:pt>
                <c:pt idx="1719">
                  <c:v>1.6789092644708035</c:v>
                </c:pt>
                <c:pt idx="1720">
                  <c:v>1.6793421181923804</c:v>
                </c:pt>
                <c:pt idx="1721">
                  <c:v>1.6804638063708808</c:v>
                </c:pt>
                <c:pt idx="1722">
                  <c:v>1.6807858346137436</c:v>
                </c:pt>
                <c:pt idx="1723">
                  <c:v>1.6810395764505301</c:v>
                </c:pt>
                <c:pt idx="1724">
                  <c:v>1.6810627117356489</c:v>
                </c:pt>
                <c:pt idx="1725">
                  <c:v>1.6822441038757461</c:v>
                </c:pt>
                <c:pt idx="1726">
                  <c:v>1.6823836618859787</c:v>
                </c:pt>
                <c:pt idx="1727">
                  <c:v>1.6825232198962112</c:v>
                </c:pt>
                <c:pt idx="1728">
                  <c:v>1.683693044393749</c:v>
                </c:pt>
                <c:pt idx="1729">
                  <c:v>1.6839516371774153</c:v>
                </c:pt>
                <c:pt idx="1730">
                  <c:v>1.6844468069089089</c:v>
                </c:pt>
                <c:pt idx="1731">
                  <c:v>1.6848248076157688</c:v>
                </c:pt>
                <c:pt idx="1732">
                  <c:v>1.6850143676938387</c:v>
                </c:pt>
                <c:pt idx="1733">
                  <c:v>1.6854655057536547</c:v>
                </c:pt>
                <c:pt idx="1734">
                  <c:v>1.6855128957731722</c:v>
                </c:pt>
                <c:pt idx="1735">
                  <c:v>1.6857509653200395</c:v>
                </c:pt>
                <c:pt idx="1736">
                  <c:v>1.6865151760284789</c:v>
                </c:pt>
                <c:pt idx="1737">
                  <c:v>1.6872596097996393</c:v>
                </c:pt>
                <c:pt idx="1738">
                  <c:v>1.6878383650773685</c:v>
                </c:pt>
                <c:pt idx="1739">
                  <c:v>1.6878626198117672</c:v>
                </c:pt>
                <c:pt idx="1740">
                  <c:v>1.6882742039970253</c:v>
                </c:pt>
                <c:pt idx="1741">
                  <c:v>1.688298458731424</c:v>
                </c:pt>
                <c:pt idx="1742">
                  <c:v>1.6884197324034176</c:v>
                </c:pt>
                <c:pt idx="1743">
                  <c:v>1.6885898886939685</c:v>
                </c:pt>
                <c:pt idx="1744">
                  <c:v>1.6886141434283672</c:v>
                </c:pt>
                <c:pt idx="1745">
                  <c:v>1.6890033386280265</c:v>
                </c:pt>
                <c:pt idx="1746">
                  <c:v>1.6914612760970158</c:v>
                </c:pt>
                <c:pt idx="1747">
                  <c:v>1.6917840506393986</c:v>
                </c:pt>
                <c:pt idx="1748">
                  <c:v>1.6923568355209682</c:v>
                </c:pt>
                <c:pt idx="1749">
                  <c:v>1.6924064644390455</c:v>
                </c:pt>
                <c:pt idx="1750">
                  <c:v>1.6924064644390455</c:v>
                </c:pt>
                <c:pt idx="1751">
                  <c:v>1.6927564789139069</c:v>
                </c:pt>
                <c:pt idx="1752">
                  <c:v>1.6933583694767549</c:v>
                </c:pt>
                <c:pt idx="1753">
                  <c:v>1.6933833705106736</c:v>
                </c:pt>
                <c:pt idx="1754">
                  <c:v>1.6933833705106736</c:v>
                </c:pt>
                <c:pt idx="1755">
                  <c:v>1.6935094951295468</c:v>
                </c:pt>
                <c:pt idx="1756">
                  <c:v>1.6938117464351308</c:v>
                </c:pt>
                <c:pt idx="1757">
                  <c:v>1.6944938641963745</c:v>
                </c:pt>
                <c:pt idx="1758">
                  <c:v>1.6949509726523502</c:v>
                </c:pt>
                <c:pt idx="1759">
                  <c:v>1.6953073306731312</c:v>
                </c:pt>
                <c:pt idx="1760">
                  <c:v>1.6966905968333776</c:v>
                </c:pt>
                <c:pt idx="1761">
                  <c:v>1.6967163441668163</c:v>
                </c:pt>
                <c:pt idx="1762">
                  <c:v>1.6995522823426654</c:v>
                </c:pt>
                <c:pt idx="1763">
                  <c:v>1.6996052696085826</c:v>
                </c:pt>
                <c:pt idx="1764">
                  <c:v>1.6996313900917812</c:v>
                </c:pt>
                <c:pt idx="1765">
                  <c:v>1.7000000620546416</c:v>
                </c:pt>
                <c:pt idx="1766">
                  <c:v>1.7004228407326991</c:v>
                </c:pt>
                <c:pt idx="1767">
                  <c:v>1.7006347897963678</c:v>
                </c:pt>
                <c:pt idx="1768">
                  <c:v>1.7007941247438794</c:v>
                </c:pt>
                <c:pt idx="1769">
                  <c:v>1.7009799533243495</c:v>
                </c:pt>
                <c:pt idx="1770">
                  <c:v>1.7014859443988826</c:v>
                </c:pt>
                <c:pt idx="1771">
                  <c:v>1.7016993860615912</c:v>
                </c:pt>
                <c:pt idx="1772">
                  <c:v>1.702906898684887</c:v>
                </c:pt>
                <c:pt idx="1773">
                  <c:v>1.7029337654676056</c:v>
                </c:pt>
                <c:pt idx="1774">
                  <c:v>1.7030419788979998</c:v>
                </c:pt>
                <c:pt idx="1775">
                  <c:v>1.7032039258938312</c:v>
                </c:pt>
                <c:pt idx="1776">
                  <c:v>1.7036640195478867</c:v>
                </c:pt>
                <c:pt idx="1777">
                  <c:v>1.7039897792883494</c:v>
                </c:pt>
                <c:pt idx="1778">
                  <c:v>1.7040987390182636</c:v>
                </c:pt>
                <c:pt idx="1779">
                  <c:v>1.7052737876124411</c:v>
                </c:pt>
                <c:pt idx="1780">
                  <c:v>1.7066533222750877</c:v>
                </c:pt>
                <c:pt idx="1781">
                  <c:v>1.7072373016494566</c:v>
                </c:pt>
                <c:pt idx="1782">
                  <c:v>1.7077675474583884</c:v>
                </c:pt>
                <c:pt idx="1783">
                  <c:v>1.7083004053156401</c:v>
                </c:pt>
                <c:pt idx="1784">
                  <c:v>1.7085817602346651</c:v>
                </c:pt>
                <c:pt idx="1785">
                  <c:v>1.7086660920804206</c:v>
                </c:pt>
                <c:pt idx="1786">
                  <c:v>1.7090612576762396</c:v>
                </c:pt>
                <c:pt idx="1787">
                  <c:v>1.7092310408170306</c:v>
                </c:pt>
                <c:pt idx="1788">
                  <c:v>1.7095142614848555</c:v>
                </c:pt>
                <c:pt idx="1789">
                  <c:v>1.7097131503069249</c:v>
                </c:pt>
                <c:pt idx="1790">
                  <c:v>1.7106251283203164</c:v>
                </c:pt>
                <c:pt idx="1791">
                  <c:v>1.7114285197535537</c:v>
                </c:pt>
                <c:pt idx="1792">
                  <c:v>1.7139581019764591</c:v>
                </c:pt>
                <c:pt idx="1793">
                  <c:v>1.7145469322977078</c:v>
                </c:pt>
                <c:pt idx="1794">
                  <c:v>1.7150495650244011</c:v>
                </c:pt>
                <c:pt idx="1795">
                  <c:v>1.7153760710643837</c:v>
                </c:pt>
                <c:pt idx="1796">
                  <c:v>1.7159712449315521</c:v>
                </c:pt>
                <c:pt idx="1797">
                  <c:v>1.7163895458124898</c:v>
                </c:pt>
                <c:pt idx="1798">
                  <c:v>1.7164197709430482</c:v>
                </c:pt>
                <c:pt idx="1799">
                  <c:v>1.7166597062387154</c:v>
                </c:pt>
                <c:pt idx="1800">
                  <c:v>1.7168097124422275</c:v>
                </c:pt>
                <c:pt idx="1801">
                  <c:v>1.7168697895535843</c:v>
                </c:pt>
                <c:pt idx="1802">
                  <c:v>1.7169000146841427</c:v>
                </c:pt>
                <c:pt idx="1803">
                  <c:v>1.7170806191679731</c:v>
                </c:pt>
                <c:pt idx="1804">
                  <c:v>1.7172612236518034</c:v>
                </c:pt>
                <c:pt idx="1805">
                  <c:v>1.7173515258937186</c:v>
                </c:pt>
                <c:pt idx="1806">
                  <c:v>1.7174724264159522</c:v>
                </c:pt>
                <c:pt idx="1807">
                  <c:v>1.7179869999349648</c:v>
                </c:pt>
                <c:pt idx="1808">
                  <c:v>1.7182299204287119</c:v>
                </c:pt>
                <c:pt idx="1809">
                  <c:v>1.7187784505758827</c:v>
                </c:pt>
                <c:pt idx="1810">
                  <c:v>1.7188392739867595</c:v>
                </c:pt>
                <c:pt idx="1811">
                  <c:v>1.7189918922385914</c:v>
                </c:pt>
                <c:pt idx="1812">
                  <c:v>1.7208718207293714</c:v>
                </c:pt>
                <c:pt idx="1813">
                  <c:v>1.7209031653092097</c:v>
                </c:pt>
                <c:pt idx="1814">
                  <c:v>1.7209651081693664</c:v>
                </c:pt>
                <c:pt idx="1815">
                  <c:v>1.721744244868205</c:v>
                </c:pt>
                <c:pt idx="1816">
                  <c:v>1.7218696231875583</c:v>
                </c:pt>
                <c:pt idx="1817">
                  <c:v>1.7224345719241683</c:v>
                </c:pt>
                <c:pt idx="1818">
                  <c:v>1.7226233857027182</c:v>
                </c:pt>
                <c:pt idx="1819">
                  <c:v>1.7228756349404648</c:v>
                </c:pt>
                <c:pt idx="1820">
                  <c:v>1.7230338504386964</c:v>
                </c:pt>
                <c:pt idx="1821">
                  <c:v>1.7240495640853624</c:v>
                </c:pt>
                <c:pt idx="1822">
                  <c:v>1.72465705189461</c:v>
                </c:pt>
                <c:pt idx="1823">
                  <c:v>1.7254929073569656</c:v>
                </c:pt>
                <c:pt idx="1824">
                  <c:v>1.7256220171739187</c:v>
                </c:pt>
                <c:pt idx="1825">
                  <c:v>1.7258809831073449</c:v>
                </c:pt>
                <c:pt idx="1826">
                  <c:v>1.7260750209825346</c:v>
                </c:pt>
                <c:pt idx="1827">
                  <c:v>1.7260750209825346</c:v>
                </c:pt>
                <c:pt idx="1828">
                  <c:v>1.7263671972445991</c:v>
                </c:pt>
                <c:pt idx="1829">
                  <c:v>1.7284661646444874</c:v>
                </c:pt>
                <c:pt idx="1830">
                  <c:v>1.7284990018233657</c:v>
                </c:pt>
                <c:pt idx="1831">
                  <c:v>1.7287975216313498</c:v>
                </c:pt>
                <c:pt idx="1832">
                  <c:v>1.7302662390866317</c:v>
                </c:pt>
                <c:pt idx="1833">
                  <c:v>1.7318222735857489</c:v>
                </c:pt>
                <c:pt idx="1834">
                  <c:v>1.7327446997924199</c:v>
                </c:pt>
                <c:pt idx="1835">
                  <c:v>1.733813773854763</c:v>
                </c:pt>
                <c:pt idx="1836">
                  <c:v>1.734508951857606</c:v>
                </c:pt>
                <c:pt idx="1837">
                  <c:v>1.7345432816355242</c:v>
                </c:pt>
                <c:pt idx="1838">
                  <c:v>1.7346134337904004</c:v>
                </c:pt>
                <c:pt idx="1839">
                  <c:v>1.7352776403631651</c:v>
                </c:pt>
                <c:pt idx="1840">
                  <c:v>1.7356642235145046</c:v>
                </c:pt>
                <c:pt idx="1841">
                  <c:v>1.7363351467829489</c:v>
                </c:pt>
                <c:pt idx="1842">
                  <c:v>1.7372239895112216</c:v>
                </c:pt>
                <c:pt idx="1843">
                  <c:v>1.7374023550964921</c:v>
                </c:pt>
                <c:pt idx="1844">
                  <c:v>1.7376531117351988</c:v>
                </c:pt>
                <c:pt idx="1845">
                  <c:v>1.7379758862775816</c:v>
                </c:pt>
                <c:pt idx="1846">
                  <c:v>1.7380120818042997</c:v>
                </c:pt>
                <c:pt idx="1847">
                  <c:v>1.7382277623655682</c:v>
                </c:pt>
                <c:pt idx="1848">
                  <c:v>1.7383359757959624</c:v>
                </c:pt>
                <c:pt idx="1849">
                  <c:v>1.7387688295175394</c:v>
                </c:pt>
                <c:pt idx="1850">
                  <c:v>1.7395315476269388</c:v>
                </c:pt>
                <c:pt idx="1851">
                  <c:v>1.7407763752262326</c:v>
                </c:pt>
                <c:pt idx="1852">
                  <c:v>1.7412562458175671</c:v>
                </c:pt>
                <c:pt idx="1853">
                  <c:v>1.7416637253554654</c:v>
                </c:pt>
                <c:pt idx="1854">
                  <c:v>1.7423339023243898</c:v>
                </c:pt>
                <c:pt idx="1855">
                  <c:v>1.7429712421144359</c:v>
                </c:pt>
                <c:pt idx="1856">
                  <c:v>1.7430458720664319</c:v>
                </c:pt>
                <c:pt idx="1857">
                  <c:v>1.7433093157969779</c:v>
                </c:pt>
                <c:pt idx="1858">
                  <c:v>1.7438765034321477</c:v>
                </c:pt>
                <c:pt idx="1859">
                  <c:v>1.7444078686903595</c:v>
                </c:pt>
                <c:pt idx="1860">
                  <c:v>1.7462885434806594</c:v>
                </c:pt>
                <c:pt idx="1861">
                  <c:v>1.746598257781443</c:v>
                </c:pt>
                <c:pt idx="1862">
                  <c:v>1.7477692017282607</c:v>
                </c:pt>
                <c:pt idx="1863">
                  <c:v>1.7480841401256839</c:v>
                </c:pt>
                <c:pt idx="1864">
                  <c:v>1.749869288577429</c:v>
                </c:pt>
                <c:pt idx="1865">
                  <c:v>1.7503103515937255</c:v>
                </c:pt>
                <c:pt idx="1866">
                  <c:v>1.7511574015488804</c:v>
                </c:pt>
                <c:pt idx="1867">
                  <c:v>1.751279048370634</c:v>
                </c:pt>
                <c:pt idx="1868">
                  <c:v>1.7520925148473907</c:v>
                </c:pt>
                <c:pt idx="1869">
                  <c:v>1.7522156542681842</c:v>
                </c:pt>
                <c:pt idx="1870">
                  <c:v>1.7526253727046424</c:v>
                </c:pt>
                <c:pt idx="1871">
                  <c:v>1.7539052763813743</c:v>
                </c:pt>
                <c:pt idx="1872">
                  <c:v>1.7539470691544921</c:v>
                </c:pt>
                <c:pt idx="1873">
                  <c:v>1.754155286720561</c:v>
                </c:pt>
                <c:pt idx="1874">
                  <c:v>1.7552015986475453</c:v>
                </c:pt>
                <c:pt idx="1875">
                  <c:v>1.7553277232664186</c:v>
                </c:pt>
                <c:pt idx="1876">
                  <c:v>1.7560464097041404</c:v>
                </c:pt>
                <c:pt idx="1877">
                  <c:v>1.7566837494941865</c:v>
                </c:pt>
                <c:pt idx="1878">
                  <c:v>1.7568971911568951</c:v>
                </c:pt>
                <c:pt idx="1879">
                  <c:v>1.7569830156016906</c:v>
                </c:pt>
                <c:pt idx="1880">
                  <c:v>1.7577128965322117</c:v>
                </c:pt>
                <c:pt idx="1881">
                  <c:v>1.7586211430480034</c:v>
                </c:pt>
                <c:pt idx="1882">
                  <c:v>1.760772724564049</c:v>
                </c:pt>
                <c:pt idx="1883">
                  <c:v>1.7610839314638724</c:v>
                </c:pt>
                <c:pt idx="1884">
                  <c:v>1.7621578564730953</c:v>
                </c:pt>
                <c:pt idx="1885">
                  <c:v>1.7622026344442929</c:v>
                </c:pt>
                <c:pt idx="1886">
                  <c:v>1.7625183191412361</c:v>
                </c:pt>
                <c:pt idx="1887">
                  <c:v>1.7631064031629649</c:v>
                </c:pt>
                <c:pt idx="1888">
                  <c:v>1.7651229044658976</c:v>
                </c:pt>
                <c:pt idx="1889">
                  <c:v>1.7660527936677681</c:v>
                </c:pt>
                <c:pt idx="1890">
                  <c:v>1.7666155035058182</c:v>
                </c:pt>
                <c:pt idx="1891">
                  <c:v>1.7682252715703726</c:v>
                </c:pt>
                <c:pt idx="1892">
                  <c:v>1.7685125968855573</c:v>
                </c:pt>
                <c:pt idx="1893">
                  <c:v>1.7698619064176455</c:v>
                </c:pt>
                <c:pt idx="1894">
                  <c:v>1.7716239195842718</c:v>
                </c:pt>
                <c:pt idx="1895">
                  <c:v>1.7717231774204265</c:v>
                </c:pt>
                <c:pt idx="1896">
                  <c:v>1.7721687182338428</c:v>
                </c:pt>
                <c:pt idx="1897">
                  <c:v>1.7740740209083015</c:v>
                </c:pt>
                <c:pt idx="1898">
                  <c:v>1.7741247692756588</c:v>
                </c:pt>
                <c:pt idx="1899">
                  <c:v>1.7742262660103734</c:v>
                </c:pt>
                <c:pt idx="1900">
                  <c:v>1.7760173848582781</c:v>
                </c:pt>
                <c:pt idx="1901">
                  <c:v>1.7774741615212406</c:v>
                </c:pt>
                <c:pt idx="1902">
                  <c:v>1.7779995563832927</c:v>
                </c:pt>
                <c:pt idx="1903">
                  <c:v>1.7792205023979477</c:v>
                </c:pt>
                <c:pt idx="1904">
                  <c:v>1.7797548528542393</c:v>
                </c:pt>
                <c:pt idx="1905">
                  <c:v>1.7809437079895361</c:v>
                </c:pt>
                <c:pt idx="1906">
                  <c:v>1.7816526925334983</c:v>
                </c:pt>
                <c:pt idx="1907">
                  <c:v>1.7818168784278896</c:v>
                </c:pt>
                <c:pt idx="1908">
                  <c:v>1.7820370367862779</c:v>
                </c:pt>
                <c:pt idx="1909">
                  <c:v>1.7823116750096233</c:v>
                </c:pt>
                <c:pt idx="1910">
                  <c:v>1.7823116750096233</c:v>
                </c:pt>
                <c:pt idx="1911">
                  <c:v>1.7875827885191029</c:v>
                </c:pt>
                <c:pt idx="1912">
                  <c:v>1.7884022253920193</c:v>
                </c:pt>
                <c:pt idx="1913">
                  <c:v>1.7889925483123079</c:v>
                </c:pt>
                <c:pt idx="1914">
                  <c:v>1.790664259237019</c:v>
                </c:pt>
                <c:pt idx="1915">
                  <c:v>1.790965764243083</c:v>
                </c:pt>
                <c:pt idx="1916">
                  <c:v>1.7938509581872495</c:v>
                </c:pt>
                <c:pt idx="1917">
                  <c:v>1.7946659172630461</c:v>
                </c:pt>
                <c:pt idx="1918">
                  <c:v>1.7949808556604694</c:v>
                </c:pt>
                <c:pt idx="1919">
                  <c:v>1.7974779738542566</c:v>
                </c:pt>
                <c:pt idx="1920">
                  <c:v>1.7981287470356619</c:v>
                </c:pt>
                <c:pt idx="1921">
                  <c:v>1.7985877212404375</c:v>
                </c:pt>
                <c:pt idx="1922">
                  <c:v>1.7992467037165625</c:v>
                </c:pt>
                <c:pt idx="1923">
                  <c:v>1.8026886371026194</c:v>
                </c:pt>
                <c:pt idx="1924">
                  <c:v>1.8035871817246516</c:v>
                </c:pt>
                <c:pt idx="1925">
                  <c:v>1.8048469353143446</c:v>
                </c:pt>
                <c:pt idx="1926">
                  <c:v>1.8049872396240971</c:v>
                </c:pt>
                <c:pt idx="1927">
                  <c:v>1.8088844157173298</c:v>
                </c:pt>
                <c:pt idx="1928">
                  <c:v>1.809032183022282</c:v>
                </c:pt>
                <c:pt idx="1929">
                  <c:v>1.8146040552383056</c:v>
                </c:pt>
                <c:pt idx="1930">
                  <c:v>1.8147622707365372</c:v>
                </c:pt>
                <c:pt idx="1931">
                  <c:v>1.8165175672074838</c:v>
                </c:pt>
                <c:pt idx="1932">
                  <c:v>1.8166787679037952</c:v>
                </c:pt>
                <c:pt idx="1933">
                  <c:v>1.8166787679037952</c:v>
                </c:pt>
                <c:pt idx="1934">
                  <c:v>1.8170832622436137</c:v>
                </c:pt>
                <c:pt idx="1935">
                  <c:v>1.8172459555389651</c:v>
                </c:pt>
                <c:pt idx="1936">
                  <c:v>1.8174086488343164</c:v>
                </c:pt>
                <c:pt idx="1937">
                  <c:v>1.8180638998128416</c:v>
                </c:pt>
                <c:pt idx="1938">
                  <c:v>1.8181459927600372</c:v>
                </c:pt>
                <c:pt idx="1939">
                  <c:v>1.8182280857072328</c:v>
                </c:pt>
                <c:pt idx="1940">
                  <c:v>1.8194714207074867</c:v>
                </c:pt>
                <c:pt idx="1941">
                  <c:v>1.8210729794773215</c:v>
                </c:pt>
                <c:pt idx="1942">
                  <c:v>1.8225327413383638</c:v>
                </c:pt>
                <c:pt idx="1943">
                  <c:v>1.8259791525215405</c:v>
                </c:pt>
                <c:pt idx="1944">
                  <c:v>1.8262508055468061</c:v>
                </c:pt>
                <c:pt idx="1945">
                  <c:v>1.8270702424197225</c:v>
                </c:pt>
                <c:pt idx="1946">
                  <c:v>1.8278971422878385</c:v>
                </c:pt>
                <c:pt idx="1947">
                  <c:v>1.8297658762858191</c:v>
                </c:pt>
                <c:pt idx="1948">
                  <c:v>1.8319704450677818</c:v>
                </c:pt>
                <c:pt idx="1949">
                  <c:v>1.8329480974389298</c:v>
                </c:pt>
                <c:pt idx="1950">
                  <c:v>1.8339361980033573</c:v>
                </c:pt>
                <c:pt idx="1951">
                  <c:v>1.8362586821094737</c:v>
                </c:pt>
                <c:pt idx="1952">
                  <c:v>1.8371855861132644</c:v>
                </c:pt>
                <c:pt idx="1953">
                  <c:v>1.8380184563775401</c:v>
                </c:pt>
                <c:pt idx="1954">
                  <c:v>1.838754307704221</c:v>
                </c:pt>
                <c:pt idx="1955">
                  <c:v>1.8401409322123072</c:v>
                </c:pt>
                <c:pt idx="1956">
                  <c:v>1.8403573590730957</c:v>
                </c:pt>
                <c:pt idx="1957">
                  <c:v>1.8412230665162497</c:v>
                </c:pt>
                <c:pt idx="1958">
                  <c:v>1.8417708503639005</c:v>
                </c:pt>
                <c:pt idx="1959">
                  <c:v>1.8424320717385854</c:v>
                </c:pt>
                <c:pt idx="1960">
                  <c:v>1.844450065640558</c:v>
                </c:pt>
                <c:pt idx="1961">
                  <c:v>1.8452500987259555</c:v>
                </c:pt>
                <c:pt idx="1962">
                  <c:v>1.8475800458272715</c:v>
                </c:pt>
                <c:pt idx="1963">
                  <c:v>1.8482920155693137</c:v>
                </c:pt>
                <c:pt idx="1964">
                  <c:v>1.8502264239250508</c:v>
                </c:pt>
                <c:pt idx="1965">
                  <c:v>1.8509637678507715</c:v>
                </c:pt>
                <c:pt idx="1966">
                  <c:v>1.8512115392913984</c:v>
                </c:pt>
                <c:pt idx="1967">
                  <c:v>1.8539892661046906</c:v>
                </c:pt>
                <c:pt idx="1968">
                  <c:v>1.862555291994795</c:v>
                </c:pt>
                <c:pt idx="1969">
                  <c:v>1.8648986724874703</c:v>
                </c:pt>
                <c:pt idx="1970">
                  <c:v>1.8656449720074306</c:v>
                </c:pt>
                <c:pt idx="1971">
                  <c:v>1.8693436324283539</c:v>
                </c:pt>
                <c:pt idx="1972">
                  <c:v>1.8698182789230486</c:v>
                </c:pt>
                <c:pt idx="1973">
                  <c:v>1.8780633960195701</c:v>
                </c:pt>
                <c:pt idx="1974">
                  <c:v>1.8789589554435224</c:v>
                </c:pt>
                <c:pt idx="1975">
                  <c:v>1.8804187173045648</c:v>
                </c:pt>
                <c:pt idx="1976">
                  <c:v>1.8840099105946138</c:v>
                </c:pt>
                <c:pt idx="1977">
                  <c:v>1.8857801330559596</c:v>
                </c:pt>
                <c:pt idx="1978">
                  <c:v>1.8857801330559596</c:v>
                </c:pt>
                <c:pt idx="1979">
                  <c:v>1.8857801330559596</c:v>
                </c:pt>
                <c:pt idx="1980">
                  <c:v>1.8898758248215017</c:v>
                </c:pt>
                <c:pt idx="1981">
                  <c:v>1.8924580211605644</c:v>
                </c:pt>
                <c:pt idx="1982">
                  <c:v>1.8937834491080139</c:v>
                </c:pt>
                <c:pt idx="1983">
                  <c:v>1.9057212562292989</c:v>
                </c:pt>
                <c:pt idx="1984">
                  <c:v>1.9067989127361216</c:v>
                </c:pt>
                <c:pt idx="1985">
                  <c:v>1.9087213802995393</c:v>
                </c:pt>
                <c:pt idx="1986">
                  <c:v>1.9183217773243086</c:v>
                </c:pt>
                <c:pt idx="1987">
                  <c:v>1.9193009222944966</c:v>
                </c:pt>
                <c:pt idx="1988">
                  <c:v>1.9319701029453427</c:v>
                </c:pt>
                <c:pt idx="1989">
                  <c:v>1.933600021096936</c:v>
                </c:pt>
                <c:pt idx="1990">
                  <c:v>1.9453557311353507</c:v>
                </c:pt>
                <c:pt idx="1991">
                  <c:v>1.9500245809322223</c:v>
                </c:pt>
                <c:pt idx="1992">
                  <c:v>1.9937517624057364</c:v>
                </c:pt>
                <c:pt idx="1993">
                  <c:v>1.9998893296578899</c:v>
                </c:pt>
                <c:pt idx="1994">
                  <c:v>2.0025401855527889</c:v>
                </c:pt>
                <c:pt idx="1995">
                  <c:v>2.0183259129989892</c:v>
                </c:pt>
                <c:pt idx="1996">
                  <c:v>2.0411089447443374</c:v>
                </c:pt>
                <c:pt idx="1997">
                  <c:v>2.0440702612395398</c:v>
                </c:pt>
                <c:pt idx="1998">
                  <c:v>2.0722982942825183</c:v>
                </c:pt>
                <c:pt idx="1999">
                  <c:v>2.092645404394716</c:v>
                </c:pt>
              </c:numCache>
            </c:numRef>
          </c:xVal>
          <c:yVal>
            <c:numRef>
              <c:f>'ROI Analysis'!$E$2:$E$2001</c:f>
              <c:numCache>
                <c:formatCode>General</c:formatCode>
                <c:ptCount val="2000"/>
                <c:pt idx="0">
                  <c:v>8.017674782981524E-3</c:v>
                </c:pt>
                <c:pt idx="1">
                  <c:v>2.4403282925222012E-2</c:v>
                </c:pt>
                <c:pt idx="2">
                  <c:v>3.2660264244164378E-2</c:v>
                </c:pt>
                <c:pt idx="3">
                  <c:v>3.7263155835832978E-2</c:v>
                </c:pt>
                <c:pt idx="4">
                  <c:v>6.6240596033259991E-2</c:v>
                </c:pt>
                <c:pt idx="5">
                  <c:v>8.8916428866591776E-2</c:v>
                </c:pt>
                <c:pt idx="6">
                  <c:v>9.0424904118495172E-2</c:v>
                </c:pt>
                <c:pt idx="7">
                  <c:v>9.7421381368429663E-2</c:v>
                </c:pt>
                <c:pt idx="8">
                  <c:v>0.10971530279821619</c:v>
                </c:pt>
                <c:pt idx="9">
                  <c:v>0.12130463815283744</c:v>
                </c:pt>
                <c:pt idx="10">
                  <c:v>0.12703296422676083</c:v>
                </c:pt>
                <c:pt idx="11">
                  <c:v>0.13223950370200807</c:v>
                </c:pt>
                <c:pt idx="12">
                  <c:v>0.13599777256408563</c:v>
                </c:pt>
                <c:pt idx="13">
                  <c:v>0.14300359008321473</c:v>
                </c:pt>
                <c:pt idx="14">
                  <c:v>0.15316427310488462</c:v>
                </c:pt>
                <c:pt idx="15">
                  <c:v>0.15773943759145542</c:v>
                </c:pt>
                <c:pt idx="16">
                  <c:v>0.18954049968362577</c:v>
                </c:pt>
                <c:pt idx="17">
                  <c:v>0.20134358879523076</c:v>
                </c:pt>
                <c:pt idx="18">
                  <c:v>0.2030825875054956</c:v>
                </c:pt>
                <c:pt idx="19">
                  <c:v>0.21258062652797152</c:v>
                </c:pt>
                <c:pt idx="20">
                  <c:v>0.21600834935929505</c:v>
                </c:pt>
                <c:pt idx="21">
                  <c:v>0.21814344221545284</c:v>
                </c:pt>
                <c:pt idx="22">
                  <c:v>0.22113068671570144</c:v>
                </c:pt>
                <c:pt idx="23">
                  <c:v>0.22113068671570144</c:v>
                </c:pt>
                <c:pt idx="24">
                  <c:v>0.22283570777249229</c:v>
                </c:pt>
                <c:pt idx="25">
                  <c:v>0.22496149542863234</c:v>
                </c:pt>
                <c:pt idx="26">
                  <c:v>0.23509128514591246</c:v>
                </c:pt>
                <c:pt idx="27">
                  <c:v>0.23719220432115509</c:v>
                </c:pt>
                <c:pt idx="28">
                  <c:v>0.23719220432115509</c:v>
                </c:pt>
                <c:pt idx="29">
                  <c:v>0.23802642105040137</c:v>
                </c:pt>
                <c:pt idx="30">
                  <c:v>0.25011360224554458</c:v>
                </c:pt>
                <c:pt idx="31">
                  <c:v>0.25754294535080086</c:v>
                </c:pt>
                <c:pt idx="32">
                  <c:v>0.26738359590001026</c:v>
                </c:pt>
                <c:pt idx="33">
                  <c:v>0.27104594566784812</c:v>
                </c:pt>
                <c:pt idx="34">
                  <c:v>0.28076625782036457</c:v>
                </c:pt>
                <c:pt idx="35">
                  <c:v>0.29239609885951362</c:v>
                </c:pt>
                <c:pt idx="36">
                  <c:v>0.29359660373961283</c:v>
                </c:pt>
                <c:pt idx="37">
                  <c:v>0.29797513267348508</c:v>
                </c:pt>
                <c:pt idx="38">
                  <c:v>0.30075014802678179</c:v>
                </c:pt>
                <c:pt idx="39">
                  <c:v>0.30154500869131884</c:v>
                </c:pt>
                <c:pt idx="40">
                  <c:v>0.31729007212543603</c:v>
                </c:pt>
                <c:pt idx="41">
                  <c:v>0.32197469396210782</c:v>
                </c:pt>
                <c:pt idx="42">
                  <c:v>0.33900741084496977</c:v>
                </c:pt>
                <c:pt idx="43">
                  <c:v>0.33977306431084153</c:v>
                </c:pt>
                <c:pt idx="44">
                  <c:v>0.34208392441753671</c:v>
                </c:pt>
                <c:pt idx="45">
                  <c:v>0.35011367635211649</c:v>
                </c:pt>
                <c:pt idx="46">
                  <c:v>0.35239468576986227</c:v>
                </c:pt>
                <c:pt idx="47">
                  <c:v>0.36903561504868804</c:v>
                </c:pt>
                <c:pt idx="48">
                  <c:v>0.37690387940288311</c:v>
                </c:pt>
                <c:pt idx="49">
                  <c:v>0.38583596618117627</c:v>
                </c:pt>
                <c:pt idx="50">
                  <c:v>0.3921345573385614</c:v>
                </c:pt>
                <c:pt idx="51">
                  <c:v>0.39360807904224204</c:v>
                </c:pt>
                <c:pt idx="52">
                  <c:v>0.39360807904224204</c:v>
                </c:pt>
                <c:pt idx="53">
                  <c:v>0.40975179446334492</c:v>
                </c:pt>
                <c:pt idx="54">
                  <c:v>0.41412148159443701</c:v>
                </c:pt>
                <c:pt idx="55">
                  <c:v>0.42173919526353154</c:v>
                </c:pt>
                <c:pt idx="56">
                  <c:v>0.42643141558622644</c:v>
                </c:pt>
                <c:pt idx="57">
                  <c:v>0.44434888721889276</c:v>
                </c:pt>
                <c:pt idx="58">
                  <c:v>0.44932300291809796</c:v>
                </c:pt>
                <c:pt idx="59">
                  <c:v>0.46063284755990508</c:v>
                </c:pt>
                <c:pt idx="60">
                  <c:v>0.46415341165016299</c:v>
                </c:pt>
                <c:pt idx="61">
                  <c:v>0.46555687522600014</c:v>
                </c:pt>
                <c:pt idx="62">
                  <c:v>0.47361117144957188</c:v>
                </c:pt>
                <c:pt idx="63">
                  <c:v>0.48022614108178263</c:v>
                </c:pt>
                <c:pt idx="64">
                  <c:v>0.48022614108178263</c:v>
                </c:pt>
                <c:pt idx="65">
                  <c:v>0.48474007743596187</c:v>
                </c:pt>
                <c:pt idx="66">
                  <c:v>0.49199750044470109</c:v>
                </c:pt>
                <c:pt idx="67">
                  <c:v>0.49887688840613426</c:v>
                </c:pt>
                <c:pt idx="68">
                  <c:v>0.50264951980614614</c:v>
                </c:pt>
                <c:pt idx="69">
                  <c:v>0.52777990086578153</c:v>
                </c:pt>
                <c:pt idx="70">
                  <c:v>0.53450327292800293</c:v>
                </c:pt>
                <c:pt idx="71">
                  <c:v>0.54186847997377119</c:v>
                </c:pt>
                <c:pt idx="72">
                  <c:v>0.55715320081783715</c:v>
                </c:pt>
                <c:pt idx="73">
                  <c:v>0.55715320081783715</c:v>
                </c:pt>
                <c:pt idx="74">
                  <c:v>0.55880743047738446</c:v>
                </c:pt>
                <c:pt idx="75">
                  <c:v>0.56309292326258076</c:v>
                </c:pt>
                <c:pt idx="76">
                  <c:v>0.57294592016781742</c:v>
                </c:pt>
                <c:pt idx="77">
                  <c:v>0.57784986668752292</c:v>
                </c:pt>
                <c:pt idx="78">
                  <c:v>0.58078566824336042</c:v>
                </c:pt>
                <c:pt idx="79">
                  <c:v>0.58078566824336042</c:v>
                </c:pt>
                <c:pt idx="80">
                  <c:v>0.58208711447384875</c:v>
                </c:pt>
                <c:pt idx="81">
                  <c:v>0.59052717670051202</c:v>
                </c:pt>
                <c:pt idx="82">
                  <c:v>0.59085249839238929</c:v>
                </c:pt>
                <c:pt idx="83">
                  <c:v>0.596023403614936</c:v>
                </c:pt>
                <c:pt idx="84">
                  <c:v>0.59957045742191428</c:v>
                </c:pt>
                <c:pt idx="85">
                  <c:v>0.60727994790961859</c:v>
                </c:pt>
                <c:pt idx="86">
                  <c:v>0.60791950197132394</c:v>
                </c:pt>
                <c:pt idx="87">
                  <c:v>0.61814107973883603</c:v>
                </c:pt>
                <c:pt idx="88">
                  <c:v>0.6219583621600846</c:v>
                </c:pt>
                <c:pt idx="89">
                  <c:v>0.62354744586946576</c:v>
                </c:pt>
                <c:pt idx="90">
                  <c:v>0.62671453874634686</c:v>
                </c:pt>
                <c:pt idx="91">
                  <c:v>0.6311447520199549</c:v>
                </c:pt>
                <c:pt idx="92">
                  <c:v>0.63461509825028561</c:v>
                </c:pt>
                <c:pt idx="93">
                  <c:v>0.63493203738302229</c:v>
                </c:pt>
                <c:pt idx="94">
                  <c:v>0.6374521530658469</c:v>
                </c:pt>
                <c:pt idx="95">
                  <c:v>0.63839168882011876</c:v>
                </c:pt>
                <c:pt idx="96">
                  <c:v>0.64059206556772996</c:v>
                </c:pt>
                <c:pt idx="97">
                  <c:v>0.64717370933338292</c:v>
                </c:pt>
                <c:pt idx="98">
                  <c:v>0.64780112286362612</c:v>
                </c:pt>
                <c:pt idx="99">
                  <c:v>0.65061234878696794</c:v>
                </c:pt>
                <c:pt idx="100">
                  <c:v>0.65092464008212914</c:v>
                </c:pt>
                <c:pt idx="101">
                  <c:v>0.65808944554397386</c:v>
                </c:pt>
                <c:pt idx="102">
                  <c:v>0.66026385967142986</c:v>
                </c:pt>
                <c:pt idx="103">
                  <c:v>0.66367236227603155</c:v>
                </c:pt>
                <c:pt idx="104">
                  <c:v>0.66645764467904978</c:v>
                </c:pt>
                <c:pt idx="105">
                  <c:v>0.66676973025320596</c:v>
                </c:pt>
                <c:pt idx="106">
                  <c:v>0.66676973025320596</c:v>
                </c:pt>
                <c:pt idx="107">
                  <c:v>0.66985638669053016</c:v>
                </c:pt>
                <c:pt idx="108">
                  <c:v>0.67663148820243124</c:v>
                </c:pt>
                <c:pt idx="109">
                  <c:v>0.67724678395427562</c:v>
                </c:pt>
                <c:pt idx="110">
                  <c:v>0.68154361204209424</c:v>
                </c:pt>
                <c:pt idx="111">
                  <c:v>0.68765943911548622</c:v>
                </c:pt>
                <c:pt idx="112">
                  <c:v>0.69070981413135268</c:v>
                </c:pt>
                <c:pt idx="113">
                  <c:v>0.69162701313636843</c:v>
                </c:pt>
                <c:pt idx="114">
                  <c:v>0.71852294578603393</c:v>
                </c:pt>
                <c:pt idx="115">
                  <c:v>0.71852294578603393</c:v>
                </c:pt>
                <c:pt idx="116">
                  <c:v>0.71881886686338603</c:v>
                </c:pt>
                <c:pt idx="117">
                  <c:v>0.71972238050131654</c:v>
                </c:pt>
                <c:pt idx="118">
                  <c:v>0.72957640522988176</c:v>
                </c:pt>
                <c:pt idx="119">
                  <c:v>0.73077117408576553</c:v>
                </c:pt>
                <c:pt idx="120">
                  <c:v>0.73344292431800007</c:v>
                </c:pt>
                <c:pt idx="121">
                  <c:v>0.73523069628017679</c:v>
                </c:pt>
                <c:pt idx="122">
                  <c:v>0.73641532586760194</c:v>
                </c:pt>
                <c:pt idx="123">
                  <c:v>0.74676673852523678</c:v>
                </c:pt>
                <c:pt idx="124">
                  <c:v>0.76232328623165679</c:v>
                </c:pt>
                <c:pt idx="125">
                  <c:v>0.76290943076507844</c:v>
                </c:pt>
                <c:pt idx="126">
                  <c:v>0.76553701932630513</c:v>
                </c:pt>
                <c:pt idx="127">
                  <c:v>0.77426515135764418</c:v>
                </c:pt>
                <c:pt idx="128">
                  <c:v>0.77484581574626921</c:v>
                </c:pt>
                <c:pt idx="129">
                  <c:v>0.77629588120969173</c:v>
                </c:pt>
                <c:pt idx="130">
                  <c:v>0.77803049412262792</c:v>
                </c:pt>
                <c:pt idx="131">
                  <c:v>0.78612359858662528</c:v>
                </c:pt>
                <c:pt idx="132">
                  <c:v>0.78900033096497846</c:v>
                </c:pt>
                <c:pt idx="133">
                  <c:v>0.79875437461241339</c:v>
                </c:pt>
                <c:pt idx="134">
                  <c:v>0.81016291375118288</c:v>
                </c:pt>
                <c:pt idx="135">
                  <c:v>0.81781767244655057</c:v>
                </c:pt>
                <c:pt idx="136">
                  <c:v>0.82515832850714066</c:v>
                </c:pt>
                <c:pt idx="137">
                  <c:v>0.83162555960382112</c:v>
                </c:pt>
                <c:pt idx="138">
                  <c:v>0.83302758003123911</c:v>
                </c:pt>
                <c:pt idx="139">
                  <c:v>0.8391880300772373</c:v>
                </c:pt>
                <c:pt idx="140">
                  <c:v>0.85227662312560937</c:v>
                </c:pt>
                <c:pt idx="141">
                  <c:v>0.86526191214088444</c:v>
                </c:pt>
                <c:pt idx="142">
                  <c:v>0.86856237005917014</c:v>
                </c:pt>
                <c:pt idx="143">
                  <c:v>0.87048447644181781</c:v>
                </c:pt>
                <c:pt idx="144">
                  <c:v>0.87350527327131289</c:v>
                </c:pt>
                <c:pt idx="145">
                  <c:v>0.87897556956955436</c:v>
                </c:pt>
                <c:pt idx="146">
                  <c:v>0.8811605642421988</c:v>
                </c:pt>
                <c:pt idx="147">
                  <c:v>0.8847034617006525</c:v>
                </c:pt>
                <c:pt idx="148">
                  <c:v>0.88687846765642664</c:v>
                </c:pt>
                <c:pt idx="149">
                  <c:v>0.89014028485911401</c:v>
                </c:pt>
                <c:pt idx="150">
                  <c:v>0.89339087191997812</c:v>
                </c:pt>
                <c:pt idx="151">
                  <c:v>0.89582982704278202</c:v>
                </c:pt>
                <c:pt idx="152">
                  <c:v>0.90257714954055634</c:v>
                </c:pt>
                <c:pt idx="153">
                  <c:v>0.90365500666558551</c:v>
                </c:pt>
                <c:pt idx="154">
                  <c:v>0.90553772386645304</c:v>
                </c:pt>
                <c:pt idx="155">
                  <c:v>0.90580973542591803</c:v>
                </c:pt>
                <c:pt idx="156">
                  <c:v>0.9106431871120092</c:v>
                </c:pt>
                <c:pt idx="157">
                  <c:v>0.91117714799371785</c:v>
                </c:pt>
                <c:pt idx="158">
                  <c:v>0.91278576109616438</c:v>
                </c:pt>
                <c:pt idx="159">
                  <c:v>0.9293170230943395</c:v>
                </c:pt>
                <c:pt idx="160">
                  <c:v>0.93143970423221711</c:v>
                </c:pt>
                <c:pt idx="161">
                  <c:v>0.93276315452764125</c:v>
                </c:pt>
                <c:pt idx="162">
                  <c:v>0.93752146577698869</c:v>
                </c:pt>
                <c:pt idx="163">
                  <c:v>0.93884608154792948</c:v>
                </c:pt>
                <c:pt idx="164">
                  <c:v>0.94648127179858133</c:v>
                </c:pt>
                <c:pt idx="165">
                  <c:v>0.94726768405339346</c:v>
                </c:pt>
                <c:pt idx="166">
                  <c:v>0.94779410110753071</c:v>
                </c:pt>
                <c:pt idx="167">
                  <c:v>0.94832065536585408</c:v>
                </c:pt>
                <c:pt idx="168">
                  <c:v>0.95172585098518225</c:v>
                </c:pt>
                <c:pt idx="169">
                  <c:v>0.96425513768081139</c:v>
                </c:pt>
                <c:pt idx="170">
                  <c:v>0.97229967229195213</c:v>
                </c:pt>
                <c:pt idx="171">
                  <c:v>0.97772658724445172</c:v>
                </c:pt>
                <c:pt idx="172">
                  <c:v>0.98442478445201054</c:v>
                </c:pt>
                <c:pt idx="173">
                  <c:v>0.98981254217952264</c:v>
                </c:pt>
                <c:pt idx="174">
                  <c:v>0.98981254217952264</c:v>
                </c:pt>
                <c:pt idx="175">
                  <c:v>0.98981254217952264</c:v>
                </c:pt>
                <c:pt idx="176">
                  <c:v>0.99313968603632474</c:v>
                </c:pt>
                <c:pt idx="177">
                  <c:v>0.99620549515502121</c:v>
                </c:pt>
                <c:pt idx="178">
                  <c:v>0.99926939735486986</c:v>
                </c:pt>
                <c:pt idx="179">
                  <c:v>1.0018156843783101</c:v>
                </c:pt>
                <c:pt idx="180">
                  <c:v>1.0023252810911483</c:v>
                </c:pt>
                <c:pt idx="181">
                  <c:v>1.0038486768851573</c:v>
                </c:pt>
                <c:pt idx="182">
                  <c:v>1.0107011428176207</c:v>
                </c:pt>
                <c:pt idx="183">
                  <c:v>1.0119649912719955</c:v>
                </c:pt>
                <c:pt idx="184">
                  <c:v>1.0170179951900902</c:v>
                </c:pt>
                <c:pt idx="185">
                  <c:v>1.0258259863823245</c:v>
                </c:pt>
                <c:pt idx="186">
                  <c:v>1.0278305981398461</c:v>
                </c:pt>
                <c:pt idx="187">
                  <c:v>1.0313349347965286</c:v>
                </c:pt>
                <c:pt idx="188">
                  <c:v>1.0330858960302931</c:v>
                </c:pt>
                <c:pt idx="189">
                  <c:v>1.0348350166622413</c:v>
                </c:pt>
                <c:pt idx="190">
                  <c:v>1.0380751977742804</c:v>
                </c:pt>
                <c:pt idx="191">
                  <c:v>1.0420595914594166</c:v>
                </c:pt>
                <c:pt idx="192">
                  <c:v>1.0457846179962742</c:v>
                </c:pt>
                <c:pt idx="193">
                  <c:v>1.0470264678168357</c:v>
                </c:pt>
                <c:pt idx="194">
                  <c:v>1.0475209030915342</c:v>
                </c:pt>
                <c:pt idx="195">
                  <c:v>1.0514797902147131</c:v>
                </c:pt>
                <c:pt idx="196">
                  <c:v>1.0534583971441143</c:v>
                </c:pt>
                <c:pt idx="197">
                  <c:v>1.0556803040260909</c:v>
                </c:pt>
                <c:pt idx="198">
                  <c:v>1.0613442254797631</c:v>
                </c:pt>
                <c:pt idx="199">
                  <c:v>1.0618351484218904</c:v>
                </c:pt>
                <c:pt idx="200">
                  <c:v>1.0623261613349724</c:v>
                </c:pt>
                <c:pt idx="201">
                  <c:v>1.0630628492138143</c:v>
                </c:pt>
                <c:pt idx="202">
                  <c:v>1.0806562224442682</c:v>
                </c:pt>
                <c:pt idx="203">
                  <c:v>1.0806562224442682</c:v>
                </c:pt>
                <c:pt idx="204">
                  <c:v>1.0859957660519597</c:v>
                </c:pt>
                <c:pt idx="205">
                  <c:v>1.0975857545336667</c:v>
                </c:pt>
                <c:pt idx="206">
                  <c:v>1.0978280950146899</c:v>
                </c:pt>
                <c:pt idx="207">
                  <c:v>1.1076673431572919</c:v>
                </c:pt>
                <c:pt idx="208">
                  <c:v>1.1191133149324641</c:v>
                </c:pt>
                <c:pt idx="209">
                  <c:v>1.1210092106813263</c:v>
                </c:pt>
                <c:pt idx="210">
                  <c:v>1.1217228437412416</c:v>
                </c:pt>
                <c:pt idx="211">
                  <c:v>1.1226714311434813</c:v>
                </c:pt>
                <c:pt idx="212">
                  <c:v>1.1243313456486785</c:v>
                </c:pt>
                <c:pt idx="213">
                  <c:v>1.1309509584125055</c:v>
                </c:pt>
                <c:pt idx="214">
                  <c:v>1.1323668857376048</c:v>
                </c:pt>
                <c:pt idx="215">
                  <c:v>1.1335478233691545</c:v>
                </c:pt>
                <c:pt idx="216">
                  <c:v>1.1349585011451022</c:v>
                </c:pt>
                <c:pt idx="217">
                  <c:v>1.1368414041762898</c:v>
                </c:pt>
                <c:pt idx="218">
                  <c:v>1.1434127967337293</c:v>
                </c:pt>
                <c:pt idx="219">
                  <c:v>1.1499585538386237</c:v>
                </c:pt>
                <c:pt idx="220">
                  <c:v>1.1525252716095846</c:v>
                </c:pt>
                <c:pt idx="221">
                  <c:v>1.1536908394873413</c:v>
                </c:pt>
                <c:pt idx="222">
                  <c:v>1.1562474778802336</c:v>
                </c:pt>
                <c:pt idx="223">
                  <c:v>1.1629778614047592</c:v>
                </c:pt>
                <c:pt idx="224">
                  <c:v>1.1662160060521058</c:v>
                </c:pt>
                <c:pt idx="225">
                  <c:v>1.1733641690778505</c:v>
                </c:pt>
                <c:pt idx="226">
                  <c:v>1.1740533327185403</c:v>
                </c:pt>
                <c:pt idx="227">
                  <c:v>1.1740533327185403</c:v>
                </c:pt>
                <c:pt idx="228">
                  <c:v>1.1754320396730618</c:v>
                </c:pt>
                <c:pt idx="229">
                  <c:v>1.176121582482383</c:v>
                </c:pt>
                <c:pt idx="230">
                  <c:v>1.180251796174407</c:v>
                </c:pt>
                <c:pt idx="231">
                  <c:v>1.1832272794291379</c:v>
                </c:pt>
                <c:pt idx="232">
                  <c:v>1.1850582423758822</c:v>
                </c:pt>
                <c:pt idx="233">
                  <c:v>1.1855136950059169</c:v>
                </c:pt>
                <c:pt idx="234">
                  <c:v>1.1884802784742274</c:v>
                </c:pt>
                <c:pt idx="235">
                  <c:v>1.1921253113338248</c:v>
                </c:pt>
                <c:pt idx="236">
                  <c:v>1.1991627598910428</c:v>
                </c:pt>
                <c:pt idx="237">
                  <c:v>1.2095514333051707</c:v>
                </c:pt>
                <c:pt idx="238">
                  <c:v>1.2265727848870078</c:v>
                </c:pt>
                <c:pt idx="239">
                  <c:v>1.2265727848870078</c:v>
                </c:pt>
                <c:pt idx="240">
                  <c:v>1.2281323020811641</c:v>
                </c:pt>
                <c:pt idx="241">
                  <c:v>1.2285761111185394</c:v>
                </c:pt>
                <c:pt idx="242">
                  <c:v>1.2305803108952251</c:v>
                </c:pt>
                <c:pt idx="243">
                  <c:v>1.2310243554145428</c:v>
                </c:pt>
                <c:pt idx="244">
                  <c:v>1.2354605886220316</c:v>
                </c:pt>
                <c:pt idx="245">
                  <c:v>1.2387823244900062</c:v>
                </c:pt>
                <c:pt idx="246">
                  <c:v>1.2401103565468397</c:v>
                </c:pt>
                <c:pt idx="247">
                  <c:v>1.2427576963619755</c:v>
                </c:pt>
                <c:pt idx="248">
                  <c:v>1.2515607630381202</c:v>
                </c:pt>
                <c:pt idx="249">
                  <c:v>1.2555037075924234</c:v>
                </c:pt>
                <c:pt idx="250">
                  <c:v>1.2561600654312779</c:v>
                </c:pt>
                <c:pt idx="251">
                  <c:v>1.2565998717605529</c:v>
                </c:pt>
                <c:pt idx="252">
                  <c:v>1.2709727245852751</c:v>
                </c:pt>
                <c:pt idx="253">
                  <c:v>1.2847890365669314</c:v>
                </c:pt>
                <c:pt idx="254">
                  <c:v>1.288653423146541</c:v>
                </c:pt>
                <c:pt idx="255">
                  <c:v>1.2892971778165236</c:v>
                </c:pt>
                <c:pt idx="256">
                  <c:v>1.2897263853929228</c:v>
                </c:pt>
                <c:pt idx="257">
                  <c:v>1.2907962338572991</c:v>
                </c:pt>
                <c:pt idx="258">
                  <c:v>1.293577387929141</c:v>
                </c:pt>
                <c:pt idx="259">
                  <c:v>1.2955004796299177</c:v>
                </c:pt>
                <c:pt idx="260">
                  <c:v>1.2974208524976876</c:v>
                </c:pt>
                <c:pt idx="261">
                  <c:v>1.2984854053181276</c:v>
                </c:pt>
                <c:pt idx="262">
                  <c:v>1.3008300272581035</c:v>
                </c:pt>
                <c:pt idx="263">
                  <c:v>1.3042310650608862</c:v>
                </c:pt>
                <c:pt idx="264">
                  <c:v>1.3048664730367807</c:v>
                </c:pt>
                <c:pt idx="265">
                  <c:v>1.3101638821029071</c:v>
                </c:pt>
                <c:pt idx="266">
                  <c:v>1.3213381165740636</c:v>
                </c:pt>
                <c:pt idx="267">
                  <c:v>1.326999746239385</c:v>
                </c:pt>
                <c:pt idx="268">
                  <c:v>1.3280455879415942</c:v>
                </c:pt>
                <c:pt idx="269">
                  <c:v>1.3322237254020315</c:v>
                </c:pt>
                <c:pt idx="270">
                  <c:v>1.332642326214452</c:v>
                </c:pt>
                <c:pt idx="271">
                  <c:v>1.3419967254058947</c:v>
                </c:pt>
                <c:pt idx="272">
                  <c:v>1.3525335809992725</c:v>
                </c:pt>
                <c:pt idx="273">
                  <c:v>1.3529465215839886</c:v>
                </c:pt>
                <c:pt idx="274">
                  <c:v>1.3535659671170863</c:v>
                </c:pt>
                <c:pt idx="275">
                  <c:v>1.3564439312017322</c:v>
                </c:pt>
                <c:pt idx="276">
                  <c:v>1.3574700842622804</c:v>
                </c:pt>
                <c:pt idx="277">
                  <c:v>1.3632058801857916</c:v>
                </c:pt>
                <c:pt idx="278">
                  <c:v>1.3636159452260981</c:v>
                </c:pt>
                <c:pt idx="279">
                  <c:v>1.3644327910403364</c:v>
                </c:pt>
                <c:pt idx="280">
                  <c:v>1.3664735243305399</c:v>
                </c:pt>
                <c:pt idx="281">
                  <c:v>1.3699390200160164</c:v>
                </c:pt>
                <c:pt idx="282">
                  <c:v>1.3707530254332907</c:v>
                </c:pt>
                <c:pt idx="283">
                  <c:v>1.3754280608061535</c:v>
                </c:pt>
                <c:pt idx="284">
                  <c:v>1.3776578167552702</c:v>
                </c:pt>
                <c:pt idx="285">
                  <c:v>1.3788730156837752</c:v>
                </c:pt>
                <c:pt idx="286">
                  <c:v>1.3794773238969236</c:v>
                </c:pt>
                <c:pt idx="287">
                  <c:v>1.3821085947394318</c:v>
                </c:pt>
                <c:pt idx="288">
                  <c:v>1.3831171788762258</c:v>
                </c:pt>
                <c:pt idx="289">
                  <c:v>1.3863438677174982</c:v>
                </c:pt>
                <c:pt idx="290">
                  <c:v>1.3907677013190092</c:v>
                </c:pt>
                <c:pt idx="291">
                  <c:v>1.3915731065539343</c:v>
                </c:pt>
                <c:pt idx="292">
                  <c:v>1.3945812674788256</c:v>
                </c:pt>
                <c:pt idx="293">
                  <c:v>1.403368731165733</c:v>
                </c:pt>
                <c:pt idx="294">
                  <c:v>1.4057570727163458</c:v>
                </c:pt>
                <c:pt idx="295">
                  <c:v>1.4087379763304928</c:v>
                </c:pt>
                <c:pt idx="296">
                  <c:v>1.4196153727065612</c:v>
                </c:pt>
                <c:pt idx="297">
                  <c:v>1.4196153727065612</c:v>
                </c:pt>
                <c:pt idx="298">
                  <c:v>1.4215840053166493</c:v>
                </c:pt>
                <c:pt idx="299">
                  <c:v>1.4317815251686397</c:v>
                </c:pt>
                <c:pt idx="300">
                  <c:v>1.4411353255371464</c:v>
                </c:pt>
                <c:pt idx="301">
                  <c:v>1.447723482777665</c:v>
                </c:pt>
                <c:pt idx="302">
                  <c:v>1.4494628627784005</c:v>
                </c:pt>
                <c:pt idx="303">
                  <c:v>1.4533205706626433</c:v>
                </c:pt>
                <c:pt idx="304">
                  <c:v>1.4554355642580534</c:v>
                </c:pt>
                <c:pt idx="305">
                  <c:v>1.4558210312943243</c:v>
                </c:pt>
                <c:pt idx="306">
                  <c:v>1.4720726276922003</c:v>
                </c:pt>
                <c:pt idx="307">
                  <c:v>1.4764408397925384</c:v>
                </c:pt>
                <c:pt idx="308">
                  <c:v>1.4811710714284498</c:v>
                </c:pt>
                <c:pt idx="309">
                  <c:v>1.4945259452896784</c:v>
                </c:pt>
                <c:pt idx="310">
                  <c:v>1.4967682526625203</c:v>
                </c:pt>
                <c:pt idx="311">
                  <c:v>1.5018088580341957</c:v>
                </c:pt>
                <c:pt idx="312">
                  <c:v>1.5025528316803483</c:v>
                </c:pt>
                <c:pt idx="313">
                  <c:v>1.5071972975603238</c:v>
                </c:pt>
                <c:pt idx="314">
                  <c:v>1.5083097305504736</c:v>
                </c:pt>
                <c:pt idx="315">
                  <c:v>1.5086816497969071</c:v>
                </c:pt>
                <c:pt idx="316">
                  <c:v>1.510162581256089</c:v>
                </c:pt>
                <c:pt idx="317">
                  <c:v>1.510162581256089</c:v>
                </c:pt>
                <c:pt idx="318">
                  <c:v>1.5125681001087796</c:v>
                </c:pt>
                <c:pt idx="319">
                  <c:v>1.5134927301455043</c:v>
                </c:pt>
                <c:pt idx="320">
                  <c:v>1.5228811893062493</c:v>
                </c:pt>
                <c:pt idx="321">
                  <c:v>1.5245320680633563</c:v>
                </c:pt>
                <c:pt idx="322">
                  <c:v>1.527458460589123</c:v>
                </c:pt>
                <c:pt idx="323">
                  <c:v>1.5276426017142066</c:v>
                </c:pt>
                <c:pt idx="324">
                  <c:v>1.5302003114343758</c:v>
                </c:pt>
                <c:pt idx="325">
                  <c:v>1.5325702392126699</c:v>
                </c:pt>
                <c:pt idx="326">
                  <c:v>1.5329350739989913</c:v>
                </c:pt>
                <c:pt idx="327">
                  <c:v>1.5342102643045552</c:v>
                </c:pt>
                <c:pt idx="328">
                  <c:v>1.5347557903180458</c:v>
                </c:pt>
                <c:pt idx="329">
                  <c:v>1.5400193915074092</c:v>
                </c:pt>
                <c:pt idx="330">
                  <c:v>1.5434583857839268</c:v>
                </c:pt>
                <c:pt idx="331">
                  <c:v>1.5434583857839268</c:v>
                </c:pt>
                <c:pt idx="332">
                  <c:v>1.5468899198529582</c:v>
                </c:pt>
                <c:pt idx="333">
                  <c:v>1.5479733961919397</c:v>
                </c:pt>
                <c:pt idx="334">
                  <c:v>1.548331193001103</c:v>
                </c:pt>
                <c:pt idx="335">
                  <c:v>1.5497723206752243</c:v>
                </c:pt>
                <c:pt idx="336">
                  <c:v>1.5503106158406135</c:v>
                </c:pt>
                <c:pt idx="337">
                  <c:v>1.5539042807991961</c:v>
                </c:pt>
                <c:pt idx="338">
                  <c:v>1.5549805211113152</c:v>
                </c:pt>
                <c:pt idx="339">
                  <c:v>1.5590974807260833</c:v>
                </c:pt>
                <c:pt idx="340">
                  <c:v>1.5623112379646298</c:v>
                </c:pt>
                <c:pt idx="341">
                  <c:v>1.5640914625937168</c:v>
                </c:pt>
                <c:pt idx="342">
                  <c:v>1.5648028088892865</c:v>
                </c:pt>
                <c:pt idx="343">
                  <c:v>1.5651601354052758</c:v>
                </c:pt>
                <c:pt idx="344">
                  <c:v>1.5655174508548351</c:v>
                </c:pt>
                <c:pt idx="345">
                  <c:v>1.5656944347691237</c:v>
                </c:pt>
                <c:pt idx="346">
                  <c:v>1.5692468851315269</c:v>
                </c:pt>
                <c:pt idx="347">
                  <c:v>1.5724344358553055</c:v>
                </c:pt>
                <c:pt idx="348">
                  <c:v>1.5740261869382326</c:v>
                </c:pt>
                <c:pt idx="349">
                  <c:v>1.5779094357987271</c:v>
                </c:pt>
                <c:pt idx="350">
                  <c:v>1.5865178721567699</c:v>
                </c:pt>
                <c:pt idx="351">
                  <c:v>1.5901895576400831</c:v>
                </c:pt>
                <c:pt idx="352">
                  <c:v>1.591585204402115</c:v>
                </c:pt>
                <c:pt idx="353">
                  <c:v>1.5943725028365383</c:v>
                </c:pt>
                <c:pt idx="354">
                  <c:v>1.5952448058979816</c:v>
                </c:pt>
                <c:pt idx="355">
                  <c:v>1.5954179241644018</c:v>
                </c:pt>
                <c:pt idx="356">
                  <c:v>1.5969824867121145</c:v>
                </c:pt>
                <c:pt idx="357">
                  <c:v>1.5999310583696009</c:v>
                </c:pt>
                <c:pt idx="358">
                  <c:v>1.6016644312844728</c:v>
                </c:pt>
                <c:pt idx="359">
                  <c:v>1.603739996156204</c:v>
                </c:pt>
                <c:pt idx="360">
                  <c:v>1.6056387956267733</c:v>
                </c:pt>
                <c:pt idx="361">
                  <c:v>1.6078828401887983</c:v>
                </c:pt>
                <c:pt idx="362">
                  <c:v>1.6123523383219975</c:v>
                </c:pt>
                <c:pt idx="363">
                  <c:v>1.6140696409147099</c:v>
                </c:pt>
                <c:pt idx="364">
                  <c:v>1.6140696409147099</c:v>
                </c:pt>
                <c:pt idx="365">
                  <c:v>1.6157832193200559</c:v>
                </c:pt>
                <c:pt idx="366">
                  <c:v>1.6214225025960438</c:v>
                </c:pt>
                <c:pt idx="367">
                  <c:v>1.622102626748988</c:v>
                </c:pt>
                <c:pt idx="368">
                  <c:v>1.628223991861419</c:v>
                </c:pt>
                <c:pt idx="369">
                  <c:v>1.6294104738119299</c:v>
                </c:pt>
                <c:pt idx="370">
                  <c:v>1.6314415734415624</c:v>
                </c:pt>
                <c:pt idx="371">
                  <c:v>1.6336376194969247</c:v>
                </c:pt>
                <c:pt idx="372">
                  <c:v>1.6341442916267066</c:v>
                </c:pt>
                <c:pt idx="373">
                  <c:v>1.6363393989941588</c:v>
                </c:pt>
                <c:pt idx="374">
                  <c:v>1.641382210029898</c:v>
                </c:pt>
                <c:pt idx="375">
                  <c:v>1.6510818925319382</c:v>
                </c:pt>
                <c:pt idx="376">
                  <c:v>1.6535776886185678</c:v>
                </c:pt>
                <c:pt idx="377">
                  <c:v>1.6539110371945587</c:v>
                </c:pt>
                <c:pt idx="378">
                  <c:v>1.656398963903398</c:v>
                </c:pt>
                <c:pt idx="379">
                  <c:v>1.6565672046839675</c:v>
                </c:pt>
                <c:pt idx="380">
                  <c:v>1.6567321415877616</c:v>
                </c:pt>
                <c:pt idx="381">
                  <c:v>1.6654895873286839</c:v>
                </c:pt>
                <c:pt idx="382">
                  <c:v>1.6656542470643569</c:v>
                </c:pt>
                <c:pt idx="383">
                  <c:v>1.6679556381728791</c:v>
                </c:pt>
                <c:pt idx="384">
                  <c:v>1.6697624404858422</c:v>
                </c:pt>
                <c:pt idx="385">
                  <c:v>1.6704204957047786</c:v>
                </c:pt>
                <c:pt idx="386">
                  <c:v>1.6710751750634176</c:v>
                </c:pt>
                <c:pt idx="387">
                  <c:v>1.6733675202308045</c:v>
                </c:pt>
                <c:pt idx="388">
                  <c:v>1.6733675202308045</c:v>
                </c:pt>
                <c:pt idx="389">
                  <c:v>1.6772886707099457</c:v>
                </c:pt>
                <c:pt idx="390">
                  <c:v>1.6871971513460982</c:v>
                </c:pt>
                <c:pt idx="391">
                  <c:v>1.6899437459318254</c:v>
                </c:pt>
                <c:pt idx="392">
                  <c:v>1.690910228644424</c:v>
                </c:pt>
                <c:pt idx="393">
                  <c:v>1.693808422092044</c:v>
                </c:pt>
                <c:pt idx="394">
                  <c:v>1.6995859963519293</c:v>
                </c:pt>
                <c:pt idx="395">
                  <c:v>1.7003869180024493</c:v>
                </c:pt>
                <c:pt idx="396">
                  <c:v>1.7089945445813686</c:v>
                </c:pt>
                <c:pt idx="397">
                  <c:v>1.7124866620750472</c:v>
                </c:pt>
                <c:pt idx="398">
                  <c:v>1.7129592184834175</c:v>
                </c:pt>
                <c:pt idx="399">
                  <c:v>1.7132785698169184</c:v>
                </c:pt>
                <c:pt idx="400">
                  <c:v>1.7156500918410302</c:v>
                </c:pt>
                <c:pt idx="401">
                  <c:v>1.7162818235819741</c:v>
                </c:pt>
                <c:pt idx="402">
                  <c:v>1.7164381126975927</c:v>
                </c:pt>
                <c:pt idx="403">
                  <c:v>1.7173854822556018</c:v>
                </c:pt>
                <c:pt idx="404">
                  <c:v>1.7236758721323602</c:v>
                </c:pt>
                <c:pt idx="405">
                  <c:v>1.725872139848643</c:v>
                </c:pt>
                <c:pt idx="406">
                  <c:v>1.7302478342728751</c:v>
                </c:pt>
                <c:pt idx="407">
                  <c:v>1.7384850997984096</c:v>
                </c:pt>
                <c:pt idx="408">
                  <c:v>1.7387925771325938</c:v>
                </c:pt>
                <c:pt idx="409">
                  <c:v>1.7392585970026653</c:v>
                </c:pt>
                <c:pt idx="410">
                  <c:v>1.7394139232754968</c:v>
                </c:pt>
                <c:pt idx="411">
                  <c:v>1.7395676248238643</c:v>
                </c:pt>
                <c:pt idx="412">
                  <c:v>1.745278902822635</c:v>
                </c:pt>
                <c:pt idx="413">
                  <c:v>1.7454307299535803</c:v>
                </c:pt>
                <c:pt idx="414">
                  <c:v>1.7469712325306943</c:v>
                </c:pt>
                <c:pt idx="415">
                  <c:v>1.7552413971272396</c:v>
                </c:pt>
                <c:pt idx="416">
                  <c:v>1.7567661141856865</c:v>
                </c:pt>
                <c:pt idx="417">
                  <c:v>1.7569174199951327</c:v>
                </c:pt>
                <c:pt idx="418">
                  <c:v>1.7642102940560589</c:v>
                </c:pt>
                <c:pt idx="419">
                  <c:v>1.767837613094221</c:v>
                </c:pt>
                <c:pt idx="420">
                  <c:v>1.7691943635682439</c:v>
                </c:pt>
                <c:pt idx="421">
                  <c:v>1.7697971724619697</c:v>
                </c:pt>
                <c:pt idx="422">
                  <c:v>1.780886034409793</c:v>
                </c:pt>
                <c:pt idx="423">
                  <c:v>1.7817803026747649</c:v>
                </c:pt>
                <c:pt idx="424">
                  <c:v>1.7860928825147984</c:v>
                </c:pt>
                <c:pt idx="425">
                  <c:v>1.7874269913022243</c:v>
                </c:pt>
                <c:pt idx="426">
                  <c:v>1.7892048331683668</c:v>
                </c:pt>
                <c:pt idx="427">
                  <c:v>1.79038785036208</c:v>
                </c:pt>
                <c:pt idx="428">
                  <c:v>1.790978377276752</c:v>
                </c:pt>
                <c:pt idx="429">
                  <c:v>1.790978377276752</c:v>
                </c:pt>
                <c:pt idx="430">
                  <c:v>1.7923085977933315</c:v>
                </c:pt>
                <c:pt idx="431">
                  <c:v>1.7948129752980675</c:v>
                </c:pt>
                <c:pt idx="432">
                  <c:v>1.7968720238053713</c:v>
                </c:pt>
                <c:pt idx="433">
                  <c:v>1.8024392493571937</c:v>
                </c:pt>
                <c:pt idx="434">
                  <c:v>1.803171384347964</c:v>
                </c:pt>
                <c:pt idx="435">
                  <c:v>1.8033171535691122</c:v>
                </c:pt>
                <c:pt idx="436">
                  <c:v>1.8050689301583465</c:v>
                </c:pt>
                <c:pt idx="437">
                  <c:v>1.8073986160916349</c:v>
                </c:pt>
                <c:pt idx="438">
                  <c:v>1.8098684874360074</c:v>
                </c:pt>
                <c:pt idx="439">
                  <c:v>1.8100138872279909</c:v>
                </c:pt>
                <c:pt idx="440">
                  <c:v>1.813055929802375</c:v>
                </c:pt>
                <c:pt idx="441">
                  <c:v>1.8204091513723153</c:v>
                </c:pt>
                <c:pt idx="442">
                  <c:v>1.8209835797162683</c:v>
                </c:pt>
                <c:pt idx="443">
                  <c:v>1.8211283462533099</c:v>
                </c:pt>
                <c:pt idx="444">
                  <c:v>1.8237075515153041</c:v>
                </c:pt>
                <c:pt idx="445">
                  <c:v>1.8282805568597582</c:v>
                </c:pt>
                <c:pt idx="446">
                  <c:v>1.8312722132466099</c:v>
                </c:pt>
                <c:pt idx="447">
                  <c:v>1.8314132371317366</c:v>
                </c:pt>
                <c:pt idx="448">
                  <c:v>1.8339690243322431</c:v>
                </c:pt>
                <c:pt idx="449">
                  <c:v>1.8358089876559469</c:v>
                </c:pt>
                <c:pt idx="450">
                  <c:v>1.8377897188250376</c:v>
                </c:pt>
                <c:pt idx="451">
                  <c:v>1.8383537715932521</c:v>
                </c:pt>
                <c:pt idx="452">
                  <c:v>1.8393409254589417</c:v>
                </c:pt>
                <c:pt idx="453">
                  <c:v>1.8400466703893537</c:v>
                </c:pt>
                <c:pt idx="454">
                  <c:v>1.8407522000475611</c:v>
                </c:pt>
                <c:pt idx="455">
                  <c:v>1.8438464804817247</c:v>
                </c:pt>
                <c:pt idx="456">
                  <c:v>1.8441270045922615</c:v>
                </c:pt>
                <c:pt idx="457">
                  <c:v>1.8474905902319272</c:v>
                </c:pt>
                <c:pt idx="458">
                  <c:v>1.8504233904851064</c:v>
                </c:pt>
                <c:pt idx="459">
                  <c:v>1.8518169047508743</c:v>
                </c:pt>
                <c:pt idx="460">
                  <c:v>1.8529301529746829</c:v>
                </c:pt>
                <c:pt idx="461">
                  <c:v>1.8543205339806379</c:v>
                </c:pt>
                <c:pt idx="462">
                  <c:v>1.8557100327726748</c:v>
                </c:pt>
                <c:pt idx="463">
                  <c:v>1.8570955472114477</c:v>
                </c:pt>
                <c:pt idx="464">
                  <c:v>1.8591721577722846</c:v>
                </c:pt>
                <c:pt idx="465">
                  <c:v>1.8642753713979483</c:v>
                </c:pt>
                <c:pt idx="466">
                  <c:v>1.8681166697558773</c:v>
                </c:pt>
                <c:pt idx="467">
                  <c:v>1.8693493214752057</c:v>
                </c:pt>
                <c:pt idx="468">
                  <c:v>1.8697605557542907</c:v>
                </c:pt>
                <c:pt idx="469">
                  <c:v>1.8716739494661847</c:v>
                </c:pt>
                <c:pt idx="470">
                  <c:v>1.8837452073317498</c:v>
                </c:pt>
                <c:pt idx="471">
                  <c:v>1.8852266194763903</c:v>
                </c:pt>
                <c:pt idx="472">
                  <c:v>1.8854955686185551</c:v>
                </c:pt>
                <c:pt idx="473">
                  <c:v>1.8896564664327118</c:v>
                </c:pt>
                <c:pt idx="474">
                  <c:v>1.8931327321949274</c:v>
                </c:pt>
                <c:pt idx="475">
                  <c:v>1.89379922898343</c:v>
                </c:pt>
                <c:pt idx="476">
                  <c:v>1.8940669788556785</c:v>
                </c:pt>
                <c:pt idx="477">
                  <c:v>1.8956650799369619</c:v>
                </c:pt>
                <c:pt idx="478">
                  <c:v>1.9000463824636915</c:v>
                </c:pt>
                <c:pt idx="479">
                  <c:v>1.9013696652646457</c:v>
                </c:pt>
                <c:pt idx="480">
                  <c:v>1.9021634808199739</c:v>
                </c:pt>
                <c:pt idx="481">
                  <c:v>1.9028237217452861</c:v>
                </c:pt>
                <c:pt idx="482">
                  <c:v>1.9050661495807815</c:v>
                </c:pt>
                <c:pt idx="483">
                  <c:v>1.9103208460617067</c:v>
                </c:pt>
                <c:pt idx="484">
                  <c:v>1.9109750910743666</c:v>
                </c:pt>
                <c:pt idx="485">
                  <c:v>1.9126743954760512</c:v>
                </c:pt>
                <c:pt idx="486">
                  <c:v>1.9130658472039894</c:v>
                </c:pt>
                <c:pt idx="487">
                  <c:v>1.9130658472039894</c:v>
                </c:pt>
                <c:pt idx="488">
                  <c:v>1.9185339889443482</c:v>
                </c:pt>
                <c:pt idx="489">
                  <c:v>1.9230646105629754</c:v>
                </c:pt>
                <c:pt idx="490">
                  <c:v>1.9256444981214671</c:v>
                </c:pt>
                <c:pt idx="491">
                  <c:v>1.9296269267000792</c:v>
                </c:pt>
                <c:pt idx="492">
                  <c:v>1.9318021783317736</c:v>
                </c:pt>
                <c:pt idx="493">
                  <c:v>1.9376639161054829</c:v>
                </c:pt>
                <c:pt idx="494">
                  <c:v>1.9407052844356387</c:v>
                </c:pt>
                <c:pt idx="495">
                  <c:v>1.9453775062551864</c:v>
                </c:pt>
                <c:pt idx="496">
                  <c:v>1.9461302668979326</c:v>
                </c:pt>
                <c:pt idx="497">
                  <c:v>1.9493939145134864</c:v>
                </c:pt>
                <c:pt idx="498">
                  <c:v>1.9493939145134864</c:v>
                </c:pt>
                <c:pt idx="499">
                  <c:v>1.957497840484423</c:v>
                </c:pt>
                <c:pt idx="500">
                  <c:v>1.9577468192363199</c:v>
                </c:pt>
                <c:pt idx="501">
                  <c:v>1.9599769855267539</c:v>
                </c:pt>
                <c:pt idx="502">
                  <c:v>1.9614589815308685</c:v>
                </c:pt>
                <c:pt idx="503">
                  <c:v>1.9635551981533814</c:v>
                </c:pt>
                <c:pt idx="504">
                  <c:v>1.9651559933866394</c:v>
                </c:pt>
                <c:pt idx="505">
                  <c:v>1.9690805191492022</c:v>
                </c:pt>
                <c:pt idx="506">
                  <c:v>1.971889630846684</c:v>
                </c:pt>
                <c:pt idx="507">
                  <c:v>1.9738375025058346</c:v>
                </c:pt>
                <c:pt idx="508">
                  <c:v>1.9767513746257777</c:v>
                </c:pt>
                <c:pt idx="509">
                  <c:v>1.9803801193277986</c:v>
                </c:pt>
                <c:pt idx="510">
                  <c:v>1.9805012017969261</c:v>
                </c:pt>
                <c:pt idx="511">
                  <c:v>1.9811035726707629</c:v>
                </c:pt>
                <c:pt idx="512">
                  <c:v>1.9885434507750754</c:v>
                </c:pt>
                <c:pt idx="513">
                  <c:v>1.9889016190021878</c:v>
                </c:pt>
                <c:pt idx="514">
                  <c:v>1.9891393895756364</c:v>
                </c:pt>
                <c:pt idx="515">
                  <c:v>1.9925922835266663</c:v>
                </c:pt>
                <c:pt idx="516">
                  <c:v>1.9952024000460082</c:v>
                </c:pt>
                <c:pt idx="517">
                  <c:v>1.9966229959595339</c:v>
                </c:pt>
                <c:pt idx="518">
                  <c:v>1.9986294068491226</c:v>
                </c:pt>
                <c:pt idx="519">
                  <c:v>2.0015707430212961</c:v>
                </c:pt>
                <c:pt idx="520">
                  <c:v>2.0028624444092071</c:v>
                </c:pt>
                <c:pt idx="521">
                  <c:v>2.0036813049017432</c:v>
                </c:pt>
                <c:pt idx="522">
                  <c:v>2.0043835717696474</c:v>
                </c:pt>
                <c:pt idx="523">
                  <c:v>2.0048520039104458</c:v>
                </c:pt>
                <c:pt idx="524">
                  <c:v>2.0053202615639569</c:v>
                </c:pt>
                <c:pt idx="525">
                  <c:v>2.0082362051100735</c:v>
                </c:pt>
                <c:pt idx="526">
                  <c:v>2.0100960638382857</c:v>
                </c:pt>
                <c:pt idx="527">
                  <c:v>2.0107933172317072</c:v>
                </c:pt>
                <c:pt idx="528">
                  <c:v>2.0112565256715418</c:v>
                </c:pt>
                <c:pt idx="529">
                  <c:v>2.0122991603934368</c:v>
                </c:pt>
                <c:pt idx="530">
                  <c:v>2.0141500705317554</c:v>
                </c:pt>
                <c:pt idx="531">
                  <c:v>2.0147271132064724</c:v>
                </c:pt>
                <c:pt idx="532">
                  <c:v>2.0166878426080457</c:v>
                </c:pt>
                <c:pt idx="533">
                  <c:v>2.0174919684281494</c:v>
                </c:pt>
                <c:pt idx="534">
                  <c:v>2.0195600401983191</c:v>
                </c:pt>
                <c:pt idx="535">
                  <c:v>2.0213928330957454</c:v>
                </c:pt>
                <c:pt idx="536">
                  <c:v>2.0267490939776578</c:v>
                </c:pt>
                <c:pt idx="537">
                  <c:v>2.0270880798446345</c:v>
                </c:pt>
                <c:pt idx="538">
                  <c:v>2.0315024389943064</c:v>
                </c:pt>
                <c:pt idx="539">
                  <c:v>2.0344294341604527</c:v>
                </c:pt>
                <c:pt idx="540">
                  <c:v>2.0346529998610259</c:v>
                </c:pt>
                <c:pt idx="541">
                  <c:v>2.0352158572086259</c:v>
                </c:pt>
                <c:pt idx="542">
                  <c:v>2.0380148972370482</c:v>
                </c:pt>
                <c:pt idx="543">
                  <c:v>2.0393568171421501</c:v>
                </c:pt>
                <c:pt idx="544">
                  <c:v>2.0395793963437954</c:v>
                </c:pt>
                <c:pt idx="545">
                  <c:v>2.0413611551743647</c:v>
                </c:pt>
                <c:pt idx="546">
                  <c:v>2.0461292963425781</c:v>
                </c:pt>
                <c:pt idx="547">
                  <c:v>2.0466808462227188</c:v>
                </c:pt>
                <c:pt idx="548">
                  <c:v>2.0471229736915193</c:v>
                </c:pt>
                <c:pt idx="549">
                  <c:v>2.0488869348525474</c:v>
                </c:pt>
                <c:pt idx="550">
                  <c:v>2.0509742796140773</c:v>
                </c:pt>
                <c:pt idx="551">
                  <c:v>2.0515233262425041</c:v>
                </c:pt>
                <c:pt idx="552">
                  <c:v>2.051960727977713</c:v>
                </c:pt>
                <c:pt idx="553">
                  <c:v>2.0545867343730349</c:v>
                </c:pt>
                <c:pt idx="554">
                  <c:v>2.0567655227152901</c:v>
                </c:pt>
                <c:pt idx="555">
                  <c:v>2.058397279421218</c:v>
                </c:pt>
                <c:pt idx="556">
                  <c:v>2.0601315506303459</c:v>
                </c:pt>
                <c:pt idx="557">
                  <c:v>2.0622932288085485</c:v>
                </c:pt>
                <c:pt idx="558">
                  <c:v>2.0630485927900533</c:v>
                </c:pt>
                <c:pt idx="559">
                  <c:v>2.0640181765294909</c:v>
                </c:pt>
                <c:pt idx="560">
                  <c:v>2.064447609812694</c:v>
                </c:pt>
                <c:pt idx="561">
                  <c:v>2.0658446765175289</c:v>
                </c:pt>
                <c:pt idx="562">
                  <c:v>2.0660590242547348</c:v>
                </c:pt>
                <c:pt idx="563">
                  <c:v>2.0663817984624098</c:v>
                </c:pt>
                <c:pt idx="564">
                  <c:v>2.0721484711446378</c:v>
                </c:pt>
                <c:pt idx="565">
                  <c:v>2.0725743825200218</c:v>
                </c:pt>
                <c:pt idx="566">
                  <c:v>2.0745895961315841</c:v>
                </c:pt>
                <c:pt idx="567">
                  <c:v>2.0760704023642647</c:v>
                </c:pt>
                <c:pt idx="568">
                  <c:v>2.0764945846270844</c:v>
                </c:pt>
                <c:pt idx="569">
                  <c:v>2.0778652595527216</c:v>
                </c:pt>
                <c:pt idx="570">
                  <c:v>2.0805993628170389</c:v>
                </c:pt>
                <c:pt idx="571">
                  <c:v>2.0808104668429794</c:v>
                </c:pt>
                <c:pt idx="572">
                  <c:v>2.0838450958279569</c:v>
                </c:pt>
                <c:pt idx="573">
                  <c:v>2.0875930338668764</c:v>
                </c:pt>
                <c:pt idx="574">
                  <c:v>2.0876977982379472</c:v>
                </c:pt>
                <c:pt idx="575">
                  <c:v>2.0883182806206277</c:v>
                </c:pt>
                <c:pt idx="576">
                  <c:v>2.0909055983154121</c:v>
                </c:pt>
                <c:pt idx="577">
                  <c:v>2.091628200798322</c:v>
                </c:pt>
                <c:pt idx="578">
                  <c:v>2.092761802219715</c:v>
                </c:pt>
                <c:pt idx="579">
                  <c:v>2.0971730052618294</c:v>
                </c:pt>
                <c:pt idx="580">
                  <c:v>2.1012475600831837</c:v>
                </c:pt>
                <c:pt idx="581">
                  <c:v>2.105092464788807</c:v>
                </c:pt>
                <c:pt idx="582">
                  <c:v>2.1089149569301111</c:v>
                </c:pt>
                <c:pt idx="583">
                  <c:v>2.1094158188851511</c:v>
                </c:pt>
                <c:pt idx="584">
                  <c:v>2.1105161482384287</c:v>
                </c:pt>
                <c:pt idx="585">
                  <c:v>2.1127111699598089</c:v>
                </c:pt>
                <c:pt idx="586">
                  <c:v>2.1146998533642223</c:v>
                </c:pt>
                <c:pt idx="587">
                  <c:v>2.1191500840060153</c:v>
                </c:pt>
                <c:pt idx="588">
                  <c:v>2.1192485314475316</c:v>
                </c:pt>
                <c:pt idx="589">
                  <c:v>2.1199373248511972</c:v>
                </c:pt>
                <c:pt idx="590">
                  <c:v>2.1211167330008762</c:v>
                </c:pt>
                <c:pt idx="591">
                  <c:v>2.1239547315158247</c:v>
                </c:pt>
                <c:pt idx="592">
                  <c:v>2.124541667114821</c:v>
                </c:pt>
                <c:pt idx="593">
                  <c:v>2.127267387182465</c:v>
                </c:pt>
                <c:pt idx="594">
                  <c:v>2.127267387182465</c:v>
                </c:pt>
                <c:pt idx="595">
                  <c:v>2.129109136379959</c:v>
                </c:pt>
                <c:pt idx="596">
                  <c:v>2.1345979949535256</c:v>
                </c:pt>
                <c:pt idx="597">
                  <c:v>2.1361282377992494</c:v>
                </c:pt>
                <c:pt idx="598">
                  <c:v>2.1361282377992494</c:v>
                </c:pt>
                <c:pt idx="599">
                  <c:v>2.1362245455362689</c:v>
                </c:pt>
                <c:pt idx="600">
                  <c:v>2.1402225864650273</c:v>
                </c:pt>
                <c:pt idx="601">
                  <c:v>2.1406019287890112</c:v>
                </c:pt>
                <c:pt idx="602">
                  <c:v>2.1430597889719025</c:v>
                </c:pt>
                <c:pt idx="603">
                  <c:v>2.1448507414055373</c:v>
                </c:pt>
                <c:pt idx="604">
                  <c:v>2.1462586130993437</c:v>
                </c:pt>
                <c:pt idx="605">
                  <c:v>2.1463523724824327</c:v>
                </c:pt>
                <c:pt idx="606">
                  <c:v>2.1478508413375077</c:v>
                </c:pt>
                <c:pt idx="607">
                  <c:v>2.1493437150225962</c:v>
                </c:pt>
                <c:pt idx="608">
                  <c:v>2.1495304046708621</c:v>
                </c:pt>
                <c:pt idx="609">
                  <c:v>2.1495304046708621</c:v>
                </c:pt>
                <c:pt idx="610">
                  <c:v>2.1495304046708621</c:v>
                </c:pt>
                <c:pt idx="611">
                  <c:v>2.1509265730851057</c:v>
                </c:pt>
                <c:pt idx="612">
                  <c:v>2.1521340060576817</c:v>
                </c:pt>
                <c:pt idx="613">
                  <c:v>2.152503430501024</c:v>
                </c:pt>
                <c:pt idx="614">
                  <c:v>2.1529667430362642</c:v>
                </c:pt>
                <c:pt idx="615">
                  <c:v>2.1545389582797014</c:v>
                </c:pt>
                <c:pt idx="616">
                  <c:v>2.1561051745605186</c:v>
                </c:pt>
                <c:pt idx="617">
                  <c:v>2.1562900463292052</c:v>
                </c:pt>
                <c:pt idx="618">
                  <c:v>2.1577600240226973</c:v>
                </c:pt>
                <c:pt idx="619">
                  <c:v>2.1578510432441798</c:v>
                </c:pt>
                <c:pt idx="620">
                  <c:v>2.1580342420910186</c:v>
                </c:pt>
                <c:pt idx="621">
                  <c:v>2.1590415438703885</c:v>
                </c:pt>
                <c:pt idx="622">
                  <c:v>2.1601392398074828</c:v>
                </c:pt>
                <c:pt idx="623">
                  <c:v>2.1615055513189714</c:v>
                </c:pt>
                <c:pt idx="624">
                  <c:v>2.1622340551798369</c:v>
                </c:pt>
                <c:pt idx="625">
                  <c:v>2.1628690557378967</c:v>
                </c:pt>
                <c:pt idx="626">
                  <c:v>2.1644111963576447</c:v>
                </c:pt>
                <c:pt idx="627">
                  <c:v>2.1651353077383004</c:v>
                </c:pt>
                <c:pt idx="628">
                  <c:v>2.1660372479875325</c:v>
                </c:pt>
                <c:pt idx="629">
                  <c:v>2.1669391189375271</c:v>
                </c:pt>
                <c:pt idx="630">
                  <c:v>2.1681086125585751</c:v>
                </c:pt>
                <c:pt idx="631">
                  <c:v>2.1684681206120877</c:v>
                </c:pt>
                <c:pt idx="632">
                  <c:v>2.1704388792563063</c:v>
                </c:pt>
                <c:pt idx="633">
                  <c:v>2.1707066675571056</c:v>
                </c:pt>
                <c:pt idx="634">
                  <c:v>2.1734695361039895</c:v>
                </c:pt>
                <c:pt idx="635">
                  <c:v>2.1746235750623009</c:v>
                </c:pt>
                <c:pt idx="636">
                  <c:v>2.1747122590220016</c:v>
                </c:pt>
                <c:pt idx="637">
                  <c:v>2.1762167901608898</c:v>
                </c:pt>
                <c:pt idx="638">
                  <c:v>2.1776282555363258</c:v>
                </c:pt>
                <c:pt idx="639">
                  <c:v>2.1792994441807227</c:v>
                </c:pt>
                <c:pt idx="640">
                  <c:v>2.1796491074318891</c:v>
                </c:pt>
                <c:pt idx="641">
                  <c:v>2.1808771219776162</c:v>
                </c:pt>
                <c:pt idx="642">
                  <c:v>2.1812258770696826</c:v>
                </c:pt>
                <c:pt idx="643">
                  <c:v>2.1814890422077671</c:v>
                </c:pt>
                <c:pt idx="644">
                  <c:v>2.182012721975402</c:v>
                </c:pt>
                <c:pt idx="645">
                  <c:v>2.1836672664288419</c:v>
                </c:pt>
                <c:pt idx="646">
                  <c:v>2.1837546445608291</c:v>
                </c:pt>
                <c:pt idx="647">
                  <c:v>2.184015552986144</c:v>
                </c:pt>
                <c:pt idx="648">
                  <c:v>2.1904862164578351</c:v>
                </c:pt>
                <c:pt idx="649">
                  <c:v>2.1917701625349957</c:v>
                </c:pt>
                <c:pt idx="650">
                  <c:v>2.1932209229335866</c:v>
                </c:pt>
                <c:pt idx="651">
                  <c:v>2.1961912425845607</c:v>
                </c:pt>
                <c:pt idx="652">
                  <c:v>2.1981332231583171</c:v>
                </c:pt>
                <c:pt idx="653">
                  <c:v>2.1997297763157029</c:v>
                </c:pt>
                <c:pt idx="654">
                  <c:v>2.2053984907736761</c:v>
                </c:pt>
                <c:pt idx="655">
                  <c:v>2.2091082847951733</c:v>
                </c:pt>
                <c:pt idx="656">
                  <c:v>2.2100105434340214</c:v>
                </c:pt>
                <c:pt idx="657">
                  <c:v>2.2104205431539636</c:v>
                </c:pt>
                <c:pt idx="658">
                  <c:v>2.2122975662827336</c:v>
                </c:pt>
                <c:pt idx="659">
                  <c:v>2.2127057548562048</c:v>
                </c:pt>
                <c:pt idx="660">
                  <c:v>2.2152207991851576</c:v>
                </c:pt>
                <c:pt idx="661">
                  <c:v>2.2158674041779132</c:v>
                </c:pt>
                <c:pt idx="662">
                  <c:v>2.2168346751397485</c:v>
                </c:pt>
                <c:pt idx="663">
                  <c:v>2.2179609822904696</c:v>
                </c:pt>
                <c:pt idx="664">
                  <c:v>2.2182027741093209</c:v>
                </c:pt>
                <c:pt idx="665">
                  <c:v>2.2186040615976466</c:v>
                </c:pt>
                <c:pt idx="666">
                  <c:v>2.219564967124906</c:v>
                </c:pt>
                <c:pt idx="667">
                  <c:v>2.2203650117105664</c:v>
                </c:pt>
                <c:pt idx="668">
                  <c:v>2.2213224902544</c:v>
                </c:pt>
                <c:pt idx="669">
                  <c:v>2.2214018382572838</c:v>
                </c:pt>
                <c:pt idx="670">
                  <c:v>2.2221175313463482</c:v>
                </c:pt>
                <c:pt idx="671">
                  <c:v>2.2225947890768527</c:v>
                </c:pt>
                <c:pt idx="672">
                  <c:v>2.2242582976077148</c:v>
                </c:pt>
                <c:pt idx="673">
                  <c:v>2.2281921836978134</c:v>
                </c:pt>
                <c:pt idx="674">
                  <c:v>2.232164680017255</c:v>
                </c:pt>
                <c:pt idx="675">
                  <c:v>2.2331697427161847</c:v>
                </c:pt>
                <c:pt idx="676">
                  <c:v>2.2334018491554866</c:v>
                </c:pt>
                <c:pt idx="677">
                  <c:v>2.2344041919497712</c:v>
                </c:pt>
                <c:pt idx="678">
                  <c:v>2.2360178857690336</c:v>
                </c:pt>
                <c:pt idx="679">
                  <c:v>2.2371657999207621</c:v>
                </c:pt>
                <c:pt idx="680">
                  <c:v>2.2391484590993898</c:v>
                </c:pt>
                <c:pt idx="681">
                  <c:v>2.2402872701950303</c:v>
                </c:pt>
                <c:pt idx="682">
                  <c:v>2.2405136488806137</c:v>
                </c:pt>
                <c:pt idx="683">
                  <c:v>2.2408930842975447</c:v>
                </c:pt>
                <c:pt idx="684">
                  <c:v>2.243305876490354</c:v>
                </c:pt>
                <c:pt idx="685">
                  <c:v>2.2435317043447971</c:v>
                </c:pt>
                <c:pt idx="686">
                  <c:v>2.2439809622940809</c:v>
                </c:pt>
                <c:pt idx="687">
                  <c:v>2.2451793905217929</c:v>
                </c:pt>
                <c:pt idx="688">
                  <c:v>2.2456279312504743</c:v>
                </c:pt>
                <c:pt idx="689">
                  <c:v>2.2474902167367437</c:v>
                </c:pt>
                <c:pt idx="690">
                  <c:v>2.2477866482718336</c:v>
                </c:pt>
                <c:pt idx="691">
                  <c:v>2.2488240148337075</c:v>
                </c:pt>
                <c:pt idx="692">
                  <c:v>2.2497843192818214</c:v>
                </c:pt>
                <c:pt idx="693">
                  <c:v>2.2508899753531009</c:v>
                </c:pt>
                <c:pt idx="694">
                  <c:v>2.255201337750905</c:v>
                </c:pt>
                <c:pt idx="695">
                  <c:v>2.2560723465530645</c:v>
                </c:pt>
                <c:pt idx="696">
                  <c:v>2.2589572939062132</c:v>
                </c:pt>
                <c:pt idx="697">
                  <c:v>2.2600319535043063</c:v>
                </c:pt>
                <c:pt idx="698">
                  <c:v>2.2628818012273362</c:v>
                </c:pt>
                <c:pt idx="699">
                  <c:v>2.2671801260604729</c:v>
                </c:pt>
                <c:pt idx="700">
                  <c:v>2.2685769407908092</c:v>
                </c:pt>
                <c:pt idx="701">
                  <c:v>2.2694120835367104</c:v>
                </c:pt>
                <c:pt idx="702">
                  <c:v>2.2694120835367104</c:v>
                </c:pt>
                <c:pt idx="703">
                  <c:v>2.2705219785943833</c:v>
                </c:pt>
                <c:pt idx="704">
                  <c:v>2.2714211303119822</c:v>
                </c:pt>
                <c:pt idx="705">
                  <c:v>2.2714896169124006</c:v>
                </c:pt>
                <c:pt idx="706">
                  <c:v>2.2742390427189378</c:v>
                </c:pt>
                <c:pt idx="707">
                  <c:v>2.2743749137931251</c:v>
                </c:pt>
                <c:pt idx="708">
                  <c:v>2.2751269079225094</c:v>
                </c:pt>
                <c:pt idx="709">
                  <c:v>2.2768939712319725</c:v>
                </c:pt>
                <c:pt idx="710">
                  <c:v>2.2768939712319725</c:v>
                </c:pt>
                <c:pt idx="711">
                  <c:v>2.2775040409500424</c:v>
                </c:pt>
                <c:pt idx="712">
                  <c:v>2.2780439597004603</c:v>
                </c:pt>
                <c:pt idx="713">
                  <c:v>2.279056093804138</c:v>
                </c:pt>
                <c:pt idx="714">
                  <c:v>2.2808001414484242</c:v>
                </c:pt>
                <c:pt idx="715">
                  <c:v>2.284851300420776</c:v>
                </c:pt>
                <c:pt idx="716">
                  <c:v>2.2849171309479055</c:v>
                </c:pt>
                <c:pt idx="717">
                  <c:v>2.286298292253182</c:v>
                </c:pt>
                <c:pt idx="718">
                  <c:v>2.2872163708662558</c:v>
                </c:pt>
                <c:pt idx="719">
                  <c:v>2.2875429668282101</c:v>
                </c:pt>
                <c:pt idx="720">
                  <c:v>2.2879344376674795</c:v>
                </c:pt>
                <c:pt idx="721">
                  <c:v>2.288715924182346</c:v>
                </c:pt>
                <c:pt idx="722">
                  <c:v>2.2914984973979595</c:v>
                </c:pt>
                <c:pt idx="723">
                  <c:v>2.2916909286059943</c:v>
                </c:pt>
                <c:pt idx="724">
                  <c:v>2.2935499051769765</c:v>
                </c:pt>
                <c:pt idx="725">
                  <c:v>2.2938689936698302</c:v>
                </c:pt>
                <c:pt idx="726">
                  <c:v>2.295141968505042</c:v>
                </c:pt>
                <c:pt idx="727">
                  <c:v>2.2981728993723838</c:v>
                </c:pt>
                <c:pt idx="728">
                  <c:v>2.2987991007594903</c:v>
                </c:pt>
                <c:pt idx="729">
                  <c:v>2.2988619958850647</c:v>
                </c:pt>
                <c:pt idx="730">
                  <c:v>2.3009810102743988</c:v>
                </c:pt>
                <c:pt idx="731">
                  <c:v>2.3037581884212721</c:v>
                </c:pt>
                <c:pt idx="732">
                  <c:v>2.3044937803034888</c:v>
                </c:pt>
                <c:pt idx="733">
                  <c:v>2.3064440781923996</c:v>
                </c:pt>
                <c:pt idx="734">
                  <c:v>2.3070503710569659</c:v>
                </c:pt>
                <c:pt idx="735">
                  <c:v>2.3076553027934934</c:v>
                </c:pt>
                <c:pt idx="736">
                  <c:v>2.3081372536776317</c:v>
                </c:pt>
                <c:pt idx="737">
                  <c:v>2.3119049164601515</c:v>
                </c:pt>
                <c:pt idx="738">
                  <c:v>2.3120830575180755</c:v>
                </c:pt>
                <c:pt idx="739">
                  <c:v>2.3124971333301052</c:v>
                </c:pt>
                <c:pt idx="740">
                  <c:v>2.3130879863452143</c:v>
                </c:pt>
                <c:pt idx="741">
                  <c:v>2.3143827268114019</c:v>
                </c:pt>
                <c:pt idx="742">
                  <c:v>2.3147930784682993</c:v>
                </c:pt>
                <c:pt idx="743">
                  <c:v>2.3150267945943019</c:v>
                </c:pt>
                <c:pt idx="744">
                  <c:v>2.3164261518751585</c:v>
                </c:pt>
                <c:pt idx="745">
                  <c:v>2.3169490859801973</c:v>
                </c:pt>
                <c:pt idx="746">
                  <c:v>2.3172965493873119</c:v>
                </c:pt>
                <c:pt idx="747">
                  <c:v>2.3187973516180715</c:v>
                </c:pt>
                <c:pt idx="748">
                  <c:v>2.3190272984827129</c:v>
                </c:pt>
                <c:pt idx="749">
                  <c:v>2.3193144241305648</c:v>
                </c:pt>
                <c:pt idx="750">
                  <c:v>2.3198876484668425</c:v>
                </c:pt>
                <c:pt idx="751">
                  <c:v>2.3203452414557648</c:v>
                </c:pt>
                <c:pt idx="752">
                  <c:v>2.3205158083619168</c:v>
                </c:pt>
                <c:pt idx="753">
                  <c:v>2.3225602421266025</c:v>
                </c:pt>
                <c:pt idx="754">
                  <c:v>2.3226168447878273</c:v>
                </c:pt>
                <c:pt idx="755">
                  <c:v>2.3226734336955119</c:v>
                </c:pt>
                <c:pt idx="756">
                  <c:v>2.323068375285199</c:v>
                </c:pt>
                <c:pt idx="757">
                  <c:v>2.3249762010176829</c:v>
                </c:pt>
                <c:pt idx="758">
                  <c:v>2.3258683733076175</c:v>
                </c:pt>
                <c:pt idx="759">
                  <c:v>2.3273644218942757</c:v>
                </c:pt>
                <c:pt idx="760">
                  <c:v>2.3277505074793075</c:v>
                </c:pt>
                <c:pt idx="761">
                  <c:v>2.3297241243232696</c:v>
                </c:pt>
                <c:pt idx="762">
                  <c:v>2.3298329900311714</c:v>
                </c:pt>
                <c:pt idx="763">
                  <c:v>2.3322721673296605</c:v>
                </c:pt>
                <c:pt idx="764">
                  <c:v>2.3330240308948547</c:v>
                </c:pt>
                <c:pt idx="765">
                  <c:v>2.3345732603914673</c:v>
                </c:pt>
                <c:pt idx="766">
                  <c:v>2.3360569522209427</c:v>
                </c:pt>
                <c:pt idx="767">
                  <c:v>2.3361101425538791</c:v>
                </c:pt>
                <c:pt idx="768">
                  <c:v>2.3364783441224084</c:v>
                </c:pt>
                <c:pt idx="769">
                  <c:v>2.3379993326470747</c:v>
                </c:pt>
                <c:pt idx="770">
                  <c:v>2.3388330683391767</c:v>
                </c:pt>
                <c:pt idx="771">
                  <c:v>2.3390413188547341</c:v>
                </c:pt>
                <c:pt idx="772">
                  <c:v>2.3392486101815697</c:v>
                </c:pt>
                <c:pt idx="773">
                  <c:v>2.3394041182323608</c:v>
                </c:pt>
                <c:pt idx="774">
                  <c:v>2.3410035088815797</c:v>
                </c:pt>
                <c:pt idx="775">
                  <c:v>2.3417203544547047</c:v>
                </c:pt>
                <c:pt idx="776">
                  <c:v>2.3429435554803466</c:v>
                </c:pt>
                <c:pt idx="777">
                  <c:v>2.3431972053228276</c:v>
                </c:pt>
                <c:pt idx="778">
                  <c:v>2.3439560802069055</c:v>
                </c:pt>
                <c:pt idx="779">
                  <c:v>2.3440064173646369</c:v>
                </c:pt>
                <c:pt idx="780">
                  <c:v>2.3460626447674837</c:v>
                </c:pt>
                <c:pt idx="781">
                  <c:v>2.3472056829001602</c:v>
                </c:pt>
                <c:pt idx="782">
                  <c:v>2.3472551216821724</c:v>
                </c:pt>
                <c:pt idx="783">
                  <c:v>2.3482416951991456</c:v>
                </c:pt>
                <c:pt idx="784">
                  <c:v>2.3488795401761258</c:v>
                </c:pt>
                <c:pt idx="785">
                  <c:v>2.3498569631265829</c:v>
                </c:pt>
                <c:pt idx="786">
                  <c:v>2.3500516421315867</c:v>
                </c:pt>
                <c:pt idx="787">
                  <c:v>2.3512626635397589</c:v>
                </c:pt>
                <c:pt idx="788">
                  <c:v>2.3527510747376503</c:v>
                </c:pt>
                <c:pt idx="789">
                  <c:v>2.3538469102373223</c:v>
                </c:pt>
                <c:pt idx="790">
                  <c:v>2.3540837785282429</c:v>
                </c:pt>
                <c:pt idx="791">
                  <c:v>2.3545098086017511</c:v>
                </c:pt>
                <c:pt idx="792">
                  <c:v>2.3562474842811825</c:v>
                </c:pt>
                <c:pt idx="793">
                  <c:v>2.3567598059518788</c:v>
                </c:pt>
                <c:pt idx="794">
                  <c:v>2.3571321340165077</c:v>
                </c:pt>
                <c:pt idx="795">
                  <c:v>2.3571780302923226</c:v>
                </c:pt>
                <c:pt idx="796">
                  <c:v>2.3575486912854595</c:v>
                </c:pt>
                <c:pt idx="797">
                  <c:v>2.3591137310493138</c:v>
                </c:pt>
                <c:pt idx="798">
                  <c:v>2.3597532853381087</c:v>
                </c:pt>
                <c:pt idx="799">
                  <c:v>2.3630398514941788</c:v>
                </c:pt>
                <c:pt idx="800">
                  <c:v>2.3634394685764737</c:v>
                </c:pt>
                <c:pt idx="801">
                  <c:v>2.363528048196113</c:v>
                </c:pt>
                <c:pt idx="802">
                  <c:v>2.3640589905620351</c:v>
                </c:pt>
                <c:pt idx="803">
                  <c:v>2.3650694837218063</c:v>
                </c:pt>
                <c:pt idx="804">
                  <c:v>2.3665071925030912</c:v>
                </c:pt>
                <c:pt idx="805">
                  <c:v>2.3670683286934504</c:v>
                </c:pt>
                <c:pt idx="806">
                  <c:v>2.3671973916380193</c:v>
                </c:pt>
                <c:pt idx="807">
                  <c:v>2.3677562450784886</c:v>
                </c:pt>
                <c:pt idx="808">
                  <c:v>2.3690357526076613</c:v>
                </c:pt>
                <c:pt idx="809">
                  <c:v>2.3691635000995062</c:v>
                </c:pt>
                <c:pt idx="810">
                  <c:v>2.369290510395663</c:v>
                </c:pt>
                <c:pt idx="811">
                  <c:v>2.3697547339655936</c:v>
                </c:pt>
                <c:pt idx="812">
                  <c:v>2.3714718346540447</c:v>
                </c:pt>
                <c:pt idx="813">
                  <c:v>2.3723004090703861</c:v>
                </c:pt>
                <c:pt idx="814">
                  <c:v>2.3724653328418395</c:v>
                </c:pt>
                <c:pt idx="815">
                  <c:v>2.372589027381701</c:v>
                </c:pt>
                <c:pt idx="816">
                  <c:v>2.3732458110741432</c:v>
                </c:pt>
                <c:pt idx="817">
                  <c:v>2.3733273616634851</c:v>
                </c:pt>
                <c:pt idx="818">
                  <c:v>2.3733273616634851</c:v>
                </c:pt>
                <c:pt idx="819">
                  <c:v>2.3733687066442526</c:v>
                </c:pt>
                <c:pt idx="820">
                  <c:v>2.373532174271145</c:v>
                </c:pt>
                <c:pt idx="821">
                  <c:v>2.3736541860579718</c:v>
                </c:pt>
                <c:pt idx="822">
                  <c:v>2.3738990098693589</c:v>
                </c:pt>
                <c:pt idx="823">
                  <c:v>2.3743051443568444</c:v>
                </c:pt>
                <c:pt idx="824">
                  <c:v>2.3743859690527018</c:v>
                </c:pt>
                <c:pt idx="825">
                  <c:v>2.375234170948028</c:v>
                </c:pt>
                <c:pt idx="826">
                  <c:v>2.3765529102401626</c:v>
                </c:pt>
                <c:pt idx="827">
                  <c:v>2.3769492192992483</c:v>
                </c:pt>
                <c:pt idx="828">
                  <c:v>2.3769492192992483</c:v>
                </c:pt>
                <c:pt idx="829">
                  <c:v>2.3769492192992483</c:v>
                </c:pt>
                <c:pt idx="830">
                  <c:v>2.3770676672742832</c:v>
                </c:pt>
                <c:pt idx="831">
                  <c:v>2.3772259733928673</c:v>
                </c:pt>
                <c:pt idx="832">
                  <c:v>2.3784035446390339</c:v>
                </c:pt>
                <c:pt idx="833">
                  <c:v>2.3784814874999105</c:v>
                </c:pt>
                <c:pt idx="834">
                  <c:v>2.3792589567437448</c:v>
                </c:pt>
                <c:pt idx="835">
                  <c:v>2.3792589567437448</c:v>
                </c:pt>
                <c:pt idx="836">
                  <c:v>2.3796064815494797</c:v>
                </c:pt>
                <c:pt idx="837">
                  <c:v>2.3799149963443349</c:v>
                </c:pt>
                <c:pt idx="838">
                  <c:v>2.3799918451421784</c:v>
                </c:pt>
                <c:pt idx="839">
                  <c:v>2.380298679267939</c:v>
                </c:pt>
                <c:pt idx="840">
                  <c:v>2.38052821558705</c:v>
                </c:pt>
                <c:pt idx="841">
                  <c:v>2.38052821558705</c:v>
                </c:pt>
                <c:pt idx="842">
                  <c:v>2.380642794283423</c:v>
                </c:pt>
                <c:pt idx="843">
                  <c:v>2.3818565558213036</c:v>
                </c:pt>
                <c:pt idx="844">
                  <c:v>2.3820826377708468</c:v>
                </c:pt>
                <c:pt idx="845">
                  <c:v>2.3846073547523181</c:v>
                </c:pt>
                <c:pt idx="846">
                  <c:v>2.3846801574915935</c:v>
                </c:pt>
                <c:pt idx="847">
                  <c:v>2.3850454533404957</c:v>
                </c:pt>
                <c:pt idx="848">
                  <c:v>2.3856625420020379</c:v>
                </c:pt>
                <c:pt idx="849">
                  <c:v>2.3856625420020379</c:v>
                </c:pt>
                <c:pt idx="850">
                  <c:v>2.3860601628407161</c:v>
                </c:pt>
                <c:pt idx="851">
                  <c:v>2.3867064262392268</c:v>
                </c:pt>
                <c:pt idx="852">
                  <c:v>2.3870633180298744</c:v>
                </c:pt>
                <c:pt idx="853">
                  <c:v>2.3875249674543233</c:v>
                </c:pt>
                <c:pt idx="854">
                  <c:v>2.3876315205105501</c:v>
                </c:pt>
                <c:pt idx="855">
                  <c:v>2.3890349772992687</c:v>
                </c:pt>
                <c:pt idx="856">
                  <c:v>2.3890699016077437</c:v>
                </c:pt>
                <c:pt idx="857">
                  <c:v>2.3893825733307961</c:v>
                </c:pt>
                <c:pt idx="858">
                  <c:v>2.3902099456050263</c:v>
                </c:pt>
                <c:pt idx="859">
                  <c:v>2.3906888729892013</c:v>
                </c:pt>
                <c:pt idx="860">
                  <c:v>2.3907568530121734</c:v>
                </c:pt>
                <c:pt idx="861">
                  <c:v>2.390858965616987</c:v>
                </c:pt>
                <c:pt idx="862">
                  <c:v>2.3909950834010347</c:v>
                </c:pt>
                <c:pt idx="863">
                  <c:v>2.3917389559391911</c:v>
                </c:pt>
                <c:pt idx="864">
                  <c:v>2.3920744236047922</c:v>
                </c:pt>
                <c:pt idx="865">
                  <c:v>2.3930396041883677</c:v>
                </c:pt>
                <c:pt idx="866">
                  <c:v>2.3931060965935744</c:v>
                </c:pt>
                <c:pt idx="867">
                  <c:v>2.3938947868562961</c:v>
                </c:pt>
                <c:pt idx="868">
                  <c:v>2.3940909278520448</c:v>
                </c:pt>
                <c:pt idx="869">
                  <c:v>2.3966210144812403</c:v>
                </c:pt>
                <c:pt idx="870">
                  <c:v>2.3969348498510485</c:v>
                </c:pt>
                <c:pt idx="871">
                  <c:v>2.3971539219051738</c:v>
                </c:pt>
                <c:pt idx="872">
                  <c:v>2.3971539219051738</c:v>
                </c:pt>
                <c:pt idx="873">
                  <c:v>2.3977749213691877</c:v>
                </c:pt>
                <c:pt idx="874">
                  <c:v>2.3978060713401086</c:v>
                </c:pt>
                <c:pt idx="875">
                  <c:v>2.3984819308421659</c:v>
                </c:pt>
                <c:pt idx="876">
                  <c:v>2.3988783937779123</c:v>
                </c:pt>
                <c:pt idx="877">
                  <c:v>2.399723787680625</c:v>
                </c:pt>
                <c:pt idx="878">
                  <c:v>2.400409549431179</c:v>
                </c:pt>
                <c:pt idx="879">
                  <c:v>2.4008231005064209</c:v>
                </c:pt>
                <c:pt idx="880">
                  <c:v>2.4012633906971117</c:v>
                </c:pt>
                <c:pt idx="881">
                  <c:v>2.4013800072057863</c:v>
                </c:pt>
                <c:pt idx="882">
                  <c:v>2.4014674280303523</c:v>
                </c:pt>
                <c:pt idx="883">
                  <c:v>2.4014674280303523</c:v>
                </c:pt>
                <c:pt idx="884">
                  <c:v>2.4016418878844106</c:v>
                </c:pt>
                <c:pt idx="885">
                  <c:v>2.4019026229664844</c:v>
                </c:pt>
                <c:pt idx="886">
                  <c:v>2.4025065475993772</c:v>
                </c:pt>
                <c:pt idx="887">
                  <c:v>2.402649140612982</c:v>
                </c:pt>
                <c:pt idx="888">
                  <c:v>2.4031605484526555</c:v>
                </c:pt>
                <c:pt idx="889">
                  <c:v>2.4037505688100316</c:v>
                </c:pt>
                <c:pt idx="890">
                  <c:v>2.404029591485521</c:v>
                </c:pt>
                <c:pt idx="891">
                  <c:v>2.4045555472272517</c:v>
                </c:pt>
                <c:pt idx="892">
                  <c:v>2.4051578443739068</c:v>
                </c:pt>
                <c:pt idx="893">
                  <c:v>2.4051853668324421</c:v>
                </c:pt>
                <c:pt idx="894">
                  <c:v>2.4053482097770607</c:v>
                </c:pt>
                <c:pt idx="895">
                  <c:v>2.4054835894522011</c:v>
                </c:pt>
                <c:pt idx="896">
                  <c:v>2.4055374837983603</c:v>
                </c:pt>
                <c:pt idx="897">
                  <c:v>2.4056454988342093</c:v>
                </c:pt>
                <c:pt idx="898">
                  <c:v>2.4056996186851189</c:v>
                </c:pt>
                <c:pt idx="899">
                  <c:v>2.40687039226682</c:v>
                </c:pt>
                <c:pt idx="900">
                  <c:v>2.4069228174468558</c:v>
                </c:pt>
                <c:pt idx="901">
                  <c:v>2.4070278830500276</c:v>
                </c:pt>
                <c:pt idx="902">
                  <c:v>2.4077819581775159</c:v>
                </c:pt>
                <c:pt idx="903">
                  <c:v>2.4081670962180359</c:v>
                </c:pt>
                <c:pt idx="904">
                  <c:v>2.4085996306089275</c:v>
                </c:pt>
                <c:pt idx="905">
                  <c:v>2.4086754039358693</c:v>
                </c:pt>
                <c:pt idx="906">
                  <c:v>2.4093026332721443</c:v>
                </c:pt>
                <c:pt idx="907">
                  <c:v>2.409576215168622</c:v>
                </c:pt>
                <c:pt idx="908">
                  <c:v>2.4096996720855763</c:v>
                </c:pt>
                <c:pt idx="909">
                  <c:v>2.4097243210237638</c:v>
                </c:pt>
                <c:pt idx="910">
                  <c:v>2.409822775277854</c:v>
                </c:pt>
                <c:pt idx="911">
                  <c:v>2.4099700321147868</c:v>
                </c:pt>
                <c:pt idx="912">
                  <c:v>2.4099948854747164</c:v>
                </c:pt>
                <c:pt idx="913">
                  <c:v>2.410141546593612</c:v>
                </c:pt>
                <c:pt idx="914">
                  <c:v>2.4113212402252313</c:v>
                </c:pt>
                <c:pt idx="915">
                  <c:v>2.4113922950908417</c:v>
                </c:pt>
                <c:pt idx="916">
                  <c:v>2.4129228619742888</c:v>
                </c:pt>
                <c:pt idx="917">
                  <c:v>2.4139746918777027</c:v>
                </c:pt>
                <c:pt idx="918">
                  <c:v>2.4140848112295337</c:v>
                </c:pt>
                <c:pt idx="919">
                  <c:v>2.4158170124087581</c:v>
                </c:pt>
                <c:pt idx="920">
                  <c:v>2.4161682570126626</c:v>
                </c:pt>
                <c:pt idx="921">
                  <c:v>2.4162094170663662</c:v>
                </c:pt>
                <c:pt idx="922">
                  <c:v>2.4164749670084587</c:v>
                </c:pt>
                <c:pt idx="923">
                  <c:v>2.4166979939370181</c:v>
                </c:pt>
                <c:pt idx="924">
                  <c:v>2.4171183763613109</c:v>
                </c:pt>
                <c:pt idx="925">
                  <c:v>2.4173163297364559</c:v>
                </c:pt>
                <c:pt idx="926">
                  <c:v>2.4173953455427712</c:v>
                </c:pt>
                <c:pt idx="927">
                  <c:v>2.4176108847805393</c:v>
                </c:pt>
                <c:pt idx="928">
                  <c:v>2.4180942213086305</c:v>
                </c:pt>
                <c:pt idx="929">
                  <c:v>2.4182850686287147</c:v>
                </c:pt>
                <c:pt idx="930">
                  <c:v>2.4183419336618766</c:v>
                </c:pt>
                <c:pt idx="931">
                  <c:v>2.4187372454541971</c:v>
                </c:pt>
                <c:pt idx="932">
                  <c:v>2.4189232576410338</c:v>
                </c:pt>
                <c:pt idx="933">
                  <c:v>2.4190339643193668</c:v>
                </c:pt>
                <c:pt idx="934">
                  <c:v>2.4200615161398531</c:v>
                </c:pt>
                <c:pt idx="935">
                  <c:v>2.420114508749859</c:v>
                </c:pt>
                <c:pt idx="936">
                  <c:v>2.4207886543845474</c:v>
                </c:pt>
                <c:pt idx="937">
                  <c:v>2.4209243835790586</c:v>
                </c:pt>
                <c:pt idx="938">
                  <c:v>2.4217191304340724</c:v>
                </c:pt>
                <c:pt idx="939">
                  <c:v>2.4219445357608618</c:v>
                </c:pt>
                <c:pt idx="940">
                  <c:v>2.4221039675296865</c:v>
                </c:pt>
                <c:pt idx="941">
                  <c:v>2.4224650019919092</c:v>
                </c:pt>
                <c:pt idx="942">
                  <c:v>2.4229997738932343</c:v>
                </c:pt>
                <c:pt idx="943">
                  <c:v>2.4230897496456061</c:v>
                </c:pt>
                <c:pt idx="944">
                  <c:v>2.4232976256564047</c:v>
                </c:pt>
                <c:pt idx="945">
                  <c:v>2.4235171143722529</c:v>
                </c:pt>
                <c:pt idx="946">
                  <c:v>2.4236616618762126</c:v>
                </c:pt>
                <c:pt idx="947">
                  <c:v>2.4236616618762126</c:v>
                </c:pt>
                <c:pt idx="948">
                  <c:v>2.4243492902872976</c:v>
                </c:pt>
                <c:pt idx="949">
                  <c:v>2.4244449051804451</c:v>
                </c:pt>
                <c:pt idx="950">
                  <c:v>2.4245800558058335</c:v>
                </c:pt>
                <c:pt idx="951">
                  <c:v>2.4248195807962118</c:v>
                </c:pt>
                <c:pt idx="952">
                  <c:v>2.4248326442940629</c:v>
                </c:pt>
                <c:pt idx="953">
                  <c:v>2.4250414799774678</c:v>
                </c:pt>
                <c:pt idx="954">
                  <c:v>2.4255846281488473</c:v>
                </c:pt>
                <c:pt idx="955">
                  <c:v>2.4258401861440206</c:v>
                </c:pt>
                <c:pt idx="956">
                  <c:v>2.4260896397224321</c:v>
                </c:pt>
                <c:pt idx="957">
                  <c:v>2.426332466199649</c:v>
                </c:pt>
                <c:pt idx="958">
                  <c:v>2.4264686220960447</c:v>
                </c:pt>
                <c:pt idx="959">
                  <c:v>2.4265691844271706</c:v>
                </c:pt>
                <c:pt idx="960">
                  <c:v>2.4268534594121061</c:v>
                </c:pt>
                <c:pt idx="961">
                  <c:v>2.4268963394889771</c:v>
                </c:pt>
                <c:pt idx="962">
                  <c:v>2.427322642803583</c:v>
                </c:pt>
                <c:pt idx="963">
                  <c:v>2.4276771325571733</c:v>
                </c:pt>
                <c:pt idx="964">
                  <c:v>2.4276962930132848</c:v>
                </c:pt>
                <c:pt idx="965">
                  <c:v>2.4277057810997968</c:v>
                </c:pt>
                <c:pt idx="966">
                  <c:v>2.4279307813637958</c:v>
                </c:pt>
                <c:pt idx="967">
                  <c:v>2.4281386359092356</c:v>
                </c:pt>
                <c:pt idx="968">
                  <c:v>2.4281475764660652</c:v>
                </c:pt>
                <c:pt idx="969">
                  <c:v>2.4283304603153462</c:v>
                </c:pt>
                <c:pt idx="970">
                  <c:v>2.4283475684107541</c:v>
                </c:pt>
                <c:pt idx="971">
                  <c:v>2.4287641305446916</c:v>
                </c:pt>
                <c:pt idx="972">
                  <c:v>2.4287952665451429</c:v>
                </c:pt>
                <c:pt idx="973">
                  <c:v>2.4290863892421029</c:v>
                </c:pt>
                <c:pt idx="974">
                  <c:v>2.4291363828960004</c:v>
                </c:pt>
                <c:pt idx="975">
                  <c:v>2.4291646669277234</c:v>
                </c:pt>
                <c:pt idx="976">
                  <c:v>2.4291856781158296</c:v>
                </c:pt>
                <c:pt idx="977">
                  <c:v>2.4294345521340635</c:v>
                </c:pt>
                <c:pt idx="978">
                  <c:v>2.4294794575154626</c:v>
                </c:pt>
                <c:pt idx="979">
                  <c:v>2.4295047371962677</c:v>
                </c:pt>
                <c:pt idx="980">
                  <c:v>2.4295670806101666</c:v>
                </c:pt>
                <c:pt idx="981">
                  <c:v>2.4296038568035594</c:v>
                </c:pt>
                <c:pt idx="982">
                  <c:v>2.4296579239608311</c:v>
                </c:pt>
                <c:pt idx="983">
                  <c:v>2.4296992375875432</c:v>
                </c:pt>
                <c:pt idx="984">
                  <c:v>2.4297512553586915</c:v>
                </c:pt>
                <c:pt idx="985">
                  <c:v>2.4297852937827082</c:v>
                </c:pt>
                <c:pt idx="986">
                  <c:v>2.4298244128017847</c:v>
                </c:pt>
                <c:pt idx="987">
                  <c:v>2.4298409408224</c:v>
                </c:pt>
                <c:pt idx="988">
                  <c:v>2.4301493524720561</c:v>
                </c:pt>
                <c:pt idx="989">
                  <c:v>2.4302899165929324</c:v>
                </c:pt>
                <c:pt idx="990">
                  <c:v>2.4303508367161024</c:v>
                </c:pt>
                <c:pt idx="991">
                  <c:v>2.430437949969126</c:v>
                </c:pt>
                <c:pt idx="992">
                  <c:v>2.4305591512152867</c:v>
                </c:pt>
                <c:pt idx="993">
                  <c:v>2.4306156650237569</c:v>
                </c:pt>
                <c:pt idx="994">
                  <c:v>2.4307063527861783</c:v>
                </c:pt>
                <c:pt idx="995">
                  <c:v>2.4307623977890374</c:v>
                </c:pt>
                <c:pt idx="996">
                  <c:v>2.4307903654169083</c:v>
                </c:pt>
                <c:pt idx="997">
                  <c:v>2.4308072221888373</c:v>
                </c:pt>
                <c:pt idx="998">
                  <c:v>2.430850447875494</c:v>
                </c:pt>
                <c:pt idx="999">
                  <c:v>2.4308692699030221</c:v>
                </c:pt>
                <c:pt idx="1000">
                  <c:v>2.4308761459247981</c:v>
                </c:pt>
                <c:pt idx="1001">
                  <c:v>2.4308799789310105</c:v>
                </c:pt>
                <c:pt idx="1002">
                  <c:v>2.4308934585637818</c:v>
                </c:pt>
                <c:pt idx="1003">
                  <c:v>2.4308985115768635</c:v>
                </c:pt>
                <c:pt idx="1004">
                  <c:v>2.430874417502896</c:v>
                </c:pt>
                <c:pt idx="1005">
                  <c:v>2.430867301204878</c:v>
                </c:pt>
                <c:pt idx="1006">
                  <c:v>2.4308623955172668</c:v>
                </c:pt>
                <c:pt idx="1007">
                  <c:v>2.4308549051066248</c:v>
                </c:pt>
                <c:pt idx="1008">
                  <c:v>2.4308467328700365</c:v>
                </c:pt>
                <c:pt idx="1009">
                  <c:v>2.4308311106936396</c:v>
                </c:pt>
                <c:pt idx="1010">
                  <c:v>2.4307902047366388</c:v>
                </c:pt>
                <c:pt idx="1011">
                  <c:v>2.4307396781319919</c:v>
                </c:pt>
                <c:pt idx="1012">
                  <c:v>2.4305074717781965</c:v>
                </c:pt>
                <c:pt idx="1013">
                  <c:v>2.4305007494058386</c:v>
                </c:pt>
                <c:pt idx="1014">
                  <c:v>2.4303704214655104</c:v>
                </c:pt>
                <c:pt idx="1015">
                  <c:v>2.4301121864723512</c:v>
                </c:pt>
                <c:pt idx="1016">
                  <c:v>2.4299587345669509</c:v>
                </c:pt>
                <c:pt idx="1017">
                  <c:v>2.42971168939218</c:v>
                </c:pt>
                <c:pt idx="1018">
                  <c:v>2.4296883511736223</c:v>
                </c:pt>
                <c:pt idx="1019">
                  <c:v>2.4296289678334051</c:v>
                </c:pt>
                <c:pt idx="1020">
                  <c:v>2.4295743718657796</c:v>
                </c:pt>
                <c:pt idx="1021">
                  <c:v>2.4295247647419664</c:v>
                </c:pt>
                <c:pt idx="1022">
                  <c:v>2.429518534688885</c:v>
                </c:pt>
                <c:pt idx="1023">
                  <c:v>2.4292360986630164</c:v>
                </c:pt>
                <c:pt idx="1024">
                  <c:v>2.4292360986630164</c:v>
                </c:pt>
                <c:pt idx="1025">
                  <c:v>2.4291736119977672</c:v>
                </c:pt>
                <c:pt idx="1026">
                  <c:v>2.428994033633042</c:v>
                </c:pt>
                <c:pt idx="1027">
                  <c:v>2.428859325594166</c:v>
                </c:pt>
                <c:pt idx="1028">
                  <c:v>2.4287980055622196</c:v>
                </c:pt>
                <c:pt idx="1029">
                  <c:v>2.4287901905063771</c:v>
                </c:pt>
                <c:pt idx="1030">
                  <c:v>2.4286724080707596</c:v>
                </c:pt>
                <c:pt idx="1031">
                  <c:v>2.4283937693879656</c:v>
                </c:pt>
                <c:pt idx="1032">
                  <c:v>2.4283086886130318</c:v>
                </c:pt>
                <c:pt idx="1033">
                  <c:v>2.4278618724165062</c:v>
                </c:pt>
                <c:pt idx="1034">
                  <c:v>2.4276924437836347</c:v>
                </c:pt>
                <c:pt idx="1035">
                  <c:v>2.427644478458598</c:v>
                </c:pt>
                <c:pt idx="1036">
                  <c:v>2.4275768454268367</c:v>
                </c:pt>
                <c:pt idx="1037">
                  <c:v>2.42749859627519</c:v>
                </c:pt>
                <c:pt idx="1038">
                  <c:v>2.4274194381757122</c:v>
                </c:pt>
                <c:pt idx="1039">
                  <c:v>2.4272789129304266</c:v>
                </c:pt>
                <c:pt idx="1040">
                  <c:v>2.4268831578173971</c:v>
                </c:pt>
                <c:pt idx="1041">
                  <c:v>2.4268725210485709</c:v>
                </c:pt>
                <c:pt idx="1042">
                  <c:v>2.4265118121592542</c:v>
                </c:pt>
                <c:pt idx="1043">
                  <c:v>2.4263312561594796</c:v>
                </c:pt>
                <c:pt idx="1044">
                  <c:v>2.4263312561594796</c:v>
                </c:pt>
                <c:pt idx="1045">
                  <c:v>2.4262626542273442</c:v>
                </c:pt>
                <c:pt idx="1046">
                  <c:v>2.4258641619732124</c:v>
                </c:pt>
                <c:pt idx="1047">
                  <c:v>2.4248094024343181</c:v>
                </c:pt>
                <c:pt idx="1048">
                  <c:v>2.4246237021695447</c:v>
                </c:pt>
                <c:pt idx="1049">
                  <c:v>2.4244488934194117</c:v>
                </c:pt>
                <c:pt idx="1050">
                  <c:v>2.4242716928560486</c:v>
                </c:pt>
                <c:pt idx="1051">
                  <c:v>2.4242443759482426</c:v>
                </c:pt>
                <c:pt idx="1052">
                  <c:v>2.4239522944828167</c:v>
                </c:pt>
                <c:pt idx="1053">
                  <c:v>2.4235822612955542</c:v>
                </c:pt>
                <c:pt idx="1054">
                  <c:v>2.4234228814551253</c:v>
                </c:pt>
                <c:pt idx="1055">
                  <c:v>2.4232617923792623</c:v>
                </c:pt>
                <c:pt idx="1056">
                  <c:v>2.4228738976228441</c:v>
                </c:pt>
                <c:pt idx="1057">
                  <c:v>2.4228588825163331</c:v>
                </c:pt>
                <c:pt idx="1058">
                  <c:v>2.4223989409740652</c:v>
                </c:pt>
                <c:pt idx="1059">
                  <c:v>2.4221955956941916</c:v>
                </c:pt>
                <c:pt idx="1060">
                  <c:v>2.4221799624640683</c:v>
                </c:pt>
                <c:pt idx="1061">
                  <c:v>2.42129277789964</c:v>
                </c:pt>
                <c:pt idx="1062">
                  <c:v>2.4211600482021201</c:v>
                </c:pt>
                <c:pt idx="1063">
                  <c:v>2.4211267243390711</c:v>
                </c:pt>
                <c:pt idx="1064">
                  <c:v>2.4210264133346788</c:v>
                </c:pt>
                <c:pt idx="1065">
                  <c:v>2.4210264133346788</c:v>
                </c:pt>
                <c:pt idx="1066">
                  <c:v>2.4206716953463494</c:v>
                </c:pt>
                <c:pt idx="1067">
                  <c:v>2.4203626271998822</c:v>
                </c:pt>
                <c:pt idx="1068">
                  <c:v>2.4201362520719814</c:v>
                </c:pt>
                <c:pt idx="1069">
                  <c:v>2.4193892573619511</c:v>
                </c:pt>
                <c:pt idx="1070">
                  <c:v>2.4191711829080584</c:v>
                </c:pt>
                <c:pt idx="1071">
                  <c:v>2.418392206498424</c:v>
                </c:pt>
                <c:pt idx="1072">
                  <c:v>2.4183732101405306</c:v>
                </c:pt>
                <c:pt idx="1073">
                  <c:v>2.4180121130186363</c:v>
                </c:pt>
                <c:pt idx="1074">
                  <c:v>2.4179931161823367</c:v>
                </c:pt>
                <c:pt idx="1075">
                  <c:v>2.417645926222395</c:v>
                </c:pt>
                <c:pt idx="1076">
                  <c:v>2.4170969332532888</c:v>
                </c:pt>
                <c:pt idx="1077">
                  <c:v>2.4156550573031983</c:v>
                </c:pt>
                <c:pt idx="1078">
                  <c:v>2.4154668901480334</c:v>
                </c:pt>
                <c:pt idx="1079">
                  <c:v>2.4149601530941327</c:v>
                </c:pt>
                <c:pt idx="1080">
                  <c:v>2.4141193434237147</c:v>
                </c:pt>
                <c:pt idx="1081">
                  <c:v>2.4139662066898899</c:v>
                </c:pt>
                <c:pt idx="1082">
                  <c:v>2.4137020386546575</c:v>
                </c:pt>
                <c:pt idx="1083">
                  <c:v>2.413368571625663</c:v>
                </c:pt>
                <c:pt idx="1084">
                  <c:v>2.4126695965448754</c:v>
                </c:pt>
                <c:pt idx="1085">
                  <c:v>2.4123036597494267</c:v>
                </c:pt>
                <c:pt idx="1086">
                  <c:v>2.4123036597494267</c:v>
                </c:pt>
                <c:pt idx="1087">
                  <c:v>2.4118179567370448</c:v>
                </c:pt>
                <c:pt idx="1088">
                  <c:v>2.4117711140157652</c:v>
                </c:pt>
                <c:pt idx="1089">
                  <c:v>2.4113727492578163</c:v>
                </c:pt>
                <c:pt idx="1090">
                  <c:v>2.4100552820349059</c:v>
                </c:pt>
                <c:pt idx="1091">
                  <c:v>2.4100067116210662</c:v>
                </c:pt>
                <c:pt idx="1092">
                  <c:v>2.4098603044348619</c:v>
                </c:pt>
                <c:pt idx="1093">
                  <c:v>2.4093435415051792</c:v>
                </c:pt>
                <c:pt idx="1094">
                  <c:v>2.4077554042318252</c:v>
                </c:pt>
                <c:pt idx="1095">
                  <c:v>2.4070574170482768</c:v>
                </c:pt>
                <c:pt idx="1096">
                  <c:v>2.4066654909010574</c:v>
                </c:pt>
                <c:pt idx="1097">
                  <c:v>2.4062961779215875</c:v>
                </c:pt>
                <c:pt idx="1098">
                  <c:v>2.4062434734344222</c:v>
                </c:pt>
                <c:pt idx="1099">
                  <c:v>2.406057590370938</c:v>
                </c:pt>
                <c:pt idx="1100">
                  <c:v>2.4059779402025585</c:v>
                </c:pt>
                <c:pt idx="1101">
                  <c:v>2.4057642690007066</c:v>
                </c:pt>
                <c:pt idx="1102">
                  <c:v>2.4042998369711079</c:v>
                </c:pt>
                <c:pt idx="1103">
                  <c:v>2.4042446652755176</c:v>
                </c:pt>
                <c:pt idx="1104">
                  <c:v>2.4038577073623046</c:v>
                </c:pt>
                <c:pt idx="1105">
                  <c:v>2.3998647079636388</c:v>
                </c:pt>
                <c:pt idx="1106">
                  <c:v>2.3994474099565757</c:v>
                </c:pt>
                <c:pt idx="1107">
                  <c:v>2.3993575390392481</c:v>
                </c:pt>
                <c:pt idx="1108">
                  <c:v>2.3987253694292772</c:v>
                </c:pt>
                <c:pt idx="1109">
                  <c:v>2.3985131315702919</c:v>
                </c:pt>
                <c:pt idx="1110">
                  <c:v>2.3983306693521826</c:v>
                </c:pt>
                <c:pt idx="1111">
                  <c:v>2.3982697370337447</c:v>
                </c:pt>
                <c:pt idx="1112">
                  <c:v>2.3978723174637429</c:v>
                </c:pt>
                <c:pt idx="1113">
                  <c:v>2.3973181556208627</c:v>
                </c:pt>
                <c:pt idx="1114">
                  <c:v>2.3972563034508139</c:v>
                </c:pt>
                <c:pt idx="1115">
                  <c:v>2.3969462070340271</c:v>
                </c:pt>
                <c:pt idx="1116">
                  <c:v>2.3962272410050196</c:v>
                </c:pt>
                <c:pt idx="1117">
                  <c:v>2.3961958345236236</c:v>
                </c:pt>
                <c:pt idx="1118">
                  <c:v>2.3961010690518343</c:v>
                </c:pt>
                <c:pt idx="1119">
                  <c:v>2.3959120865603305</c:v>
                </c:pt>
                <c:pt idx="1120">
                  <c:v>2.395564318750345</c:v>
                </c:pt>
                <c:pt idx="1121">
                  <c:v>2.3955326200984746</c:v>
                </c:pt>
                <c:pt idx="1122">
                  <c:v>2.3952144010359966</c:v>
                </c:pt>
                <c:pt idx="1123">
                  <c:v>2.3951825493442191</c:v>
                </c:pt>
                <c:pt idx="1124">
                  <c:v>2.394958728651821</c:v>
                </c:pt>
                <c:pt idx="1125">
                  <c:v>2.3940575660363188</c:v>
                </c:pt>
                <c:pt idx="1126">
                  <c:v>2.3923208909150961</c:v>
                </c:pt>
                <c:pt idx="1127">
                  <c:v>2.3918221456099742</c:v>
                </c:pt>
                <c:pt idx="1128">
                  <c:v>2.3916550392861153</c:v>
                </c:pt>
                <c:pt idx="1129">
                  <c:v>2.3904422104916483</c:v>
                </c:pt>
                <c:pt idx="1130">
                  <c:v>2.3901359427639437</c:v>
                </c:pt>
                <c:pt idx="1131">
                  <c:v>2.3900679527260951</c:v>
                </c:pt>
                <c:pt idx="1132">
                  <c:v>2.389003506429062</c:v>
                </c:pt>
                <c:pt idx="1133">
                  <c:v>2.389003506429062</c:v>
                </c:pt>
                <c:pt idx="1134">
                  <c:v>2.3889690617907702</c:v>
                </c:pt>
                <c:pt idx="1135">
                  <c:v>2.3889001311731617</c:v>
                </c:pt>
                <c:pt idx="1136">
                  <c:v>2.3884838617329551</c:v>
                </c:pt>
                <c:pt idx="1137">
                  <c:v>2.3883446612512609</c:v>
                </c:pt>
                <c:pt idx="1138">
                  <c:v>2.3882752331344901</c:v>
                </c:pt>
                <c:pt idx="1139">
                  <c:v>2.3881003984717974</c:v>
                </c:pt>
                <c:pt idx="1140">
                  <c:v>2.3879605875626164</c:v>
                </c:pt>
                <c:pt idx="1141">
                  <c:v>2.3871170651855889</c:v>
                </c:pt>
                <c:pt idx="1142">
                  <c:v>2.3866923120691963</c:v>
                </c:pt>
                <c:pt idx="1143">
                  <c:v>2.3866210659499032</c:v>
                </c:pt>
                <c:pt idx="1144">
                  <c:v>2.3861579143084226</c:v>
                </c:pt>
                <c:pt idx="1145">
                  <c:v>2.3851162534125132</c:v>
                </c:pt>
                <c:pt idx="1146">
                  <c:v>2.3834762925575426</c:v>
                </c:pt>
                <c:pt idx="1147">
                  <c:v>2.3834391722360104</c:v>
                </c:pt>
                <c:pt idx="1148">
                  <c:v>2.3832921667463287</c:v>
                </c:pt>
                <c:pt idx="1149">
                  <c:v>2.3829969538286488</c:v>
                </c:pt>
                <c:pt idx="1150">
                  <c:v>2.3826634426685205</c:v>
                </c:pt>
                <c:pt idx="1151">
                  <c:v>2.3816200207451628</c:v>
                </c:pt>
                <c:pt idx="1152">
                  <c:v>2.3810182144492207</c:v>
                </c:pt>
                <c:pt idx="1153">
                  <c:v>2.3808670721275162</c:v>
                </c:pt>
                <c:pt idx="1154">
                  <c:v>2.3807157083911554</c:v>
                </c:pt>
                <c:pt idx="1155">
                  <c:v>2.380526469340257</c:v>
                </c:pt>
                <c:pt idx="1156">
                  <c:v>2.380526469340257</c:v>
                </c:pt>
                <c:pt idx="1157">
                  <c:v>2.3797275662723578</c:v>
                </c:pt>
                <c:pt idx="1158">
                  <c:v>2.3779158980190034</c:v>
                </c:pt>
                <c:pt idx="1159">
                  <c:v>2.377487140146656</c:v>
                </c:pt>
                <c:pt idx="1160">
                  <c:v>2.3773702793770579</c:v>
                </c:pt>
                <c:pt idx="1161">
                  <c:v>2.3753978725423237</c:v>
                </c:pt>
                <c:pt idx="1162">
                  <c:v>2.3751189410001019</c:v>
                </c:pt>
                <c:pt idx="1163">
                  <c:v>2.3746794243228506</c:v>
                </c:pt>
                <c:pt idx="1164">
                  <c:v>2.3741573179704045</c:v>
                </c:pt>
                <c:pt idx="1165">
                  <c:v>2.3733497174682268</c:v>
                </c:pt>
                <c:pt idx="1166">
                  <c:v>2.3731463664954329</c:v>
                </c:pt>
                <c:pt idx="1167">
                  <c:v>2.3725360248376299</c:v>
                </c:pt>
                <c:pt idx="1168">
                  <c:v>2.3721268174628443</c:v>
                </c:pt>
                <c:pt idx="1169">
                  <c:v>2.3715107261171404</c:v>
                </c:pt>
                <c:pt idx="1170">
                  <c:v>2.3715107261171404</c:v>
                </c:pt>
                <c:pt idx="1171">
                  <c:v>2.3712225595905805</c:v>
                </c:pt>
                <c:pt idx="1172">
                  <c:v>2.3710571618270171</c:v>
                </c:pt>
                <c:pt idx="1173">
                  <c:v>2.3708505571052876</c:v>
                </c:pt>
                <c:pt idx="1174">
                  <c:v>2.3704768382085319</c:v>
                </c:pt>
                <c:pt idx="1175">
                  <c:v>2.3694758214755627</c:v>
                </c:pt>
                <c:pt idx="1176">
                  <c:v>2.3693081151898117</c:v>
                </c:pt>
                <c:pt idx="1177">
                  <c:v>2.3692244849772073</c:v>
                </c:pt>
                <c:pt idx="1178">
                  <c:v>2.3685927596592111</c:v>
                </c:pt>
                <c:pt idx="1179">
                  <c:v>2.367916005789978</c:v>
                </c:pt>
                <c:pt idx="1180">
                  <c:v>2.3674061376128508</c:v>
                </c:pt>
                <c:pt idx="1181">
                  <c:v>2.366979430156134</c:v>
                </c:pt>
                <c:pt idx="1182">
                  <c:v>2.3659498656408586</c:v>
                </c:pt>
                <c:pt idx="1183">
                  <c:v>2.3643023883430661</c:v>
                </c:pt>
                <c:pt idx="1184">
                  <c:v>2.3639090344425182</c:v>
                </c:pt>
                <c:pt idx="1185">
                  <c:v>2.3637774580674056</c:v>
                </c:pt>
                <c:pt idx="1186">
                  <c:v>2.3632505553264145</c:v>
                </c:pt>
                <c:pt idx="1187">
                  <c:v>2.3631190007881431</c:v>
                </c:pt>
                <c:pt idx="1188">
                  <c:v>2.3621471017787723</c:v>
                </c:pt>
                <c:pt idx="1189">
                  <c:v>2.3613465801919511</c:v>
                </c:pt>
                <c:pt idx="1190">
                  <c:v>2.3613465801919511</c:v>
                </c:pt>
                <c:pt idx="1191">
                  <c:v>2.3609890832128007</c:v>
                </c:pt>
                <c:pt idx="1192">
                  <c:v>2.3605416312210217</c:v>
                </c:pt>
                <c:pt idx="1193">
                  <c:v>2.3602271473788403</c:v>
                </c:pt>
                <c:pt idx="1194">
                  <c:v>2.3601371718414295</c:v>
                </c:pt>
                <c:pt idx="1195">
                  <c:v>2.3595961709925009</c:v>
                </c:pt>
                <c:pt idx="1196">
                  <c:v>2.3585082716971524</c:v>
                </c:pt>
                <c:pt idx="1197">
                  <c:v>2.355426997873252</c:v>
                </c:pt>
                <c:pt idx="1198">
                  <c:v>2.3553799129995152</c:v>
                </c:pt>
                <c:pt idx="1199">
                  <c:v>2.3553341600257918</c:v>
                </c:pt>
                <c:pt idx="1200">
                  <c:v>2.3550081255816235</c:v>
                </c:pt>
                <c:pt idx="1201">
                  <c:v>2.3512811850081978</c:v>
                </c:pt>
                <c:pt idx="1202">
                  <c:v>2.3512328883788727</c:v>
                </c:pt>
                <c:pt idx="1203">
                  <c:v>2.3507546940275792</c:v>
                </c:pt>
                <c:pt idx="1204">
                  <c:v>2.3502265571757484</c:v>
                </c:pt>
                <c:pt idx="1205">
                  <c:v>2.3493105744504486</c:v>
                </c:pt>
                <c:pt idx="1206">
                  <c:v>2.348389692152943</c:v>
                </c:pt>
                <c:pt idx="1207">
                  <c:v>2.348341273743638</c:v>
                </c:pt>
                <c:pt idx="1208">
                  <c:v>2.3452481214197709</c:v>
                </c:pt>
                <c:pt idx="1209">
                  <c:v>2.3432050383649345</c:v>
                </c:pt>
                <c:pt idx="1210">
                  <c:v>2.3371351231968571</c:v>
                </c:pt>
                <c:pt idx="1211">
                  <c:v>2.3369800518900647</c:v>
                </c:pt>
                <c:pt idx="1212">
                  <c:v>2.3363031932528893</c:v>
                </c:pt>
                <c:pt idx="1213">
                  <c:v>2.3351007805081316</c:v>
                </c:pt>
                <c:pt idx="1214">
                  <c:v>2.3345761638108558</c:v>
                </c:pt>
                <c:pt idx="1215">
                  <c:v>2.3342604465128463</c:v>
                </c:pt>
                <c:pt idx="1216">
                  <c:v>2.3336798682678026</c:v>
                </c:pt>
                <c:pt idx="1217">
                  <c:v>2.3330976604645772</c:v>
                </c:pt>
                <c:pt idx="1218">
                  <c:v>2.3328862364963849</c:v>
                </c:pt>
                <c:pt idx="1219">
                  <c:v>2.3325145866488186</c:v>
                </c:pt>
                <c:pt idx="1220">
                  <c:v>2.3299995387479639</c:v>
                </c:pt>
                <c:pt idx="1221">
                  <c:v>2.3294063615074547</c:v>
                </c:pt>
                <c:pt idx="1222">
                  <c:v>2.3290828297352033</c:v>
                </c:pt>
                <c:pt idx="1223">
                  <c:v>2.3283239795475383</c:v>
                </c:pt>
                <c:pt idx="1224">
                  <c:v>2.3276716657758585</c:v>
                </c:pt>
                <c:pt idx="1225">
                  <c:v>2.327617089223875</c:v>
                </c:pt>
                <c:pt idx="1226">
                  <c:v>2.3274532788057831</c:v>
                </c:pt>
                <c:pt idx="1227">
                  <c:v>2.3274532788057831</c:v>
                </c:pt>
                <c:pt idx="1228">
                  <c:v>2.3270166408201121</c:v>
                </c:pt>
                <c:pt idx="1229">
                  <c:v>2.3264145691968809</c:v>
                </c:pt>
                <c:pt idx="1230">
                  <c:v>2.3255363630606216</c:v>
                </c:pt>
                <c:pt idx="1231">
                  <c:v>2.3250951871781211</c:v>
                </c:pt>
                <c:pt idx="1232">
                  <c:v>2.3247084540009753</c:v>
                </c:pt>
                <c:pt idx="1233">
                  <c:v>2.3231565457266532</c:v>
                </c:pt>
                <c:pt idx="1234">
                  <c:v>2.3223200038630125</c:v>
                </c:pt>
                <c:pt idx="1235">
                  <c:v>2.3212552664786124</c:v>
                </c:pt>
                <c:pt idx="1236">
                  <c:v>2.3196769636615104</c:v>
                </c:pt>
                <c:pt idx="1237">
                  <c:v>2.3194500603689296</c:v>
                </c:pt>
                <c:pt idx="1238">
                  <c:v>2.3189972291541054</c:v>
                </c:pt>
                <c:pt idx="1239">
                  <c:v>2.3174023602710756</c:v>
                </c:pt>
                <c:pt idx="1240">
                  <c:v>2.3171162290582972</c:v>
                </c:pt>
                <c:pt idx="1241">
                  <c:v>2.3168297642575868</c:v>
                </c:pt>
                <c:pt idx="1242">
                  <c:v>2.3161412160470958</c:v>
                </c:pt>
                <c:pt idx="1243">
                  <c:v>2.3148736256331515</c:v>
                </c:pt>
                <c:pt idx="1244">
                  <c:v>2.3147575468774018</c:v>
                </c:pt>
                <c:pt idx="1245">
                  <c:v>2.3147575468774018</c:v>
                </c:pt>
                <c:pt idx="1246">
                  <c:v>2.3128996316744881</c:v>
                </c:pt>
                <c:pt idx="1247">
                  <c:v>2.3117898476652781</c:v>
                </c:pt>
                <c:pt idx="1248">
                  <c:v>2.310908602603361</c:v>
                </c:pt>
                <c:pt idx="1249">
                  <c:v>2.3106150257268969</c:v>
                </c:pt>
                <c:pt idx="1250">
                  <c:v>2.3106150257268969</c:v>
                </c:pt>
                <c:pt idx="1251">
                  <c:v>2.3084857848116598</c:v>
                </c:pt>
                <c:pt idx="1252">
                  <c:v>2.3077719358571813</c:v>
                </c:pt>
                <c:pt idx="1253">
                  <c:v>2.307474006030608</c:v>
                </c:pt>
                <c:pt idx="1254">
                  <c:v>2.3045330313231807</c:v>
                </c:pt>
                <c:pt idx="1255">
                  <c:v>2.3043523412678706</c:v>
                </c:pt>
                <c:pt idx="1256">
                  <c:v>2.3043523412678706</c:v>
                </c:pt>
                <c:pt idx="1257">
                  <c:v>2.3040497846116335</c:v>
                </c:pt>
                <c:pt idx="1258">
                  <c:v>2.3039288407661056</c:v>
                </c:pt>
                <c:pt idx="1259">
                  <c:v>2.3036867945367963</c:v>
                </c:pt>
                <c:pt idx="1260">
                  <c:v>2.3032622751763916</c:v>
                </c:pt>
                <c:pt idx="1261">
                  <c:v>2.3025941103405945</c:v>
                </c:pt>
                <c:pt idx="1262">
                  <c:v>2.3009461949769925</c:v>
                </c:pt>
                <c:pt idx="1263">
                  <c:v>2.3000873209480259</c:v>
                </c:pt>
                <c:pt idx="1264">
                  <c:v>2.2994098674704881</c:v>
                </c:pt>
                <c:pt idx="1265">
                  <c:v>2.2989168842514047</c:v>
                </c:pt>
                <c:pt idx="1266">
                  <c:v>2.2987316890472522</c:v>
                </c:pt>
                <c:pt idx="1267">
                  <c:v>2.2986696396123083</c:v>
                </c:pt>
                <c:pt idx="1268">
                  <c:v>2.2981132234119377</c:v>
                </c:pt>
                <c:pt idx="1269">
                  <c:v>2.2981132234119377</c:v>
                </c:pt>
                <c:pt idx="1270">
                  <c:v>2.2959368996802212</c:v>
                </c:pt>
                <c:pt idx="1271">
                  <c:v>2.2943712472986255</c:v>
                </c:pt>
                <c:pt idx="1272">
                  <c:v>2.2938057778412713</c:v>
                </c:pt>
                <c:pt idx="1273">
                  <c:v>2.2912135197333257</c:v>
                </c:pt>
                <c:pt idx="1274">
                  <c:v>2.290258549074037</c:v>
                </c:pt>
                <c:pt idx="1275">
                  <c:v>2.2898753741050006</c:v>
                </c:pt>
                <c:pt idx="1276">
                  <c:v>2.2887239162040505</c:v>
                </c:pt>
                <c:pt idx="1277">
                  <c:v>2.2884030624006426</c:v>
                </c:pt>
                <c:pt idx="1278">
                  <c:v>2.2870518995850935</c:v>
                </c:pt>
                <c:pt idx="1279">
                  <c:v>2.2850449564982602</c:v>
                </c:pt>
                <c:pt idx="1280">
                  <c:v>2.2849800660676021</c:v>
                </c:pt>
                <c:pt idx="1281">
                  <c:v>2.284394549651442</c:v>
                </c:pt>
                <c:pt idx="1282">
                  <c:v>2.2840033113849523</c:v>
                </c:pt>
                <c:pt idx="1283">
                  <c:v>2.2837428358045537</c:v>
                </c:pt>
                <c:pt idx="1284">
                  <c:v>2.2827623569440698</c:v>
                </c:pt>
                <c:pt idx="1285">
                  <c:v>2.2825662769820658</c:v>
                </c:pt>
                <c:pt idx="1286">
                  <c:v>2.281778941480741</c:v>
                </c:pt>
                <c:pt idx="1287">
                  <c:v>2.2817124760124079</c:v>
                </c:pt>
                <c:pt idx="1288">
                  <c:v>2.2816469206011112</c:v>
                </c:pt>
                <c:pt idx="1289">
                  <c:v>2.2803951951114563</c:v>
                </c:pt>
                <c:pt idx="1290">
                  <c:v>2.2799991795309174</c:v>
                </c:pt>
                <c:pt idx="1291">
                  <c:v>2.2789396074139305</c:v>
                </c:pt>
                <c:pt idx="1292">
                  <c:v>2.2755369418432352</c:v>
                </c:pt>
                <c:pt idx="1293">
                  <c:v>2.274864975162791</c:v>
                </c:pt>
                <c:pt idx="1294">
                  <c:v>2.2735842797595507</c:v>
                </c:pt>
                <c:pt idx="1295">
                  <c:v>2.2729757986915979</c:v>
                </c:pt>
                <c:pt idx="1296">
                  <c:v>2.2725019140505598</c:v>
                </c:pt>
                <c:pt idx="1297">
                  <c:v>2.2683408441888777</c:v>
                </c:pt>
                <c:pt idx="1298">
                  <c:v>2.2683408441888777</c:v>
                </c:pt>
                <c:pt idx="1299">
                  <c:v>2.2675147778725626</c:v>
                </c:pt>
                <c:pt idx="1300">
                  <c:v>2.2673772393462115</c:v>
                </c:pt>
                <c:pt idx="1301">
                  <c:v>2.2655120411108109</c:v>
                </c:pt>
                <c:pt idx="1302">
                  <c:v>2.2634265122427943</c:v>
                </c:pt>
                <c:pt idx="1303">
                  <c:v>2.2633565028545006</c:v>
                </c:pt>
                <c:pt idx="1304">
                  <c:v>2.2608363282867918</c:v>
                </c:pt>
                <c:pt idx="1305">
                  <c:v>2.2577295388792447</c:v>
                </c:pt>
                <c:pt idx="1306">
                  <c:v>2.2573030151032496</c:v>
                </c:pt>
                <c:pt idx="1307">
                  <c:v>2.2557371123931382</c:v>
                </c:pt>
                <c:pt idx="1308">
                  <c:v>2.2552369366891014</c:v>
                </c:pt>
                <c:pt idx="1309">
                  <c:v>2.2499793789587983</c:v>
                </c:pt>
                <c:pt idx="1310">
                  <c:v>2.2497620217740923</c:v>
                </c:pt>
                <c:pt idx="1311">
                  <c:v>2.248451433315481</c:v>
                </c:pt>
                <c:pt idx="1312">
                  <c:v>2.2477955955766955</c:v>
                </c:pt>
                <c:pt idx="1313">
                  <c:v>2.2474303454042497</c:v>
                </c:pt>
                <c:pt idx="1314">
                  <c:v>2.2466988878272796</c:v>
                </c:pt>
                <c:pt idx="1315">
                  <c:v>2.2459651393596438</c:v>
                </c:pt>
                <c:pt idx="1316">
                  <c:v>2.2453043857717088</c:v>
                </c:pt>
                <c:pt idx="1317">
                  <c:v>2.2445682129367852</c:v>
                </c:pt>
                <c:pt idx="1318">
                  <c:v>2.2430173869342962</c:v>
                </c:pt>
                <c:pt idx="1319">
                  <c:v>2.2408651746168289</c:v>
                </c:pt>
                <c:pt idx="1320">
                  <c:v>2.24004619930699</c:v>
                </c:pt>
                <c:pt idx="1321">
                  <c:v>2.2395227344326494</c:v>
                </c:pt>
                <c:pt idx="1322">
                  <c:v>2.2377260699012278</c:v>
                </c:pt>
                <c:pt idx="1323">
                  <c:v>2.2366740387624295</c:v>
                </c:pt>
                <c:pt idx="1324">
                  <c:v>2.2350137503336365</c:v>
                </c:pt>
                <c:pt idx="1325">
                  <c:v>2.2348627002870121</c:v>
                </c:pt>
                <c:pt idx="1326">
                  <c:v>2.2339532515583898</c:v>
                </c:pt>
                <c:pt idx="1327">
                  <c:v>2.2335751691162189</c:v>
                </c:pt>
                <c:pt idx="1328">
                  <c:v>2.2323583752904224</c:v>
                </c:pt>
                <c:pt idx="1329">
                  <c:v>2.230067770723402</c:v>
                </c:pt>
                <c:pt idx="1330">
                  <c:v>2.2298381909215848</c:v>
                </c:pt>
                <c:pt idx="1331">
                  <c:v>2.2293776369935343</c:v>
                </c:pt>
                <c:pt idx="1332">
                  <c:v>2.2291466619060389</c:v>
                </c:pt>
                <c:pt idx="1333">
                  <c:v>2.2283019467557832</c:v>
                </c:pt>
                <c:pt idx="1334">
                  <c:v>2.2267606597609793</c:v>
                </c:pt>
                <c:pt idx="1335">
                  <c:v>2.2266058299044866</c:v>
                </c:pt>
                <c:pt idx="1336">
                  <c:v>2.2264509494742346</c:v>
                </c:pt>
                <c:pt idx="1337">
                  <c:v>2.2252898626071378</c:v>
                </c:pt>
                <c:pt idx="1338">
                  <c:v>2.225056879990666</c:v>
                </c:pt>
                <c:pt idx="1339">
                  <c:v>2.2246693883529827</c:v>
                </c:pt>
                <c:pt idx="1340">
                  <c:v>2.2182511690489939</c:v>
                </c:pt>
                <c:pt idx="1341">
                  <c:v>2.2180925218572374</c:v>
                </c:pt>
                <c:pt idx="1342">
                  <c:v>2.2154008110181267</c:v>
                </c:pt>
                <c:pt idx="1343">
                  <c:v>2.2147655608315095</c:v>
                </c:pt>
                <c:pt idx="1344">
                  <c:v>2.2143677168051026</c:v>
                </c:pt>
                <c:pt idx="1345">
                  <c:v>2.2121314115396258</c:v>
                </c:pt>
                <c:pt idx="1346">
                  <c:v>2.2101244187253832</c:v>
                </c:pt>
                <c:pt idx="1347">
                  <c:v>2.2089169274104767</c:v>
                </c:pt>
                <c:pt idx="1348">
                  <c:v>2.2081096474741533</c:v>
                </c:pt>
                <c:pt idx="1349">
                  <c:v>2.2076229205474114</c:v>
                </c:pt>
                <c:pt idx="1350">
                  <c:v>2.2067319942829569</c:v>
                </c:pt>
                <c:pt idx="1351">
                  <c:v>2.2049456386100328</c:v>
                </c:pt>
                <c:pt idx="1352">
                  <c:v>2.2043750888041651</c:v>
                </c:pt>
                <c:pt idx="1353">
                  <c:v>2.2016759030778421</c:v>
                </c:pt>
                <c:pt idx="1354">
                  <c:v>2.200279377062814</c:v>
                </c:pt>
                <c:pt idx="1355">
                  <c:v>2.1998682175278579</c:v>
                </c:pt>
                <c:pt idx="1356">
                  <c:v>2.1978033142265101</c:v>
                </c:pt>
                <c:pt idx="1357">
                  <c:v>2.1966443178001449</c:v>
                </c:pt>
                <c:pt idx="1358">
                  <c:v>2.1953139008365112</c:v>
                </c:pt>
                <c:pt idx="1359">
                  <c:v>2.194147479181852</c:v>
                </c:pt>
                <c:pt idx="1360">
                  <c:v>2.1936470074397674</c:v>
                </c:pt>
                <c:pt idx="1361">
                  <c:v>2.1920568094546811</c:v>
                </c:pt>
                <c:pt idx="1362">
                  <c:v>2.1913865816059768</c:v>
                </c:pt>
                <c:pt idx="1363">
                  <c:v>2.1892823722366743</c:v>
                </c:pt>
                <c:pt idx="1364">
                  <c:v>2.1886077700313979</c:v>
                </c:pt>
                <c:pt idx="1365">
                  <c:v>2.1886077700313979</c:v>
                </c:pt>
                <c:pt idx="1366">
                  <c:v>2.1843669054885519</c:v>
                </c:pt>
                <c:pt idx="1367">
                  <c:v>2.1826601700289832</c:v>
                </c:pt>
                <c:pt idx="1368">
                  <c:v>2.181631942339668</c:v>
                </c:pt>
                <c:pt idx="1369">
                  <c:v>2.181631942339668</c:v>
                </c:pt>
                <c:pt idx="1370">
                  <c:v>2.1779334305378288</c:v>
                </c:pt>
                <c:pt idx="1371">
                  <c:v>2.1777604546748695</c:v>
                </c:pt>
                <c:pt idx="1372">
                  <c:v>2.1774143567253326</c:v>
                </c:pt>
                <c:pt idx="1373">
                  <c:v>2.1754222633842035</c:v>
                </c:pt>
                <c:pt idx="1374">
                  <c:v>2.1718491899292252</c:v>
                </c:pt>
                <c:pt idx="1375">
                  <c:v>2.1712370329759905</c:v>
                </c:pt>
                <c:pt idx="1376">
                  <c:v>2.1700097684149493</c:v>
                </c:pt>
                <c:pt idx="1377">
                  <c:v>2.1698345875054597</c:v>
                </c:pt>
                <c:pt idx="1378">
                  <c:v>2.1686917944991317</c:v>
                </c:pt>
                <c:pt idx="1379">
                  <c:v>2.1639163572094162</c:v>
                </c:pt>
                <c:pt idx="1380">
                  <c:v>2.1628498564778407</c:v>
                </c:pt>
                <c:pt idx="1381">
                  <c:v>2.1626715420146039</c:v>
                </c:pt>
                <c:pt idx="1382">
                  <c:v>2.1595444461973972</c:v>
                </c:pt>
                <c:pt idx="1383">
                  <c:v>2.1578388844601508</c:v>
                </c:pt>
                <c:pt idx="1384">
                  <c:v>2.1575705772445524</c:v>
                </c:pt>
                <c:pt idx="1385">
                  <c:v>2.1563090672184435</c:v>
                </c:pt>
                <c:pt idx="1386">
                  <c:v>2.15603895299519</c:v>
                </c:pt>
                <c:pt idx="1387">
                  <c:v>2.1559488910920956</c:v>
                </c:pt>
                <c:pt idx="1388">
                  <c:v>2.1549550191033466</c:v>
                </c:pt>
                <c:pt idx="1389">
                  <c:v>2.1542318420791173</c:v>
                </c:pt>
                <c:pt idx="1390">
                  <c:v>2.1538693652330765</c:v>
                </c:pt>
                <c:pt idx="1391">
                  <c:v>2.1537790173243412</c:v>
                </c:pt>
                <c:pt idx="1392">
                  <c:v>2.1512360001509649</c:v>
                </c:pt>
                <c:pt idx="1393">
                  <c:v>2.1500512325412848</c:v>
                </c:pt>
                <c:pt idx="1394">
                  <c:v>2.1495035522572374</c:v>
                </c:pt>
                <c:pt idx="1395">
                  <c:v>2.1414983653256869</c:v>
                </c:pt>
                <c:pt idx="1396">
                  <c:v>2.1393623189165853</c:v>
                </c:pt>
                <c:pt idx="1397">
                  <c:v>2.1374974088680281</c:v>
                </c:pt>
                <c:pt idx="1398">
                  <c:v>2.1359082229412576</c:v>
                </c:pt>
                <c:pt idx="1399">
                  <c:v>2.1343144044885656</c:v>
                </c:pt>
                <c:pt idx="1400">
                  <c:v>2.1343144044885656</c:v>
                </c:pt>
                <c:pt idx="1401">
                  <c:v>2.1313962375856037</c:v>
                </c:pt>
                <c:pt idx="1402">
                  <c:v>2.1292211050913981</c:v>
                </c:pt>
                <c:pt idx="1403">
                  <c:v>2.127322162675847</c:v>
                </c:pt>
                <c:pt idx="1404">
                  <c:v>2.1262771287760165</c:v>
                </c:pt>
                <c:pt idx="1405">
                  <c:v>2.1249412929107678</c:v>
                </c:pt>
                <c:pt idx="1406">
                  <c:v>2.1214941863105978</c:v>
                </c:pt>
                <c:pt idx="1407">
                  <c:v>2.1212071917208117</c:v>
                </c:pt>
                <c:pt idx="1408">
                  <c:v>2.1208218518369155</c:v>
                </c:pt>
                <c:pt idx="1409">
                  <c:v>2.1175452647400128</c:v>
                </c:pt>
                <c:pt idx="1410">
                  <c:v>2.1167708701749</c:v>
                </c:pt>
                <c:pt idx="1411">
                  <c:v>2.1131777636416875</c:v>
                </c:pt>
                <c:pt idx="1412">
                  <c:v>2.1119103330657247</c:v>
                </c:pt>
                <c:pt idx="1413">
                  <c:v>2.1106409565036808</c:v>
                </c:pt>
                <c:pt idx="1414">
                  <c:v>2.1106409565036808</c:v>
                </c:pt>
                <c:pt idx="1415">
                  <c:v>2.109857461523744</c:v>
                </c:pt>
                <c:pt idx="1416">
                  <c:v>2.1026674028842796</c:v>
                </c:pt>
                <c:pt idx="1417">
                  <c:v>2.0972932994289075</c:v>
                </c:pt>
                <c:pt idx="1418">
                  <c:v>2.0909654201919241</c:v>
                </c:pt>
                <c:pt idx="1419">
                  <c:v>2.090761852585588</c:v>
                </c:pt>
                <c:pt idx="1420">
                  <c:v>2.0899549603987086</c:v>
                </c:pt>
                <c:pt idx="1421">
                  <c:v>2.0818149968516906</c:v>
                </c:pt>
                <c:pt idx="1422">
                  <c:v>2.0814037407685779</c:v>
                </c:pt>
                <c:pt idx="1423">
                  <c:v>2.0778081503672956</c:v>
                </c:pt>
                <c:pt idx="1424">
                  <c:v>2.0748137836203826</c:v>
                </c:pt>
                <c:pt idx="1425">
                  <c:v>2.0699331907376481</c:v>
                </c:pt>
                <c:pt idx="1426">
                  <c:v>2.0695141347264032</c:v>
                </c:pt>
                <c:pt idx="1427">
                  <c:v>2.0657493398765117</c:v>
                </c:pt>
                <c:pt idx="1428">
                  <c:v>2.0651207074182154</c:v>
                </c:pt>
                <c:pt idx="1429">
                  <c:v>2.0642783370393989</c:v>
                </c:pt>
                <c:pt idx="1430">
                  <c:v>2.0641736619534852</c:v>
                </c:pt>
                <c:pt idx="1431">
                  <c:v>2.0609071707870652</c:v>
                </c:pt>
                <c:pt idx="1432">
                  <c:v>2.060695762868316</c:v>
                </c:pt>
                <c:pt idx="1433">
                  <c:v>2.0556047670400588</c:v>
                </c:pt>
                <c:pt idx="1434">
                  <c:v>2.0531522631639429</c:v>
                </c:pt>
                <c:pt idx="1435">
                  <c:v>2.0531522631639429</c:v>
                </c:pt>
                <c:pt idx="1436">
                  <c:v>2.0527248572605368</c:v>
                </c:pt>
                <c:pt idx="1437">
                  <c:v>2.0521913732543058</c:v>
                </c:pt>
                <c:pt idx="1438">
                  <c:v>2.05133424586744</c:v>
                </c:pt>
                <c:pt idx="1439">
                  <c:v>2.0501554078151671</c:v>
                </c:pt>
                <c:pt idx="1440">
                  <c:v>2.0477910682177662</c:v>
                </c:pt>
                <c:pt idx="1441">
                  <c:v>2.0475756200763295</c:v>
                </c:pt>
                <c:pt idx="1442">
                  <c:v>2.0437969015900572</c:v>
                </c:pt>
                <c:pt idx="1443">
                  <c:v>2.0415200373367868</c:v>
                </c:pt>
                <c:pt idx="1444">
                  <c:v>2.0403249111902979</c:v>
                </c:pt>
                <c:pt idx="1445">
                  <c:v>2.0373816608062341</c:v>
                </c:pt>
                <c:pt idx="1446">
                  <c:v>2.0371641469973181</c:v>
                </c:pt>
                <c:pt idx="1447">
                  <c:v>2.0347576560609357</c:v>
                </c:pt>
                <c:pt idx="1448">
                  <c:v>2.0339902424702503</c:v>
                </c:pt>
                <c:pt idx="1449">
                  <c:v>2.0337693070954619</c:v>
                </c:pt>
                <c:pt idx="1450">
                  <c:v>2.0296991623951732</c:v>
                </c:pt>
                <c:pt idx="1451">
                  <c:v>2.0271559303342856</c:v>
                </c:pt>
                <c:pt idx="1452">
                  <c:v>2.0271559303342856</c:v>
                </c:pt>
                <c:pt idx="1453">
                  <c:v>2.0264904073638159</c:v>
                </c:pt>
                <c:pt idx="1454">
                  <c:v>2.0198114441117796</c:v>
                </c:pt>
                <c:pt idx="1455">
                  <c:v>2.0190284582586751</c:v>
                </c:pt>
                <c:pt idx="1456">
                  <c:v>2.0158885735210244</c:v>
                </c:pt>
                <c:pt idx="1457">
                  <c:v>2.0135247676290025</c:v>
                </c:pt>
                <c:pt idx="1458">
                  <c:v>2.0083206529662343</c:v>
                </c:pt>
                <c:pt idx="1459">
                  <c:v>2.0082077666044524</c:v>
                </c:pt>
                <c:pt idx="1460">
                  <c:v>2.0080934587045935</c:v>
                </c:pt>
                <c:pt idx="1461">
                  <c:v>2.0053624767542431</c:v>
                </c:pt>
                <c:pt idx="1462">
                  <c:v>2.0033099748288872</c:v>
                </c:pt>
                <c:pt idx="1463">
                  <c:v>2.0033099748288872</c:v>
                </c:pt>
                <c:pt idx="1464">
                  <c:v>2.0018244327063548</c:v>
                </c:pt>
                <c:pt idx="1465">
                  <c:v>1.9983817582900429</c:v>
                </c:pt>
                <c:pt idx="1466">
                  <c:v>1.9982679809693689</c:v>
                </c:pt>
                <c:pt idx="1467">
                  <c:v>1.9945790242535613</c:v>
                </c:pt>
                <c:pt idx="1468">
                  <c:v>1.9922663278440769</c:v>
                </c:pt>
                <c:pt idx="1469">
                  <c:v>1.9914544921969604</c:v>
                </c:pt>
                <c:pt idx="1470">
                  <c:v>1.9908753255634264</c:v>
                </c:pt>
                <c:pt idx="1471">
                  <c:v>1.9908753255634264</c:v>
                </c:pt>
                <c:pt idx="1472">
                  <c:v>1.9897148005092995</c:v>
                </c:pt>
                <c:pt idx="1473">
                  <c:v>1.9851688894020325</c:v>
                </c:pt>
                <c:pt idx="1474">
                  <c:v>1.9827117394755118</c:v>
                </c:pt>
                <c:pt idx="1475">
                  <c:v>1.9824771508776042</c:v>
                </c:pt>
                <c:pt idx="1476">
                  <c:v>1.9821259122433066</c:v>
                </c:pt>
                <c:pt idx="1477">
                  <c:v>1.9796589492176855</c:v>
                </c:pt>
                <c:pt idx="1478">
                  <c:v>1.978244795236535</c:v>
                </c:pt>
                <c:pt idx="1479">
                  <c:v>1.977184676978482</c:v>
                </c:pt>
                <c:pt idx="1480">
                  <c:v>1.9752935274734769</c:v>
                </c:pt>
                <c:pt idx="1481">
                  <c:v>1.9718575017873732</c:v>
                </c:pt>
                <c:pt idx="1482">
                  <c:v>1.9657792836270638</c:v>
                </c:pt>
                <c:pt idx="1483">
                  <c:v>1.9651805412068388</c:v>
                </c:pt>
                <c:pt idx="1484">
                  <c:v>1.9650610545687384</c:v>
                </c:pt>
                <c:pt idx="1485">
                  <c:v>1.9644620164477384</c:v>
                </c:pt>
                <c:pt idx="1486">
                  <c:v>1.9641033503062246</c:v>
                </c:pt>
                <c:pt idx="1487">
                  <c:v>1.9635024601000981</c:v>
                </c:pt>
                <c:pt idx="1488">
                  <c:v>1.9603802924327873</c:v>
                </c:pt>
                <c:pt idx="1489">
                  <c:v>1.9560351293591147</c:v>
                </c:pt>
                <c:pt idx="1490">
                  <c:v>1.9556714847404235</c:v>
                </c:pt>
                <c:pt idx="1491">
                  <c:v>1.9544596805686301</c:v>
                </c:pt>
                <c:pt idx="1492">
                  <c:v>1.9522756926751785</c:v>
                </c:pt>
                <c:pt idx="1493">
                  <c:v>1.9521536963898125</c:v>
                </c:pt>
                <c:pt idx="1494">
                  <c:v>1.9519111446785307</c:v>
                </c:pt>
                <c:pt idx="1495">
                  <c:v>1.9511803167490462</c:v>
                </c:pt>
                <c:pt idx="1496">
                  <c:v>1.949598358902628</c:v>
                </c:pt>
                <c:pt idx="1497">
                  <c:v>1.9485010704960228</c:v>
                </c:pt>
                <c:pt idx="1498">
                  <c:v>1.9470358240596035</c:v>
                </c:pt>
                <c:pt idx="1499">
                  <c:v>1.9453211777399526</c:v>
                </c:pt>
                <c:pt idx="1500">
                  <c:v>1.9447098245751109</c:v>
                </c:pt>
                <c:pt idx="1501">
                  <c:v>1.9420075725922143</c:v>
                </c:pt>
                <c:pt idx="1502">
                  <c:v>1.9380641992946077</c:v>
                </c:pt>
                <c:pt idx="1503">
                  <c:v>1.9378179714907398</c:v>
                </c:pt>
                <c:pt idx="1504">
                  <c:v>1.9362106326711372</c:v>
                </c:pt>
                <c:pt idx="1505">
                  <c:v>1.9318689502983131</c:v>
                </c:pt>
                <c:pt idx="1506">
                  <c:v>1.9303749511139239</c:v>
                </c:pt>
                <c:pt idx="1507">
                  <c:v>1.9282545215602516</c:v>
                </c:pt>
                <c:pt idx="1508">
                  <c:v>1.9266303123138755</c:v>
                </c:pt>
                <c:pt idx="1509">
                  <c:v>1.9239995787747224</c:v>
                </c:pt>
                <c:pt idx="1510">
                  <c:v>1.9226197948817896</c:v>
                </c:pt>
                <c:pt idx="1511">
                  <c:v>1.9204805640187286</c:v>
                </c:pt>
                <c:pt idx="1512">
                  <c:v>1.9185907848776911</c:v>
                </c:pt>
                <c:pt idx="1513">
                  <c:v>1.9172006248459283</c:v>
                </c:pt>
                <c:pt idx="1514">
                  <c:v>1.9170744643512774</c:v>
                </c:pt>
                <c:pt idx="1515">
                  <c:v>1.9142905986247016</c:v>
                </c:pt>
                <c:pt idx="1516">
                  <c:v>1.9122600348554664</c:v>
                </c:pt>
                <c:pt idx="1517">
                  <c:v>1.9081858640485108</c:v>
                </c:pt>
                <c:pt idx="1518">
                  <c:v>1.9080575468737877</c:v>
                </c:pt>
                <c:pt idx="1519">
                  <c:v>1.9057583623858596</c:v>
                </c:pt>
                <c:pt idx="1520">
                  <c:v>1.9040933282727384</c:v>
                </c:pt>
                <c:pt idx="1521">
                  <c:v>1.8997261765518041</c:v>
                </c:pt>
                <c:pt idx="1522">
                  <c:v>1.8989525512901619</c:v>
                </c:pt>
                <c:pt idx="1523">
                  <c:v>1.8968894918255441</c:v>
                </c:pt>
                <c:pt idx="1524">
                  <c:v>1.895468769106633</c:v>
                </c:pt>
                <c:pt idx="1525">
                  <c:v>1.8946903342702637</c:v>
                </c:pt>
                <c:pt idx="1526">
                  <c:v>1.889239936898331</c:v>
                </c:pt>
                <c:pt idx="1527">
                  <c:v>1.8800848170860114</c:v>
                </c:pt>
                <c:pt idx="1528">
                  <c:v>1.8778495837932563</c:v>
                </c:pt>
                <c:pt idx="1529">
                  <c:v>1.8721690895569301</c:v>
                </c:pt>
                <c:pt idx="1530">
                  <c:v>1.8715075363823024</c:v>
                </c:pt>
                <c:pt idx="1531">
                  <c:v>1.8715075363823024</c:v>
                </c:pt>
                <c:pt idx="1532">
                  <c:v>1.8644573313699864</c:v>
                </c:pt>
                <c:pt idx="1533">
                  <c:v>1.864324545808608</c:v>
                </c:pt>
                <c:pt idx="1534">
                  <c:v>1.8619175204852976</c:v>
                </c:pt>
                <c:pt idx="1535">
                  <c:v>1.858298779976316</c:v>
                </c:pt>
                <c:pt idx="1536">
                  <c:v>1.8577614058247158</c:v>
                </c:pt>
                <c:pt idx="1537">
                  <c:v>1.8550709839226887</c:v>
                </c:pt>
                <c:pt idx="1538">
                  <c:v>1.8527777891109878</c:v>
                </c:pt>
                <c:pt idx="1539">
                  <c:v>1.851830644386091</c:v>
                </c:pt>
                <c:pt idx="1540">
                  <c:v>1.8504790965254034</c:v>
                </c:pt>
                <c:pt idx="1541">
                  <c:v>1.8492604452722927</c:v>
                </c:pt>
                <c:pt idx="1542">
                  <c:v>1.8477688688882552</c:v>
                </c:pt>
                <c:pt idx="1543">
                  <c:v>1.8443698590726312</c:v>
                </c:pt>
                <c:pt idx="1544">
                  <c:v>1.8431447806144883</c:v>
                </c:pt>
                <c:pt idx="1545">
                  <c:v>1.8425990506558458</c:v>
                </c:pt>
                <c:pt idx="1546">
                  <c:v>1.8421904476669073</c:v>
                </c:pt>
                <c:pt idx="1547">
                  <c:v>1.8400058413554081</c:v>
                </c:pt>
                <c:pt idx="1548">
                  <c:v>1.8341096489902182</c:v>
                </c:pt>
                <c:pt idx="1549">
                  <c:v>1.8336964236008519</c:v>
                </c:pt>
                <c:pt idx="1550">
                  <c:v>1.8305291105075481</c:v>
                </c:pt>
                <c:pt idx="1551">
                  <c:v>1.8299772997325729</c:v>
                </c:pt>
                <c:pt idx="1552">
                  <c:v>1.8272132115458322</c:v>
                </c:pt>
                <c:pt idx="1553">
                  <c:v>1.8243029763834056</c:v>
                </c:pt>
                <c:pt idx="1554">
                  <c:v>1.8241631101167499</c:v>
                </c:pt>
                <c:pt idx="1555">
                  <c:v>1.8218014739246473</c:v>
                </c:pt>
                <c:pt idx="1556">
                  <c:v>1.8213861466885022</c:v>
                </c:pt>
                <c:pt idx="1557">
                  <c:v>1.8194344409144381</c:v>
                </c:pt>
                <c:pt idx="1558">
                  <c:v>1.8184580172403337</c:v>
                </c:pt>
                <c:pt idx="1559">
                  <c:v>1.8179003407866952</c:v>
                </c:pt>
                <c:pt idx="1560">
                  <c:v>1.8142645586570294</c:v>
                </c:pt>
                <c:pt idx="1561">
                  <c:v>1.8092106842944236</c:v>
                </c:pt>
                <c:pt idx="1562">
                  <c:v>1.8054043397586996</c:v>
                </c:pt>
                <c:pt idx="1563">
                  <c:v>1.8052618512077285</c:v>
                </c:pt>
                <c:pt idx="1564">
                  <c:v>1.8035672353708436</c:v>
                </c:pt>
                <c:pt idx="1565">
                  <c:v>1.797467282945898</c:v>
                </c:pt>
                <c:pt idx="1566">
                  <c:v>1.7970385344017523</c:v>
                </c:pt>
                <c:pt idx="1567">
                  <c:v>1.7953308164473301</c:v>
                </c:pt>
                <c:pt idx="1568">
                  <c:v>1.7867462223624806</c:v>
                </c:pt>
                <c:pt idx="1569">
                  <c:v>1.7866027655073131</c:v>
                </c:pt>
                <c:pt idx="1570">
                  <c:v>1.7851662076047703</c:v>
                </c:pt>
                <c:pt idx="1571">
                  <c:v>1.7843016953506809</c:v>
                </c:pt>
                <c:pt idx="1572">
                  <c:v>1.7819971965369314</c:v>
                </c:pt>
                <c:pt idx="1573">
                  <c:v>1.7814191900411103</c:v>
                </c:pt>
                <c:pt idx="1574">
                  <c:v>1.7812754690433692</c:v>
                </c:pt>
                <c:pt idx="1575">
                  <c:v>1.7806973200663252</c:v>
                </c:pt>
                <c:pt idx="1576">
                  <c:v>1.7795406807972065</c:v>
                </c:pt>
                <c:pt idx="1577">
                  <c:v>1.7760680492304084</c:v>
                </c:pt>
                <c:pt idx="1578">
                  <c:v>1.7743270171267793</c:v>
                </c:pt>
                <c:pt idx="1579">
                  <c:v>1.7734529214217907</c:v>
                </c:pt>
                <c:pt idx="1580">
                  <c:v>1.7709797563653249</c:v>
                </c:pt>
                <c:pt idx="1581">
                  <c:v>1.7696686797946493</c:v>
                </c:pt>
                <c:pt idx="1582">
                  <c:v>1.7696686797946493</c:v>
                </c:pt>
                <c:pt idx="1583">
                  <c:v>1.7676256224199385</c:v>
                </c:pt>
                <c:pt idx="1584">
                  <c:v>1.7651397487293981</c:v>
                </c:pt>
                <c:pt idx="1585">
                  <c:v>1.7648459352933601</c:v>
                </c:pt>
                <c:pt idx="1586">
                  <c:v>1.762941102768866</c:v>
                </c:pt>
                <c:pt idx="1587">
                  <c:v>1.7608872270861475</c:v>
                </c:pt>
                <c:pt idx="1588">
                  <c:v>1.7567658678455438</c:v>
                </c:pt>
                <c:pt idx="1589">
                  <c:v>1.7526296157742396</c:v>
                </c:pt>
                <c:pt idx="1590">
                  <c:v>1.747736133489016</c:v>
                </c:pt>
                <c:pt idx="1591">
                  <c:v>1.7458019463435615</c:v>
                </c:pt>
                <c:pt idx="1592">
                  <c:v>1.7413288020138071</c:v>
                </c:pt>
                <c:pt idx="1593">
                  <c:v>1.7404295992950591</c:v>
                </c:pt>
                <c:pt idx="1594">
                  <c:v>1.7360856140583236</c:v>
                </c:pt>
                <c:pt idx="1595">
                  <c:v>1.7351850788192746</c:v>
                </c:pt>
                <c:pt idx="1596">
                  <c:v>1.7336815246413708</c:v>
                </c:pt>
                <c:pt idx="1597">
                  <c:v>1.7299166681799509</c:v>
                </c:pt>
                <c:pt idx="1598">
                  <c:v>1.7273494262263616</c:v>
                </c:pt>
                <c:pt idx="1599">
                  <c:v>1.726592871364476</c:v>
                </c:pt>
                <c:pt idx="1600">
                  <c:v>1.7234123756001603</c:v>
                </c:pt>
                <c:pt idx="1601">
                  <c:v>1.7130534737132241</c:v>
                </c:pt>
                <c:pt idx="1602">
                  <c:v>1.710758664223599</c:v>
                </c:pt>
                <c:pt idx="1603">
                  <c:v>1.704457586057734</c:v>
                </c:pt>
                <c:pt idx="1604">
                  <c:v>1.7033797966284008</c:v>
                </c:pt>
                <c:pt idx="1605">
                  <c:v>1.702452022792772</c:v>
                </c:pt>
                <c:pt idx="1606">
                  <c:v>1.6996740183845895</c:v>
                </c:pt>
                <c:pt idx="1607">
                  <c:v>1.6978166501056431</c:v>
                </c:pt>
                <c:pt idx="1608">
                  <c:v>1.6961122697401347</c:v>
                </c:pt>
                <c:pt idx="1609">
                  <c:v>1.6959552106634841</c:v>
                </c:pt>
                <c:pt idx="1610">
                  <c:v>1.6847373298261112</c:v>
                </c:pt>
                <c:pt idx="1611">
                  <c:v>1.6822305038486955</c:v>
                </c:pt>
                <c:pt idx="1612">
                  <c:v>1.6805038209350385</c:v>
                </c:pt>
                <c:pt idx="1613">
                  <c:v>1.6801886168526674</c:v>
                </c:pt>
                <c:pt idx="1614">
                  <c:v>1.677360699196994</c:v>
                </c:pt>
                <c:pt idx="1615">
                  <c:v>1.675152390649608</c:v>
                </c:pt>
                <c:pt idx="1616">
                  <c:v>1.6724695320206018</c:v>
                </c:pt>
                <c:pt idx="1617">
                  <c:v>1.6707295001525662</c:v>
                </c:pt>
                <c:pt idx="1618">
                  <c:v>1.6672443371302859</c:v>
                </c:pt>
                <c:pt idx="1619">
                  <c:v>1.6662895323923552</c:v>
                </c:pt>
                <c:pt idx="1620">
                  <c:v>1.6546467209104392</c:v>
                </c:pt>
                <c:pt idx="1621">
                  <c:v>1.6530427163709374</c:v>
                </c:pt>
                <c:pt idx="1622">
                  <c:v>1.6509561605064116</c:v>
                </c:pt>
                <c:pt idx="1623">
                  <c:v>1.6451579922102513</c:v>
                </c:pt>
                <c:pt idx="1624">
                  <c:v>1.639168794715923</c:v>
                </c:pt>
                <c:pt idx="1625">
                  <c:v>1.630874796731411</c:v>
                </c:pt>
                <c:pt idx="1626">
                  <c:v>1.6241655560415142</c:v>
                </c:pt>
                <c:pt idx="1627">
                  <c:v>1.6169317648667796</c:v>
                </c:pt>
                <c:pt idx="1628">
                  <c:v>1.6147867479210305</c:v>
                </c:pt>
                <c:pt idx="1629">
                  <c:v>1.6126377753914982</c:v>
                </c:pt>
                <c:pt idx="1630">
                  <c:v>1.6088265513143987</c:v>
                </c:pt>
                <c:pt idx="1631">
                  <c:v>1.6055055404256606</c:v>
                </c:pt>
                <c:pt idx="1632">
                  <c:v>1.6018404875754668</c:v>
                </c:pt>
                <c:pt idx="1633">
                  <c:v>1.5951546614304239</c:v>
                </c:pt>
                <c:pt idx="1634">
                  <c:v>1.5882703491447152</c:v>
                </c:pt>
                <c:pt idx="1635">
                  <c:v>1.5869208418086018</c:v>
                </c:pt>
                <c:pt idx="1636">
                  <c:v>1.5842212358643009</c:v>
                </c:pt>
                <c:pt idx="1637">
                  <c:v>1.5752404385887835</c:v>
                </c:pt>
                <c:pt idx="1638">
                  <c:v>1.5653468874790206</c:v>
                </c:pt>
                <c:pt idx="1639">
                  <c:v>1.5650029247248998</c:v>
                </c:pt>
                <c:pt idx="1640">
                  <c:v>1.5639743149949856</c:v>
                </c:pt>
                <c:pt idx="1641">
                  <c:v>1.5636336515207945</c:v>
                </c:pt>
                <c:pt idx="1642">
                  <c:v>1.5620905231921036</c:v>
                </c:pt>
                <c:pt idx="1643">
                  <c:v>1.5598556411976203</c:v>
                </c:pt>
                <c:pt idx="1644">
                  <c:v>1.5595148608611042</c:v>
                </c:pt>
                <c:pt idx="1645">
                  <c:v>1.555555115246618</c:v>
                </c:pt>
                <c:pt idx="1646">
                  <c:v>1.5527942695110586</c:v>
                </c:pt>
                <c:pt idx="1647">
                  <c:v>1.5522761292896285</c:v>
                </c:pt>
                <c:pt idx="1648">
                  <c:v>1.5515841304583418</c:v>
                </c:pt>
                <c:pt idx="1649">
                  <c:v>1.5409993921463332</c:v>
                </c:pt>
                <c:pt idx="1650">
                  <c:v>1.5397782441768562</c:v>
                </c:pt>
                <c:pt idx="1651">
                  <c:v>1.5357628720739835</c:v>
                </c:pt>
                <c:pt idx="1652">
                  <c:v>1.5284023281872023</c:v>
                </c:pt>
                <c:pt idx="1653">
                  <c:v>1.5213571926156322</c:v>
                </c:pt>
                <c:pt idx="1654">
                  <c:v>1.5195922054495772</c:v>
                </c:pt>
                <c:pt idx="1655">
                  <c:v>1.5171169838203065</c:v>
                </c:pt>
                <c:pt idx="1656">
                  <c:v>1.5057394289120904</c:v>
                </c:pt>
                <c:pt idx="1657">
                  <c:v>1.5034171750659151</c:v>
                </c:pt>
                <c:pt idx="1658">
                  <c:v>1.5021671852773903</c:v>
                </c:pt>
                <c:pt idx="1659">
                  <c:v>1.5001966108731355</c:v>
                </c:pt>
                <c:pt idx="1660">
                  <c:v>1.4989431694844058</c:v>
                </c:pt>
                <c:pt idx="1661">
                  <c:v>1.496070847025937</c:v>
                </c:pt>
                <c:pt idx="1662">
                  <c:v>1.4948139430660696</c:v>
                </c:pt>
                <c:pt idx="1663">
                  <c:v>1.488689913942971</c:v>
                </c:pt>
                <c:pt idx="1664">
                  <c:v>1.4885088995722253</c:v>
                </c:pt>
                <c:pt idx="1665">
                  <c:v>1.4872451395048867</c:v>
                </c:pt>
                <c:pt idx="1666">
                  <c:v>1.4809059783515706</c:v>
                </c:pt>
                <c:pt idx="1667">
                  <c:v>1.4800008376804101</c:v>
                </c:pt>
                <c:pt idx="1668">
                  <c:v>1.4798164566338288</c:v>
                </c:pt>
                <c:pt idx="1669">
                  <c:v>1.4701614963017982</c:v>
                </c:pt>
                <c:pt idx="1670">
                  <c:v>1.4661386561799503</c:v>
                </c:pt>
                <c:pt idx="1671">
                  <c:v>1.4628366640722876</c:v>
                </c:pt>
                <c:pt idx="1672">
                  <c:v>1.4620991779395103</c:v>
                </c:pt>
                <c:pt idx="1673">
                  <c:v>1.46007782804696</c:v>
                </c:pt>
                <c:pt idx="1674">
                  <c:v>1.4597090964825536</c:v>
                </c:pt>
                <c:pt idx="1675">
                  <c:v>1.4582375410147888</c:v>
                </c:pt>
                <c:pt idx="1676">
                  <c:v>1.4563939521883886</c:v>
                </c:pt>
                <c:pt idx="1677">
                  <c:v>1.4538096714395645</c:v>
                </c:pt>
                <c:pt idx="1678">
                  <c:v>1.4517785343638168</c:v>
                </c:pt>
                <c:pt idx="1679">
                  <c:v>1.4510378269794642</c:v>
                </c:pt>
                <c:pt idx="1680">
                  <c:v>1.4502971313063966</c:v>
                </c:pt>
                <c:pt idx="1681">
                  <c:v>1.4471468004315871</c:v>
                </c:pt>
                <c:pt idx="1682">
                  <c:v>1.4417549606850102</c:v>
                </c:pt>
                <c:pt idx="1683">
                  <c:v>1.441011092225492</c:v>
                </c:pt>
                <c:pt idx="1684">
                  <c:v>1.4400796050457991</c:v>
                </c:pt>
                <c:pt idx="1685">
                  <c:v>1.4237769167180085</c:v>
                </c:pt>
                <c:pt idx="1686">
                  <c:v>1.4211384467057409</c:v>
                </c:pt>
                <c:pt idx="1687">
                  <c:v>1.4143295714231674</c:v>
                </c:pt>
                <c:pt idx="1688">
                  <c:v>1.4131916493279575</c:v>
                </c:pt>
                <c:pt idx="1689">
                  <c:v>1.412435305371929</c:v>
                </c:pt>
                <c:pt idx="1690">
                  <c:v>1.4092061487160779</c:v>
                </c:pt>
                <c:pt idx="1691">
                  <c:v>1.406158253685458</c:v>
                </c:pt>
                <c:pt idx="1692">
                  <c:v>1.4057768883517046</c:v>
                </c:pt>
                <c:pt idx="1693">
                  <c:v>1.4052082024028449</c:v>
                </c:pt>
                <c:pt idx="1694">
                  <c:v>1.403107585890581</c:v>
                </c:pt>
                <c:pt idx="1695">
                  <c:v>1.4000508281853568</c:v>
                </c:pt>
                <c:pt idx="1696">
                  <c:v>1.3994790090014602</c:v>
                </c:pt>
                <c:pt idx="1697">
                  <c:v>1.3987132740491992</c:v>
                </c:pt>
                <c:pt idx="1698">
                  <c:v>1.392384988833882</c:v>
                </c:pt>
                <c:pt idx="1699">
                  <c:v>1.3839051464668113</c:v>
                </c:pt>
                <c:pt idx="1700">
                  <c:v>1.3746067783674505</c:v>
                </c:pt>
                <c:pt idx="1701">
                  <c:v>1.3670101958541696</c:v>
                </c:pt>
                <c:pt idx="1702">
                  <c:v>1.3597690766219863</c:v>
                </c:pt>
                <c:pt idx="1703">
                  <c:v>1.3578063515511691</c:v>
                </c:pt>
                <c:pt idx="1704">
                  <c:v>1.3542684667149016</c:v>
                </c:pt>
                <c:pt idx="1705">
                  <c:v>1.3540719565690456</c:v>
                </c:pt>
                <c:pt idx="1706">
                  <c:v>1.3443982634421547</c:v>
                </c:pt>
                <c:pt idx="1707">
                  <c:v>1.3434068601246985</c:v>
                </c:pt>
                <c:pt idx="1708">
                  <c:v>1.3432105891614872</c:v>
                </c:pt>
                <c:pt idx="1709">
                  <c:v>1.3318779761303092</c:v>
                </c:pt>
                <c:pt idx="1710">
                  <c:v>1.3298817110030341</c:v>
                </c:pt>
                <c:pt idx="1711">
                  <c:v>1.3296824446695779</c:v>
                </c:pt>
                <c:pt idx="1712">
                  <c:v>1.3278826380099233</c:v>
                </c:pt>
                <c:pt idx="1713">
                  <c:v>1.3274808936289293</c:v>
                </c:pt>
                <c:pt idx="1714">
                  <c:v>1.3264816046092964</c:v>
                </c:pt>
                <c:pt idx="1715">
                  <c:v>1.3236769964157415</c:v>
                </c:pt>
                <c:pt idx="1716">
                  <c:v>1.3230763824481715</c:v>
                </c:pt>
                <c:pt idx="1717">
                  <c:v>1.3208668077914489</c:v>
                </c:pt>
                <c:pt idx="1718">
                  <c:v>1.3178521138921899</c:v>
                </c:pt>
                <c:pt idx="1719">
                  <c:v>1.3120054435165811</c:v>
                </c:pt>
                <c:pt idx="1720">
                  <c:v>1.3081633688824994</c:v>
                </c:pt>
                <c:pt idx="1721">
                  <c:v>1.2982173444046134</c:v>
                </c:pt>
                <c:pt idx="1722">
                  <c:v>1.2953647319386448</c:v>
                </c:pt>
                <c:pt idx="1723">
                  <c:v>1.2931179275297182</c:v>
                </c:pt>
                <c:pt idx="1724">
                  <c:v>1.2929131120447475</c:v>
                </c:pt>
                <c:pt idx="1725">
                  <c:v>1.2824634384558642</c:v>
                </c:pt>
                <c:pt idx="1726">
                  <c:v>1.2812302233525357</c:v>
                </c:pt>
                <c:pt idx="1727">
                  <c:v>1.2799972684879437</c:v>
                </c:pt>
                <c:pt idx="1728">
                  <c:v>1.2696726470073507</c:v>
                </c:pt>
                <c:pt idx="1729">
                  <c:v>1.2673929342211847</c:v>
                </c:pt>
                <c:pt idx="1730">
                  <c:v>1.2630302622664</c:v>
                </c:pt>
                <c:pt idx="1731">
                  <c:v>1.2597022946657073</c:v>
                </c:pt>
                <c:pt idx="1732">
                  <c:v>1.258034173077996</c:v>
                </c:pt>
                <c:pt idx="1733">
                  <c:v>1.2540663247326493</c:v>
                </c:pt>
                <c:pt idx="1734">
                  <c:v>1.2536496973436475</c:v>
                </c:pt>
                <c:pt idx="1735">
                  <c:v>1.2515572330783979</c:v>
                </c:pt>
                <c:pt idx="1736">
                  <c:v>1.2448462264998346</c:v>
                </c:pt>
                <c:pt idx="1737">
                  <c:v>1.238317676821769</c:v>
                </c:pt>
                <c:pt idx="1738">
                  <c:v>1.233248230510523</c:v>
                </c:pt>
                <c:pt idx="1739">
                  <c:v>1.2330358967859989</c:v>
                </c:pt>
                <c:pt idx="1740">
                  <c:v>1.2294342312302149</c:v>
                </c:pt>
                <c:pt idx="1741">
                  <c:v>1.2292220717127009</c:v>
                </c:pt>
                <c:pt idx="1742">
                  <c:v>1.2281614207782678</c:v>
                </c:pt>
                <c:pt idx="1743">
                  <c:v>1.2266736593726077</c:v>
                </c:pt>
                <c:pt idx="1744">
                  <c:v>1.2264616275656015</c:v>
                </c:pt>
                <c:pt idx="1745">
                  <c:v>1.2230606869511953</c:v>
                </c:pt>
                <c:pt idx="1746">
                  <c:v>1.2016429236626269</c:v>
                </c:pt>
                <c:pt idx="1747">
                  <c:v>1.1988383855838136</c:v>
                </c:pt>
                <c:pt idx="1748">
                  <c:v>1.1938662815379193</c:v>
                </c:pt>
                <c:pt idx="1749">
                  <c:v>1.1934357614545392</c:v>
                </c:pt>
                <c:pt idx="1750">
                  <c:v>1.1934357614545392</c:v>
                </c:pt>
                <c:pt idx="1751">
                  <c:v>1.1904007759427759</c:v>
                </c:pt>
                <c:pt idx="1752">
                  <c:v>1.1851871962302079</c:v>
                </c:pt>
                <c:pt idx="1753">
                  <c:v>1.1849707869639698</c:v>
                </c:pt>
                <c:pt idx="1754">
                  <c:v>1.1849707869639698</c:v>
                </c:pt>
                <c:pt idx="1755">
                  <c:v>1.1838792340989388</c:v>
                </c:pt>
                <c:pt idx="1756">
                  <c:v>1.1812646335091705</c:v>
                </c:pt>
                <c:pt idx="1757">
                  <c:v>1.175370578146506</c:v>
                </c:pt>
                <c:pt idx="1758">
                  <c:v>1.1714259288998872</c:v>
                </c:pt>
                <c:pt idx="1759">
                  <c:v>1.168353610528051</c:v>
                </c:pt>
                <c:pt idx="1760">
                  <c:v>1.1564523566379683</c:v>
                </c:pt>
                <c:pt idx="1761">
                  <c:v>1.1562312078291657</c:v>
                </c:pt>
                <c:pt idx="1762">
                  <c:v>1.1319593014787934</c:v>
                </c:pt>
                <c:pt idx="1763">
                  <c:v>1.1315074671567671</c:v>
                </c:pt>
                <c:pt idx="1764">
                  <c:v>1.1312847549028717</c:v>
                </c:pt>
                <c:pt idx="1765">
                  <c:v>1.1281429539090029</c:v>
                </c:pt>
                <c:pt idx="1766">
                  <c:v>1.1245438118605762</c:v>
                </c:pt>
                <c:pt idx="1767">
                  <c:v>1.1227409952517189</c:v>
                </c:pt>
                <c:pt idx="1768">
                  <c:v>1.1213863805658426</c:v>
                </c:pt>
                <c:pt idx="1769">
                  <c:v>1.1198072565547452</c:v>
                </c:pt>
                <c:pt idx="1770">
                  <c:v>1.1155114855934778</c:v>
                </c:pt>
                <c:pt idx="1771">
                  <c:v>1.1137011759182163</c:v>
                </c:pt>
                <c:pt idx="1772">
                  <c:v>1.1034796686780197</c:v>
                </c:pt>
                <c:pt idx="1773">
                  <c:v>1.1032526341383937</c:v>
                </c:pt>
                <c:pt idx="1774">
                  <c:v>1.1023383631960384</c:v>
                </c:pt>
                <c:pt idx="1775">
                  <c:v>1.1009706303999889</c:v>
                </c:pt>
                <c:pt idx="1776">
                  <c:v>1.0970883058767216</c:v>
                </c:pt>
                <c:pt idx="1777">
                  <c:v>1.0943425867053949</c:v>
                </c:pt>
                <c:pt idx="1778">
                  <c:v>1.093424774814707</c:v>
                </c:pt>
                <c:pt idx="1779">
                  <c:v>1.083545293439975</c:v>
                </c:pt>
                <c:pt idx="1780">
                  <c:v>1.0719902717555521</c:v>
                </c:pt>
                <c:pt idx="1781">
                  <c:v>1.0671133263051638</c:v>
                </c:pt>
                <c:pt idx="1782">
                  <c:v>1.0626926879690761</c:v>
                </c:pt>
                <c:pt idx="1783">
                  <c:v>1.058257592291753</c:v>
                </c:pt>
                <c:pt idx="1784">
                  <c:v>1.0559187932185492</c:v>
                </c:pt>
                <c:pt idx="1785">
                  <c:v>1.0552181770927511</c:v>
                </c:pt>
                <c:pt idx="1786">
                  <c:v>1.0519376888862861</c:v>
                </c:pt>
                <c:pt idx="1787">
                  <c:v>1.0505294885080965</c:v>
                </c:pt>
                <c:pt idx="1788">
                  <c:v>1.0481821218780381</c:v>
                </c:pt>
                <c:pt idx="1789">
                  <c:v>1.0465349803519093</c:v>
                </c:pt>
                <c:pt idx="1790">
                  <c:v>1.0389957758126847</c:v>
                </c:pt>
                <c:pt idx="1791">
                  <c:v>1.0323728398283829</c:v>
                </c:pt>
                <c:pt idx="1792">
                  <c:v>1.0116357877281581</c:v>
                </c:pt>
                <c:pt idx="1793">
                  <c:v>1.0068344181958997</c:v>
                </c:pt>
                <c:pt idx="1794">
                  <c:v>1.0027437306735003</c:v>
                </c:pt>
                <c:pt idx="1795">
                  <c:v>1.0000903368180805</c:v>
                </c:pt>
                <c:pt idx="1796">
                  <c:v>0.99526149468173419</c:v>
                </c:pt>
                <c:pt idx="1797">
                  <c:v>0.99187383372643312</c:v>
                </c:pt>
                <c:pt idx="1798">
                  <c:v>0.99162924939976904</c:v>
                </c:pt>
                <c:pt idx="1799">
                  <c:v>0.98968862008871883</c:v>
                </c:pt>
                <c:pt idx="1800">
                  <c:v>0.98847620600524233</c:v>
                </c:pt>
                <c:pt idx="1801">
                  <c:v>0.98799082232901125</c:v>
                </c:pt>
                <c:pt idx="1802">
                  <c:v>0.98774666316676962</c:v>
                </c:pt>
                <c:pt idx="1803">
                  <c:v>0.98628829655371331</c:v>
                </c:pt>
                <c:pt idx="1804">
                  <c:v>0.98483089045409866</c:v>
                </c:pt>
                <c:pt idx="1805">
                  <c:v>0.98410254825587906</c:v>
                </c:pt>
                <c:pt idx="1806">
                  <c:v>0.98312778966579195</c:v>
                </c:pt>
                <c:pt idx="1807">
                  <c:v>0.9789838937498575</c:v>
                </c:pt>
                <c:pt idx="1808">
                  <c:v>0.97703037434139395</c:v>
                </c:pt>
                <c:pt idx="1809">
                  <c:v>0.97262568981366893</c:v>
                </c:pt>
                <c:pt idx="1810">
                  <c:v>0.97213783498037187</c:v>
                </c:pt>
                <c:pt idx="1811">
                  <c:v>0.97091419834413695</c:v>
                </c:pt>
                <c:pt idx="1812">
                  <c:v>0.9558995526472962</c:v>
                </c:pt>
                <c:pt idx="1813">
                  <c:v>0.95565012440748109</c:v>
                </c:pt>
                <c:pt idx="1814">
                  <c:v>0.95515729561330998</c:v>
                </c:pt>
                <c:pt idx="1815">
                  <c:v>0.94896845624303128</c:v>
                </c:pt>
                <c:pt idx="1816">
                  <c:v>0.94797430768289326</c:v>
                </c:pt>
                <c:pt idx="1817">
                  <c:v>0.94350079401838394</c:v>
                </c:pt>
                <c:pt idx="1818">
                  <c:v>0.94200790590217942</c:v>
                </c:pt>
                <c:pt idx="1819">
                  <c:v>0.94001519829326885</c:v>
                </c:pt>
                <c:pt idx="1820">
                  <c:v>0.93876635425941923</c:v>
                </c:pt>
                <c:pt idx="1821">
                  <c:v>0.93076782832123828</c:v>
                </c:pt>
                <c:pt idx="1822">
                  <c:v>0.92599964725316108</c:v>
                </c:pt>
                <c:pt idx="1823">
                  <c:v>0.91945831263196509</c:v>
                </c:pt>
                <c:pt idx="1824">
                  <c:v>0.91844991403876919</c:v>
                </c:pt>
                <c:pt idx="1825">
                  <c:v>0.91642891077294708</c:v>
                </c:pt>
                <c:pt idx="1826">
                  <c:v>0.91491603635219076</c:v>
                </c:pt>
                <c:pt idx="1827">
                  <c:v>0.91491603635219076</c:v>
                </c:pt>
                <c:pt idx="1828">
                  <c:v>0.91264030008457786</c:v>
                </c:pt>
                <c:pt idx="1829">
                  <c:v>0.89637364722475721</c:v>
                </c:pt>
                <c:pt idx="1830">
                  <c:v>0.89612031690079508</c:v>
                </c:pt>
                <c:pt idx="1831">
                  <c:v>0.89381895401997258</c:v>
                </c:pt>
                <c:pt idx="1832">
                  <c:v>0.88253950544928694</c:v>
                </c:pt>
                <c:pt idx="1833">
                  <c:v>0.87066864670336586</c:v>
                </c:pt>
                <c:pt idx="1834">
                  <c:v>0.86367039813484936</c:v>
                </c:pt>
                <c:pt idx="1835">
                  <c:v>0.8555960911824958</c:v>
                </c:pt>
                <c:pt idx="1836">
                  <c:v>0.85036686192013966</c:v>
                </c:pt>
                <c:pt idx="1837">
                  <c:v>0.85010906285141219</c:v>
                </c:pt>
                <c:pt idx="1838">
                  <c:v>0.84958238346331483</c:v>
                </c:pt>
                <c:pt idx="1839">
                  <c:v>0.84460423217984826</c:v>
                </c:pt>
                <c:pt idx="1840">
                  <c:v>0.84171392895665464</c:v>
                </c:pt>
                <c:pt idx="1841">
                  <c:v>0.83671018439867006</c:v>
                </c:pt>
                <c:pt idx="1842">
                  <c:v>0.83010560945103928</c:v>
                </c:pt>
                <c:pt idx="1843">
                  <c:v>0.82878362313429843</c:v>
                </c:pt>
                <c:pt idx="1844">
                  <c:v>0.82692700619255255</c:v>
                </c:pt>
                <c:pt idx="1845">
                  <c:v>0.82454045188395131</c:v>
                </c:pt>
                <c:pt idx="1846">
                  <c:v>0.82427305775938886</c:v>
                </c:pt>
                <c:pt idx="1847">
                  <c:v>0.82268068676100792</c:v>
                </c:pt>
                <c:pt idx="1848">
                  <c:v>0.82188237079326842</c:v>
                </c:pt>
                <c:pt idx="1849">
                  <c:v>0.81869328656216578</c:v>
                </c:pt>
                <c:pt idx="1850">
                  <c:v>0.81309021855586572</c:v>
                </c:pt>
                <c:pt idx="1851">
                  <c:v>0.80399043134691228</c:v>
                </c:pt>
                <c:pt idx="1852">
                  <c:v>0.80049749944887838</c:v>
                </c:pt>
                <c:pt idx="1853">
                  <c:v>0.79753805802482325</c:v>
                </c:pt>
                <c:pt idx="1854">
                  <c:v>0.79268384640292633</c:v>
                </c:pt>
                <c:pt idx="1855">
                  <c:v>0.7880827001415045</c:v>
                </c:pt>
                <c:pt idx="1856">
                  <c:v>0.78754489714662002</c:v>
                </c:pt>
                <c:pt idx="1857">
                  <c:v>0.78564808626805904</c:v>
                </c:pt>
                <c:pt idx="1858">
                  <c:v>0.78157295672529803</c:v>
                </c:pt>
                <c:pt idx="1859">
                  <c:v>0.77776595461553533</c:v>
                </c:pt>
                <c:pt idx="1860">
                  <c:v>0.76437571023239326</c:v>
                </c:pt>
                <c:pt idx="1861">
                  <c:v>0.76218318674617969</c:v>
                </c:pt>
                <c:pt idx="1862">
                  <c:v>0.75392628095775782</c:v>
                </c:pt>
                <c:pt idx="1863">
                  <c:v>0.7517142687908337</c:v>
                </c:pt>
                <c:pt idx="1864">
                  <c:v>0.73924668104914404</c:v>
                </c:pt>
                <c:pt idx="1865">
                  <c:v>0.73618484012330576</c:v>
                </c:pt>
                <c:pt idx="1866">
                  <c:v>0.73032538009965098</c:v>
                </c:pt>
                <c:pt idx="1867">
                  <c:v>0.72948613199363577</c:v>
                </c:pt>
                <c:pt idx="1868">
                  <c:v>0.72388849326251647</c:v>
                </c:pt>
                <c:pt idx="1869">
                  <c:v>0.7230433474731498</c:v>
                </c:pt>
                <c:pt idx="1870">
                  <c:v>0.72023549472704074</c:v>
                </c:pt>
                <c:pt idx="1871">
                  <c:v>0.71150562779755455</c:v>
                </c:pt>
                <c:pt idx="1872">
                  <c:v>0.71122163258270832</c:v>
                </c:pt>
                <c:pt idx="1873">
                  <c:v>0.70980773021687638</c:v>
                </c:pt>
                <c:pt idx="1874">
                  <c:v>0.70272805743564559</c:v>
                </c:pt>
                <c:pt idx="1875">
                  <c:v>0.70187751509869256</c:v>
                </c:pt>
                <c:pt idx="1876">
                  <c:v>0.69704268562973404</c:v>
                </c:pt>
                <c:pt idx="1877">
                  <c:v>0.69277185590833057</c:v>
                </c:pt>
                <c:pt idx="1878">
                  <c:v>0.69134510447462538</c:v>
                </c:pt>
                <c:pt idx="1879">
                  <c:v>0.69077190998225335</c:v>
                </c:pt>
                <c:pt idx="1880">
                  <c:v>0.68590884991595025</c:v>
                </c:pt>
                <c:pt idx="1881">
                  <c:v>0.6798863748199957</c:v>
                </c:pt>
                <c:pt idx="1882">
                  <c:v>0.66574828481336779</c:v>
                </c:pt>
                <c:pt idx="1883">
                  <c:v>0.66371837674888945</c:v>
                </c:pt>
                <c:pt idx="1884">
                  <c:v>0.65674276680698318</c:v>
                </c:pt>
                <c:pt idx="1885">
                  <c:v>0.65645290145366597</c:v>
                </c:pt>
                <c:pt idx="1886">
                  <c:v>0.65441159541684812</c:v>
                </c:pt>
                <c:pt idx="1887">
                  <c:v>0.65061937067067477</c:v>
                </c:pt>
                <c:pt idx="1888">
                  <c:v>0.63771998304414701</c:v>
                </c:pt>
                <c:pt idx="1889">
                  <c:v>0.63182589235738995</c:v>
                </c:pt>
                <c:pt idx="1890">
                  <c:v>0.62827585613829173</c:v>
                </c:pt>
                <c:pt idx="1891">
                  <c:v>0.61818974696937168</c:v>
                </c:pt>
                <c:pt idx="1892">
                  <c:v>0.61640035849030939</c:v>
                </c:pt>
                <c:pt idx="1893">
                  <c:v>0.60804130407591639</c:v>
                </c:pt>
                <c:pt idx="1894">
                  <c:v>0.59723517097619749</c:v>
                </c:pt>
                <c:pt idx="1895">
                  <c:v>0.5966301390688894</c:v>
                </c:pt>
                <c:pt idx="1896">
                  <c:v>0.59391918444960889</c:v>
                </c:pt>
                <c:pt idx="1897">
                  <c:v>0.58241595870996266</c:v>
                </c:pt>
                <c:pt idx="1898">
                  <c:v>0.5821115592623245</c:v>
                </c:pt>
                <c:pt idx="1899">
                  <c:v>0.58150307075314611</c:v>
                </c:pt>
                <c:pt idx="1900">
                  <c:v>0.57083316185251309</c:v>
                </c:pt>
                <c:pt idx="1901">
                  <c:v>0.5622501192341276</c:v>
                </c:pt>
                <c:pt idx="1902">
                  <c:v>0.55917555219660664</c:v>
                </c:pt>
                <c:pt idx="1903">
                  <c:v>0.55207360037270947</c:v>
                </c:pt>
                <c:pt idx="1904">
                  <c:v>0.54898429647181357</c:v>
                </c:pt>
                <c:pt idx="1905">
                  <c:v>0.54215228216313904</c:v>
                </c:pt>
                <c:pt idx="1906">
                  <c:v>0.53810504607106913</c:v>
                </c:pt>
                <c:pt idx="1907">
                  <c:v>0.53717067851756262</c:v>
                </c:pt>
                <c:pt idx="1908">
                  <c:v>0.53591948058450234</c:v>
                </c:pt>
                <c:pt idx="1909">
                  <c:v>0.53436140067090465</c:v>
                </c:pt>
                <c:pt idx="1910">
                  <c:v>0.53436140067090465</c:v>
                </c:pt>
                <c:pt idx="1911">
                  <c:v>0.50504562600581993</c:v>
                </c:pt>
                <c:pt idx="1912">
                  <c:v>0.50058860586174092</c:v>
                </c:pt>
                <c:pt idx="1913">
                  <c:v>0.49739447509214141</c:v>
                </c:pt>
                <c:pt idx="1914">
                  <c:v>0.48842500927497273</c:v>
                </c:pt>
                <c:pt idx="1915">
                  <c:v>0.48681922744951012</c:v>
                </c:pt>
                <c:pt idx="1916">
                  <c:v>0.47163698359364409</c:v>
                </c:pt>
                <c:pt idx="1917">
                  <c:v>0.46740880988268918</c:v>
                </c:pt>
                <c:pt idx="1918">
                  <c:v>0.46578194152178887</c:v>
                </c:pt>
                <c:pt idx="1919">
                  <c:v>0.45302242806131188</c:v>
                </c:pt>
                <c:pt idx="1920">
                  <c:v>0.44973787869575216</c:v>
                </c:pt>
                <c:pt idx="1921">
                  <c:v>0.44743146718722476</c:v>
                </c:pt>
                <c:pt idx="1922">
                  <c:v>0.44413457818740121</c:v>
                </c:pt>
                <c:pt idx="1923">
                  <c:v>0.42719336955733805</c:v>
                </c:pt>
                <c:pt idx="1924">
                  <c:v>0.4228474984891018</c:v>
                </c:pt>
                <c:pt idx="1925">
                  <c:v>0.41680791718550658</c:v>
                </c:pt>
                <c:pt idx="1926">
                  <c:v>0.416139106422594</c:v>
                </c:pt>
                <c:pt idx="1927">
                  <c:v>0.39786840574203347</c:v>
                </c:pt>
                <c:pt idx="1928">
                  <c:v>0.39718724902429664</c:v>
                </c:pt>
                <c:pt idx="1929">
                  <c:v>0.3721160611392863</c:v>
                </c:pt>
                <c:pt idx="1930">
                  <c:v>0.37142149775543709</c:v>
                </c:pt>
                <c:pt idx="1931">
                  <c:v>0.3637795237912983</c:v>
                </c:pt>
                <c:pt idx="1932">
                  <c:v>0.36308355997046848</c:v>
                </c:pt>
                <c:pt idx="1933">
                  <c:v>0.36308355997046848</c:v>
                </c:pt>
                <c:pt idx="1934">
                  <c:v>0.36134152798076724</c:v>
                </c:pt>
                <c:pt idx="1935">
                  <c:v>0.36064259966427242</c:v>
                </c:pt>
                <c:pt idx="1936">
                  <c:v>0.35994466951272269</c:v>
                </c:pt>
                <c:pt idx="1937">
                  <c:v>0.35714383402910072</c:v>
                </c:pt>
                <c:pt idx="1938">
                  <c:v>0.35679407092816362</c:v>
                </c:pt>
                <c:pt idx="1939">
                  <c:v>0.35644456117187623</c:v>
                </c:pt>
                <c:pt idx="1940">
                  <c:v>0.35118200071606226</c:v>
                </c:pt>
                <c:pt idx="1941">
                  <c:v>0.34448841367244376</c:v>
                </c:pt>
                <c:pt idx="1942">
                  <c:v>0.33847057478865367</c:v>
                </c:pt>
                <c:pt idx="1943">
                  <c:v>0.32457469644173842</c:v>
                </c:pt>
                <c:pt idx="1944">
                  <c:v>0.32349789758018599</c:v>
                </c:pt>
                <c:pt idx="1945">
                  <c:v>0.32026602818739108</c:v>
                </c:pt>
                <c:pt idx="1946">
                  <c:v>0.31702944134944055</c:v>
                </c:pt>
                <c:pt idx="1947">
                  <c:v>0.30980599006314224</c:v>
                </c:pt>
                <c:pt idx="1948">
                  <c:v>0.30144545667196437</c:v>
                </c:pt>
                <c:pt idx="1949">
                  <c:v>0.29779321882717197</c:v>
                </c:pt>
                <c:pt idx="1950">
                  <c:v>0.29413630250637324</c:v>
                </c:pt>
                <c:pt idx="1951">
                  <c:v>0.2856759593392566</c:v>
                </c:pt>
                <c:pt idx="1952">
                  <c:v>0.28235198276893447</c:v>
                </c:pt>
                <c:pt idx="1953">
                  <c:v>0.27939062169609558</c:v>
                </c:pt>
                <c:pt idx="1954">
                  <c:v>0.27679414387904822</c:v>
                </c:pt>
                <c:pt idx="1955">
                  <c:v>0.27195192743965024</c:v>
                </c:pt>
                <c:pt idx="1956">
                  <c:v>0.27120207930585599</c:v>
                </c:pt>
                <c:pt idx="1957">
                  <c:v>0.26821864051493416</c:v>
                </c:pt>
                <c:pt idx="1958">
                  <c:v>0.26634399225437755</c:v>
                </c:pt>
                <c:pt idx="1959">
                  <c:v>0.26409465889293038</c:v>
                </c:pt>
                <c:pt idx="1960">
                  <c:v>0.25732082447595284</c:v>
                </c:pt>
                <c:pt idx="1961">
                  <c:v>0.25467302551155441</c:v>
                </c:pt>
                <c:pt idx="1962">
                  <c:v>0.24708255185677816</c:v>
                </c:pt>
                <c:pt idx="1963">
                  <c:v>0.24479870564244402</c:v>
                </c:pt>
                <c:pt idx="1964">
                  <c:v>0.23867688729354017</c:v>
                </c:pt>
                <c:pt idx="1965">
                  <c:v>0.23637528028795277</c:v>
                </c:pt>
                <c:pt idx="1966">
                  <c:v>0.23560579105130319</c:v>
                </c:pt>
                <c:pt idx="1967">
                  <c:v>0.22711330370025243</c:v>
                </c:pt>
                <c:pt idx="1968">
                  <c:v>0.20243822030030431</c:v>
                </c:pt>
                <c:pt idx="1969">
                  <c:v>0.19607476996246179</c:v>
                </c:pt>
                <c:pt idx="1970">
                  <c:v>0.19408218478453484</c:v>
                </c:pt>
                <c:pt idx="1971">
                  <c:v>0.18444551498649725</c:v>
                </c:pt>
                <c:pt idx="1972">
                  <c:v>0.18323726301777249</c:v>
                </c:pt>
                <c:pt idx="1973">
                  <c:v>0.1632494941425498</c:v>
                </c:pt>
                <c:pt idx="1974">
                  <c:v>0.16118974445169809</c:v>
                </c:pt>
                <c:pt idx="1975">
                  <c:v>0.15787783174969866</c:v>
                </c:pt>
                <c:pt idx="1976">
                  <c:v>0.14996634906926179</c:v>
                </c:pt>
                <c:pt idx="1977">
                  <c:v>0.14618788702034588</c:v>
                </c:pt>
                <c:pt idx="1978">
                  <c:v>0.14618788702034588</c:v>
                </c:pt>
                <c:pt idx="1979">
                  <c:v>0.14618788702034588</c:v>
                </c:pt>
                <c:pt idx="1980">
                  <c:v>0.13774527833498679</c:v>
                </c:pt>
                <c:pt idx="1981">
                  <c:v>0.13263245330163365</c:v>
                </c:pt>
                <c:pt idx="1982">
                  <c:v>0.13006971645775936</c:v>
                </c:pt>
                <c:pt idx="1983">
                  <c:v>0.10878772463080631</c:v>
                </c:pt>
                <c:pt idx="1984">
                  <c:v>0.10701927147388141</c:v>
                </c:pt>
                <c:pt idx="1985">
                  <c:v>0.10392442324174957</c:v>
                </c:pt>
                <c:pt idx="1986">
                  <c:v>8.9574221257763348E-2</c:v>
                </c:pt>
                <c:pt idx="1987">
                  <c:v>8.8209962538414496E-2</c:v>
                </c:pt>
                <c:pt idx="1988">
                  <c:v>7.2090778014175808E-2</c:v>
                </c:pt>
                <c:pt idx="1989">
                  <c:v>7.0212913181136413E-2</c:v>
                </c:pt>
                <c:pt idx="1990">
                  <c:v>5.7872728683278828E-2</c:v>
                </c:pt>
                <c:pt idx="1991">
                  <c:v>5.3520138288161018E-2</c:v>
                </c:pt>
                <c:pt idx="1992">
                  <c:v>2.4741481590884344E-2</c:v>
                </c:pt>
                <c:pt idx="1993">
                  <c:v>2.2076214182966358E-2</c:v>
                </c:pt>
                <c:pt idx="1994">
                  <c:v>2.1006655568257166E-2</c:v>
                </c:pt>
                <c:pt idx="1995">
                  <c:v>1.5544468148053088E-2</c:v>
                </c:pt>
                <c:pt idx="1996">
                  <c:v>9.9023711313841224E-3</c:v>
                </c:pt>
                <c:pt idx="1997">
                  <c:v>9.3254517283041689E-3</c:v>
                </c:pt>
                <c:pt idx="1998">
                  <c:v>5.1769274120021134E-3</c:v>
                </c:pt>
                <c:pt idx="1999">
                  <c:v>3.3255648031659656E-3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A9-464C-8B76-612EC68D2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604496"/>
        <c:axId val="771259416"/>
      </c:scatterChart>
      <c:valAx>
        <c:axId val="770604496"/>
        <c:scaling>
          <c:orientation val="minMax"/>
          <c:max val="2.1"/>
          <c:min val="0.9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259416"/>
        <c:crosses val="autoZero"/>
        <c:crossBetween val="midCat"/>
      </c:valAx>
      <c:valAx>
        <c:axId val="77125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0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</xdr:row>
      <xdr:rowOff>9525</xdr:rowOff>
    </xdr:from>
    <xdr:to>
      <xdr:col>25</xdr:col>
      <xdr:colOff>314325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60662-1E3E-4087-9BE7-3392BA70E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</xdr:colOff>
      <xdr:row>11</xdr:row>
      <xdr:rowOff>85726</xdr:rowOff>
    </xdr:from>
    <xdr:to>
      <xdr:col>10</xdr:col>
      <xdr:colOff>33337</xdr:colOff>
      <xdr:row>30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5A112B-7454-4527-8F6E-9329DD7E4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ini/Dropbox/Capstone%20Project/Finance%20Plan/Old%20versions/VReeMind%20Financial%20Projections%20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0305%20Omlis%20Financial%20Model%20(with%20Actuals)%20%20v8.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183e9fd02d5089e/01.%20ARC%20Financial%20Ltd/07.%20Projects/1.%20Ongoing%20Projects/12.%20Trueco%20Ltd/DJ%20McGough/5.%20Cashflow%20Analysis/Post%20CVA/Cashflow%20Summary%2029-6-17%20post%20C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Assumptions"/>
      <sheetName val="Roadmap"/>
      <sheetName val="Investment &amp; Cash"/>
      <sheetName val="Cap Table"/>
      <sheetName val="ROI Analysis"/>
      <sheetName val="Costs"/>
      <sheetName val="Personnel Plan"/>
      <sheetName val="Rev Forecast"/>
    </sheetNames>
    <sheetDataSet>
      <sheetData sheetId="0"/>
      <sheetData sheetId="1"/>
      <sheetData sheetId="2"/>
      <sheetData sheetId="3">
        <row r="10">
          <cell r="D10" t="str">
            <v>Month 4</v>
          </cell>
        </row>
        <row r="11">
          <cell r="D11" t="str">
            <v>Month 13</v>
          </cell>
        </row>
        <row r="12">
          <cell r="D12" t="str">
            <v>Month 25</v>
          </cell>
        </row>
        <row r="13">
          <cell r="D13" t="str">
            <v>Month 37</v>
          </cell>
        </row>
        <row r="14">
          <cell r="D14" t="str">
            <v>Month 49</v>
          </cell>
        </row>
      </sheetData>
      <sheetData sheetId="4"/>
      <sheetData sheetId="5">
        <row r="1">
          <cell r="E1" t="str">
            <v>Norm Dist</v>
          </cell>
          <cell r="Q1" t="str">
            <v>Probability Distribution</v>
          </cell>
        </row>
        <row r="2">
          <cell r="D2">
            <v>0.94183960382360965</v>
          </cell>
          <cell r="E2">
            <v>8.017674782981524E-3</v>
          </cell>
          <cell r="P2">
            <v>1.278910262142599</v>
          </cell>
          <cell r="Q2">
            <v>0.71513140767605643</v>
          </cell>
        </row>
        <row r="3">
          <cell r="D3">
            <v>0.99879718318697996</v>
          </cell>
          <cell r="E3">
            <v>2.4403282925222012E-2</v>
          </cell>
          <cell r="P3">
            <v>1.4586466165413534</v>
          </cell>
          <cell r="Q3">
            <v>3.0180938518657521</v>
          </cell>
        </row>
        <row r="4">
          <cell r="D4">
            <v>1.0148217264795676</v>
          </cell>
          <cell r="E4">
            <v>3.2660264244164378E-2</v>
          </cell>
          <cell r="P4">
            <v>1.4792370885724875</v>
          </cell>
          <cell r="Q4">
            <v>3.127913795075203</v>
          </cell>
        </row>
        <row r="5">
          <cell r="D5">
            <v>1.0222488993022125</v>
          </cell>
          <cell r="E5">
            <v>3.7263155835832978E-2</v>
          </cell>
          <cell r="P5">
            <v>1.530091428564194</v>
          </cell>
          <cell r="Q5">
            <v>3.0490263522909875</v>
          </cell>
        </row>
        <row r="6">
          <cell r="D6">
            <v>1.0561189567160909</v>
          </cell>
          <cell r="E6">
            <v>6.6240596033259991E-2</v>
          </cell>
          <cell r="P6">
            <v>1.7363498469555623</v>
          </cell>
          <cell r="Q6">
            <v>0.5220155839767634</v>
          </cell>
        </row>
        <row r="7">
          <cell r="D7">
            <v>1.0745018064917531</v>
          </cell>
          <cell r="E7">
            <v>8.8916428866591776E-2</v>
          </cell>
        </row>
        <row r="8">
          <cell r="D8">
            <v>1.0755764778004959</v>
          </cell>
          <cell r="E8">
            <v>9.0424904118495172E-2</v>
          </cell>
        </row>
        <row r="9">
          <cell r="D9">
            <v>1.0803707059167209</v>
          </cell>
          <cell r="E9">
            <v>9.7421381368429663E-2</v>
          </cell>
        </row>
        <row r="10">
          <cell r="D10">
            <v>1.0881322209243081</v>
          </cell>
          <cell r="E10">
            <v>0.10971530279821619</v>
          </cell>
        </row>
        <row r="11">
          <cell r="D11">
            <v>1.094807123830833</v>
          </cell>
          <cell r="E11">
            <v>0.12130463815283744</v>
          </cell>
        </row>
        <row r="12">
          <cell r="D12">
            <v>1.0979117298338679</v>
          </cell>
          <cell r="E12">
            <v>0.12703296422676083</v>
          </cell>
        </row>
        <row r="13">
          <cell r="D13">
            <v>1.1006342304826831</v>
          </cell>
          <cell r="E13">
            <v>0.13223950370200807</v>
          </cell>
        </row>
        <row r="14">
          <cell r="D14">
            <v>1.1025447572537814</v>
          </cell>
          <cell r="E14">
            <v>0.13599777256408563</v>
          </cell>
        </row>
        <row r="15">
          <cell r="D15">
            <v>1.105992661035998</v>
          </cell>
          <cell r="E15">
            <v>0.14300359008321473</v>
          </cell>
        </row>
        <row r="16">
          <cell r="D16">
            <v>1.1107540519733448</v>
          </cell>
          <cell r="E16">
            <v>0.15316427310488462</v>
          </cell>
        </row>
        <row r="17">
          <cell r="D17">
            <v>1.1128138386484352</v>
          </cell>
          <cell r="E17">
            <v>0.15773943759145542</v>
          </cell>
        </row>
        <row r="18">
          <cell r="D18">
            <v>1.1259248286150978</v>
          </cell>
          <cell r="E18">
            <v>0.18954049968362577</v>
          </cell>
        </row>
        <row r="19">
          <cell r="D19">
            <v>1.1303399365751829</v>
          </cell>
          <cell r="E19">
            <v>0.20134358879523076</v>
          </cell>
        </row>
        <row r="20">
          <cell r="D20">
            <v>1.1309727985681093</v>
          </cell>
          <cell r="E20">
            <v>0.2030825875054956</v>
          </cell>
        </row>
        <row r="21">
          <cell r="D21">
            <v>1.1343550279925694</v>
          </cell>
          <cell r="E21">
            <v>0.21258062652797152</v>
          </cell>
        </row>
        <row r="22">
          <cell r="D22">
            <v>1.135546122026426</v>
          </cell>
          <cell r="E22">
            <v>0.21600834935929505</v>
          </cell>
        </row>
        <row r="23">
          <cell r="D23">
            <v>1.136280480754067</v>
          </cell>
          <cell r="E23">
            <v>0.21814344221545284</v>
          </cell>
        </row>
        <row r="24">
          <cell r="D24">
            <v>1.1372984332992928</v>
          </cell>
          <cell r="E24">
            <v>0.22113068671570144</v>
          </cell>
        </row>
        <row r="25">
          <cell r="D25">
            <v>1.1372984332992928</v>
          </cell>
          <cell r="E25">
            <v>0.22113068671570144</v>
          </cell>
        </row>
        <row r="26">
          <cell r="D26">
            <v>1.1378745765287022</v>
          </cell>
          <cell r="E26">
            <v>0.22283570777249229</v>
          </cell>
        </row>
        <row r="27">
          <cell r="D27">
            <v>1.1385880388697842</v>
          </cell>
          <cell r="E27">
            <v>0.22496149542863234</v>
          </cell>
        </row>
        <row r="28">
          <cell r="D28">
            <v>1.1419165347288072</v>
          </cell>
          <cell r="E28">
            <v>0.23509128514591246</v>
          </cell>
        </row>
        <row r="29">
          <cell r="D29">
            <v>1.1425926820938912</v>
          </cell>
          <cell r="E29">
            <v>0.23719220432115509</v>
          </cell>
        </row>
        <row r="30">
          <cell r="D30">
            <v>1.1425926820938912</v>
          </cell>
          <cell r="E30">
            <v>0.23719220432115509</v>
          </cell>
        </row>
        <row r="31">
          <cell r="D31">
            <v>1.142859857322037</v>
          </cell>
          <cell r="E31">
            <v>0.23802642105040137</v>
          </cell>
        </row>
        <row r="32">
          <cell r="D32">
            <v>1.1466510588834353</v>
          </cell>
          <cell r="E32">
            <v>0.25011360224554458</v>
          </cell>
        </row>
        <row r="33">
          <cell r="D33">
            <v>1.1489108538298751</v>
          </cell>
          <cell r="E33">
            <v>0.25754294535080086</v>
          </cell>
        </row>
        <row r="34">
          <cell r="D34">
            <v>1.15182739235388</v>
          </cell>
          <cell r="E34">
            <v>0.26738359590001026</v>
          </cell>
        </row>
        <row r="35">
          <cell r="D35">
            <v>1.1528916154693434</v>
          </cell>
          <cell r="E35">
            <v>0.27104594566784812</v>
          </cell>
        </row>
        <row r="36">
          <cell r="D36">
            <v>1.1556633718864759</v>
          </cell>
          <cell r="E36">
            <v>0.28076625782036457</v>
          </cell>
        </row>
        <row r="37">
          <cell r="D37">
            <v>1.1588844006146246</v>
          </cell>
          <cell r="E37">
            <v>0.29239609885951362</v>
          </cell>
        </row>
        <row r="38">
          <cell r="D38">
            <v>1.1592112798043672</v>
          </cell>
          <cell r="E38">
            <v>0.29359660373961283</v>
          </cell>
        </row>
        <row r="39">
          <cell r="D39">
            <v>1.1603949108430243</v>
          </cell>
          <cell r="E39">
            <v>0.29797513267348508</v>
          </cell>
        </row>
        <row r="40">
          <cell r="D40">
            <v>1.1611382251649047</v>
          </cell>
          <cell r="E40">
            <v>0.30075014802678179</v>
          </cell>
        </row>
        <row r="41">
          <cell r="D41">
            <v>1.1613501742285735</v>
          </cell>
          <cell r="E41">
            <v>0.30154500869131884</v>
          </cell>
        </row>
        <row r="42">
          <cell r="D42">
            <v>1.1654637771825946</v>
          </cell>
          <cell r="E42">
            <v>0.31729007212543603</v>
          </cell>
        </row>
        <row r="43">
          <cell r="D43">
            <v>1.1666578564145311</v>
          </cell>
          <cell r="E43">
            <v>0.32197469396210782</v>
          </cell>
        </row>
        <row r="44">
          <cell r="D44">
            <v>1.1708923598907859</v>
          </cell>
          <cell r="E44">
            <v>0.33900741084496977</v>
          </cell>
        </row>
        <row r="45">
          <cell r="D45">
            <v>1.171078934770776</v>
          </cell>
          <cell r="E45">
            <v>0.33977306431084153</v>
          </cell>
        </row>
        <row r="46">
          <cell r="D46">
            <v>1.1716401520097861</v>
          </cell>
          <cell r="E46">
            <v>0.34208392441753671</v>
          </cell>
        </row>
        <row r="47">
          <cell r="D47">
            <v>1.1735685899693635</v>
          </cell>
          <cell r="E47">
            <v>0.35011367635211649</v>
          </cell>
        </row>
        <row r="48">
          <cell r="D48">
            <v>1.1741104034208547</v>
          </cell>
          <cell r="E48">
            <v>0.35239468576986227</v>
          </cell>
        </row>
        <row r="49">
          <cell r="D49">
            <v>1.1779866831275285</v>
          </cell>
          <cell r="E49">
            <v>0.36903561504868804</v>
          </cell>
        </row>
        <row r="50">
          <cell r="D50">
            <v>1.1797748167773534</v>
          </cell>
          <cell r="E50">
            <v>0.37690387940288311</v>
          </cell>
        </row>
        <row r="51">
          <cell r="D51">
            <v>1.1817719142927672</v>
          </cell>
          <cell r="E51">
            <v>0.38583596618117627</v>
          </cell>
        </row>
        <row r="52">
          <cell r="D52">
            <v>1.1831600313998933</v>
          </cell>
          <cell r="E52">
            <v>0.3921345573385614</v>
          </cell>
        </row>
        <row r="53">
          <cell r="D53">
            <v>1.1834824327925162</v>
          </cell>
          <cell r="E53">
            <v>0.39360807904224204</v>
          </cell>
        </row>
        <row r="54">
          <cell r="D54">
            <v>1.1834824327925162</v>
          </cell>
          <cell r="E54">
            <v>0.39360807904224204</v>
          </cell>
        </row>
        <row r="55">
          <cell r="D55">
            <v>1.1869586959564913</v>
          </cell>
          <cell r="E55">
            <v>0.40975179446334492</v>
          </cell>
        </row>
        <row r="56">
          <cell r="D56">
            <v>1.1878826147622021</v>
          </cell>
          <cell r="E56">
            <v>0.41412148159443701</v>
          </cell>
        </row>
        <row r="57">
          <cell r="D57">
            <v>1.1894767105368373</v>
          </cell>
          <cell r="E57">
            <v>0.42173919526353154</v>
          </cell>
        </row>
        <row r="58">
          <cell r="D58">
            <v>1.1904483925118257</v>
          </cell>
          <cell r="E58">
            <v>0.42643141558622644</v>
          </cell>
        </row>
        <row r="59">
          <cell r="D59">
            <v>1.1940903341692319</v>
          </cell>
          <cell r="E59">
            <v>0.44434888721889276</v>
          </cell>
        </row>
        <row r="60">
          <cell r="D60">
            <v>1.1950829125307791</v>
          </cell>
          <cell r="E60">
            <v>0.44932300291809796</v>
          </cell>
        </row>
        <row r="61">
          <cell r="D61">
            <v>1.1973113628973806</v>
          </cell>
          <cell r="E61">
            <v>0.46063284755990508</v>
          </cell>
        </row>
        <row r="62">
          <cell r="D62">
            <v>1.1979972121562241</v>
          </cell>
          <cell r="E62">
            <v>0.46415341165016299</v>
          </cell>
        </row>
        <row r="63">
          <cell r="D63">
            <v>1.1982696114810096</v>
          </cell>
          <cell r="E63">
            <v>0.46555687522600014</v>
          </cell>
        </row>
        <row r="64">
          <cell r="D64">
            <v>1.1998219144825271</v>
          </cell>
          <cell r="E64">
            <v>0.47361117144957188</v>
          </cell>
        </row>
        <row r="65">
          <cell r="D65">
            <v>1.20108316067126</v>
          </cell>
          <cell r="E65">
            <v>0.48022614108178263</v>
          </cell>
        </row>
        <row r="66">
          <cell r="D66">
            <v>1.20108316067126</v>
          </cell>
          <cell r="E66">
            <v>0.48022614108178263</v>
          </cell>
        </row>
        <row r="67">
          <cell r="D67">
            <v>1.2019369273220946</v>
          </cell>
          <cell r="E67">
            <v>0.48474007743596187</v>
          </cell>
        </row>
        <row r="68">
          <cell r="D68">
            <v>1.2032981776465022</v>
          </cell>
          <cell r="E68">
            <v>0.49199750044470109</v>
          </cell>
        </row>
        <row r="69">
          <cell r="D69">
            <v>1.2045758424246742</v>
          </cell>
          <cell r="E69">
            <v>0.49887688840613426</v>
          </cell>
        </row>
        <row r="70">
          <cell r="D70">
            <v>1.2052713935772772</v>
          </cell>
          <cell r="E70">
            <v>0.50264951980614614</v>
          </cell>
        </row>
        <row r="71">
          <cell r="D71">
            <v>1.2098163576538354</v>
          </cell>
          <cell r="E71">
            <v>0.52777990086578153</v>
          </cell>
        </row>
        <row r="72">
          <cell r="D72">
            <v>1.2110074516876921</v>
          </cell>
          <cell r="E72">
            <v>0.53450327292800293</v>
          </cell>
        </row>
        <row r="73">
          <cell r="D73">
            <v>1.2123007887557833</v>
          </cell>
          <cell r="E73">
            <v>0.54186847997377119</v>
          </cell>
        </row>
        <row r="74">
          <cell r="D74">
            <v>1.2149479131530825</v>
          </cell>
          <cell r="E74">
            <v>0.55715320081783715</v>
          </cell>
        </row>
        <row r="75">
          <cell r="D75">
            <v>1.2149479131530825</v>
          </cell>
          <cell r="E75">
            <v>0.55715320081783715</v>
          </cell>
        </row>
        <row r="76">
          <cell r="D76">
            <v>1.2152315069706674</v>
          </cell>
          <cell r="E76">
            <v>0.55880743047738446</v>
          </cell>
        </row>
        <row r="77">
          <cell r="D77">
            <v>1.2159636267997485</v>
          </cell>
          <cell r="E77">
            <v>0.56309292326258076</v>
          </cell>
        </row>
        <row r="78">
          <cell r="D78">
            <v>1.2176330988258997</v>
          </cell>
          <cell r="E78">
            <v>0.57294592016781742</v>
          </cell>
        </row>
        <row r="79">
          <cell r="D79">
            <v>1.2184570134959358</v>
          </cell>
          <cell r="E79">
            <v>0.57784986668752292</v>
          </cell>
        </row>
        <row r="80">
          <cell r="D80">
            <v>1.2189480785800697</v>
          </cell>
          <cell r="E80">
            <v>0.58078566824336042</v>
          </cell>
        </row>
        <row r="81">
          <cell r="D81">
            <v>1.2189480785800697</v>
          </cell>
          <cell r="E81">
            <v>0.58078566824336042</v>
          </cell>
        </row>
        <row r="82">
          <cell r="D82">
            <v>1.2191652517403782</v>
          </cell>
          <cell r="E82">
            <v>0.58208711447384875</v>
          </cell>
        </row>
        <row r="83">
          <cell r="D83">
            <v>1.2205660559393436</v>
          </cell>
          <cell r="E83">
            <v>0.59052717670051202</v>
          </cell>
        </row>
        <row r="84">
          <cell r="D84">
            <v>1.2206197895047808</v>
          </cell>
          <cell r="E84">
            <v>0.59085249839238929</v>
          </cell>
        </row>
        <row r="85">
          <cell r="D85">
            <v>1.2214713172570555</v>
          </cell>
          <cell r="E85">
            <v>0.596023403614936</v>
          </cell>
        </row>
        <row r="86">
          <cell r="D86">
            <v>1.2220526845831046</v>
          </cell>
          <cell r="E86">
            <v>0.59957045742191428</v>
          </cell>
        </row>
        <row r="87">
          <cell r="D87">
            <v>1.2233087066751978</v>
          </cell>
          <cell r="E87">
            <v>0.60727994790961859</v>
          </cell>
        </row>
        <row r="88">
          <cell r="D88">
            <v>1.2234124423084722</v>
          </cell>
          <cell r="E88">
            <v>0.60791950197132394</v>
          </cell>
        </row>
        <row r="89">
          <cell r="D89">
            <v>1.2250610179480645</v>
          </cell>
          <cell r="E89">
            <v>0.61814107973883603</v>
          </cell>
        </row>
        <row r="90">
          <cell r="D90">
            <v>1.225672237254912</v>
          </cell>
          <cell r="E90">
            <v>0.6219583621600846</v>
          </cell>
        </row>
        <row r="91">
          <cell r="D91">
            <v>1.2259259790916985</v>
          </cell>
          <cell r="E91">
            <v>0.62354744586946576</v>
          </cell>
        </row>
        <row r="92">
          <cell r="D92">
            <v>1.2264304775671917</v>
          </cell>
          <cell r="E92">
            <v>0.62671453874634686</v>
          </cell>
        </row>
        <row r="93">
          <cell r="D93">
            <v>1.2271334917149943</v>
          </cell>
          <cell r="E93">
            <v>0.6311447520199549</v>
          </cell>
        </row>
        <row r="94">
          <cell r="D94">
            <v>1.2276820218621651</v>
          </cell>
          <cell r="E94">
            <v>0.63461509825028561</v>
          </cell>
        </row>
        <row r="95">
          <cell r="D95">
            <v>1.2277320239300025</v>
          </cell>
          <cell r="E95">
            <v>0.63493203738302229</v>
          </cell>
        </row>
        <row r="96">
          <cell r="D96">
            <v>1.2281290552746214</v>
          </cell>
          <cell r="E96">
            <v>0.6374521530658469</v>
          </cell>
        </row>
        <row r="97">
          <cell r="D97">
            <v>1.2282768225795735</v>
          </cell>
          <cell r="E97">
            <v>0.63839168882011876</v>
          </cell>
        </row>
        <row r="98">
          <cell r="D98">
            <v>1.2286223592573151</v>
          </cell>
          <cell r="E98">
            <v>0.64059206556772996</v>
          </cell>
        </row>
        <row r="99">
          <cell r="D99">
            <v>1.2296515062953404</v>
          </cell>
          <cell r="E99">
            <v>0.64717370933338292</v>
          </cell>
        </row>
        <row r="100">
          <cell r="D100">
            <v>1.2297492715324552</v>
          </cell>
          <cell r="E100">
            <v>0.64780112286362612</v>
          </cell>
        </row>
        <row r="101">
          <cell r="D101">
            <v>1.2301866030511519</v>
          </cell>
          <cell r="E101">
            <v>0.65061234878696794</v>
          </cell>
        </row>
        <row r="102">
          <cell r="D102">
            <v>1.2302351125199493</v>
          </cell>
          <cell r="E102">
            <v>0.65092464008212914</v>
          </cell>
        </row>
        <row r="103">
          <cell r="D103">
            <v>1.2313441136066103</v>
          </cell>
          <cell r="E103">
            <v>0.65808944554397386</v>
          </cell>
        </row>
        <row r="104">
          <cell r="D104">
            <v>1.2316792020910725</v>
          </cell>
          <cell r="E104">
            <v>0.66026385967142986</v>
          </cell>
        </row>
        <row r="105">
          <cell r="D105">
            <v>1.2322031043540846</v>
          </cell>
          <cell r="E105">
            <v>0.66367236227603155</v>
          </cell>
        </row>
        <row r="106">
          <cell r="D106">
            <v>1.2326299876795019</v>
          </cell>
          <cell r="E106">
            <v>0.66645764467904978</v>
          </cell>
        </row>
        <row r="107">
          <cell r="D107">
            <v>1.2326777508487794</v>
          </cell>
          <cell r="E107">
            <v>0.66676973025320596</v>
          </cell>
        </row>
        <row r="108">
          <cell r="D108">
            <v>1.2326777508487794</v>
          </cell>
          <cell r="E108">
            <v>0.66676973025320596</v>
          </cell>
        </row>
        <row r="109">
          <cell r="D109">
            <v>1.2331494121453943</v>
          </cell>
          <cell r="E109">
            <v>0.66985638669053016</v>
          </cell>
        </row>
        <row r="110">
          <cell r="D110">
            <v>1.2341800517824595</v>
          </cell>
          <cell r="E110">
            <v>0.67663148820243124</v>
          </cell>
        </row>
        <row r="111">
          <cell r="D111">
            <v>1.2342733392224545</v>
          </cell>
          <cell r="E111">
            <v>0.67724678395427562</v>
          </cell>
        </row>
        <row r="112">
          <cell r="D112">
            <v>1.2349233661043399</v>
          </cell>
          <cell r="E112">
            <v>0.68154361204209424</v>
          </cell>
        </row>
        <row r="113">
          <cell r="D113">
            <v>1.235844299711971</v>
          </cell>
          <cell r="E113">
            <v>0.68765943911548622</v>
          </cell>
        </row>
        <row r="114">
          <cell r="D114">
            <v>1.2363017813177066</v>
          </cell>
          <cell r="E114">
            <v>0.69070981413135268</v>
          </cell>
        </row>
        <row r="115">
          <cell r="D115">
            <v>1.2364391004293793</v>
          </cell>
          <cell r="E115">
            <v>0.69162701313636843</v>
          </cell>
        </row>
        <row r="116">
          <cell r="D116">
            <v>1.2404183694698077</v>
          </cell>
          <cell r="E116">
            <v>0.71852294578603393</v>
          </cell>
        </row>
        <row r="117">
          <cell r="D117">
            <v>1.2404183694698077</v>
          </cell>
          <cell r="E117">
            <v>0.71852294578603393</v>
          </cell>
        </row>
        <row r="118">
          <cell r="D118">
            <v>1.2404616548419654</v>
          </cell>
          <cell r="E118">
            <v>0.71881886686338603</v>
          </cell>
        </row>
        <row r="119">
          <cell r="D119">
            <v>1.2405937498569983</v>
          </cell>
          <cell r="E119">
            <v>0.71972238050131654</v>
          </cell>
        </row>
        <row r="120">
          <cell r="D120">
            <v>1.242028137534362</v>
          </cell>
          <cell r="E120">
            <v>0.72957640522988176</v>
          </cell>
        </row>
        <row r="121">
          <cell r="D121">
            <v>1.2422012790229928</v>
          </cell>
          <cell r="E121">
            <v>0.73077117408576553</v>
          </cell>
        </row>
        <row r="122">
          <cell r="D122">
            <v>1.2425878621743323</v>
          </cell>
          <cell r="E122">
            <v>0.73344292431800007</v>
          </cell>
        </row>
        <row r="123">
          <cell r="D123">
            <v>1.2428460818082385</v>
          </cell>
          <cell r="E123">
            <v>0.73523069628017679</v>
          </cell>
        </row>
        <row r="124">
          <cell r="D124">
            <v>1.2430169843983094</v>
          </cell>
          <cell r="E124">
            <v>0.73641532586760194</v>
          </cell>
        </row>
        <row r="125">
          <cell r="D125">
            <v>1.2445036130420704</v>
          </cell>
          <cell r="E125">
            <v>0.74676673852523678</v>
          </cell>
        </row>
        <row r="126">
          <cell r="D126">
            <v>1.2467156448192327</v>
          </cell>
          <cell r="E126">
            <v>0.76232328623165679</v>
          </cell>
        </row>
        <row r="127">
          <cell r="D127">
            <v>1.2467984840659483</v>
          </cell>
          <cell r="E127">
            <v>0.76290943076507844</v>
          </cell>
        </row>
        <row r="128">
          <cell r="D128">
            <v>1.2471693949273686</v>
          </cell>
          <cell r="E128">
            <v>0.76553701932630513</v>
          </cell>
        </row>
        <row r="129">
          <cell r="D129">
            <v>1.2483963113381833</v>
          </cell>
          <cell r="E129">
            <v>0.77426515135764418</v>
          </cell>
        </row>
        <row r="130">
          <cell r="D130">
            <v>1.248477657985859</v>
          </cell>
          <cell r="E130">
            <v>0.77484581574626921</v>
          </cell>
        </row>
        <row r="131">
          <cell r="D131">
            <v>1.2486806514552882</v>
          </cell>
          <cell r="E131">
            <v>0.77629588120969173</v>
          </cell>
        </row>
        <row r="132">
          <cell r="D132">
            <v>1.2489231987992753</v>
          </cell>
          <cell r="E132">
            <v>0.77803049412262792</v>
          </cell>
        </row>
        <row r="133">
          <cell r="D133">
            <v>1.2500508573739353</v>
          </cell>
          <cell r="E133">
            <v>0.78612359858662528</v>
          </cell>
        </row>
        <row r="134">
          <cell r="D134">
            <v>1.250450127617114</v>
          </cell>
          <cell r="E134">
            <v>0.78900033096497846</v>
          </cell>
        </row>
        <row r="135">
          <cell r="D135">
            <v>1.2517979445501624</v>
          </cell>
          <cell r="E135">
            <v>0.79875437461241339</v>
          </cell>
        </row>
        <row r="136">
          <cell r="D136">
            <v>1.2533629346435191</v>
          </cell>
          <cell r="E136">
            <v>0.81016291375118288</v>
          </cell>
        </row>
        <row r="137">
          <cell r="D137">
            <v>1.2544062613724236</v>
          </cell>
          <cell r="E137">
            <v>0.81781767244655057</v>
          </cell>
        </row>
        <row r="138">
          <cell r="D138">
            <v>1.2554018249320507</v>
          </cell>
          <cell r="E138">
            <v>0.82515832850714066</v>
          </cell>
        </row>
        <row r="139">
          <cell r="D139">
            <v>1.2562749953704042</v>
          </cell>
          <cell r="E139">
            <v>0.83162555960382112</v>
          </cell>
        </row>
        <row r="140">
          <cell r="D140">
            <v>1.2564638091489542</v>
          </cell>
          <cell r="E140">
            <v>0.83302758003123911</v>
          </cell>
        </row>
        <row r="141">
          <cell r="D141">
            <v>1.2572914553165901</v>
          </cell>
          <cell r="E141">
            <v>0.8391880300772373</v>
          </cell>
        </row>
        <row r="142">
          <cell r="D142">
            <v>1.2590392887923372</v>
          </cell>
          <cell r="E142">
            <v>0.85227662312560937</v>
          </cell>
        </row>
        <row r="143">
          <cell r="D143">
            <v>1.2607595091858457</v>
          </cell>
          <cell r="E143">
            <v>0.86526191214088444</v>
          </cell>
        </row>
        <row r="144">
          <cell r="D144">
            <v>1.2611946018059825</v>
          </cell>
          <cell r="E144">
            <v>0.86856237005917014</v>
          </cell>
        </row>
        <row r="145">
          <cell r="D145">
            <v>1.2614475973432491</v>
          </cell>
          <cell r="E145">
            <v>0.87048447644181781</v>
          </cell>
        </row>
        <row r="146">
          <cell r="D146">
            <v>1.261844628687868</v>
          </cell>
          <cell r="E146">
            <v>0.87350527327131289</v>
          </cell>
        </row>
        <row r="147">
          <cell r="D147">
            <v>1.2625618225265498</v>
          </cell>
          <cell r="E147">
            <v>0.87897556956955436</v>
          </cell>
        </row>
        <row r="148">
          <cell r="D148">
            <v>1.2628476552426946</v>
          </cell>
          <cell r="E148">
            <v>0.8811605642421988</v>
          </cell>
        </row>
        <row r="149">
          <cell r="D149">
            <v>1.26331036094507</v>
          </cell>
          <cell r="E149">
            <v>0.8847034617006525</v>
          </cell>
        </row>
        <row r="150">
          <cell r="D150">
            <v>1.2635939547626549</v>
          </cell>
          <cell r="E150">
            <v>0.88687846765642664</v>
          </cell>
        </row>
        <row r="151">
          <cell r="D151">
            <v>1.2640185991895123</v>
          </cell>
          <cell r="E151">
            <v>0.89014028485911401</v>
          </cell>
        </row>
        <row r="152">
          <cell r="D152">
            <v>1.2644410047178098</v>
          </cell>
          <cell r="E152">
            <v>0.89339087191997812</v>
          </cell>
        </row>
        <row r="153">
          <cell r="D153">
            <v>1.264757435714273</v>
          </cell>
          <cell r="E153">
            <v>0.89582982704278202</v>
          </cell>
        </row>
        <row r="154">
          <cell r="D154">
            <v>1.2656306061526266</v>
          </cell>
          <cell r="E154">
            <v>0.90257714954055634</v>
          </cell>
        </row>
        <row r="155">
          <cell r="D155">
            <v>1.2657697910130992</v>
          </cell>
          <cell r="E155">
            <v>0.90365500666558551</v>
          </cell>
        </row>
        <row r="156">
          <cell r="D156">
            <v>1.2660127115068462</v>
          </cell>
          <cell r="E156">
            <v>0.90553772386645304</v>
          </cell>
        </row>
        <row r="157">
          <cell r="D157">
            <v>1.2660477875842844</v>
          </cell>
          <cell r="E157">
            <v>0.90580973542591803</v>
          </cell>
        </row>
        <row r="158">
          <cell r="D158">
            <v>1.2666702013839313</v>
          </cell>
          <cell r="E158">
            <v>0.9106431871120092</v>
          </cell>
        </row>
        <row r="159">
          <cell r="D159">
            <v>1.2667388609397676</v>
          </cell>
          <cell r="E159">
            <v>0.91117714799371785</v>
          </cell>
        </row>
        <row r="160">
          <cell r="D160">
            <v>1.2669455859067966</v>
          </cell>
          <cell r="E160">
            <v>0.91278576109616438</v>
          </cell>
        </row>
        <row r="161">
          <cell r="D161">
            <v>1.2690598524468442</v>
          </cell>
          <cell r="E161">
            <v>0.9293170230943395</v>
          </cell>
        </row>
        <row r="162">
          <cell r="D162">
            <v>1.2693300128730698</v>
          </cell>
          <cell r="E162">
            <v>0.93143970423221711</v>
          </cell>
        </row>
        <row r="163">
          <cell r="D163">
            <v>1.2694983034148208</v>
          </cell>
          <cell r="E163">
            <v>0.93276315452764125</v>
          </cell>
        </row>
        <row r="164">
          <cell r="D164">
            <v>1.2701024328762287</v>
          </cell>
          <cell r="E164">
            <v>0.93752146577698869</v>
          </cell>
        </row>
        <row r="165">
          <cell r="D165">
            <v>1.2702703502682198</v>
          </cell>
          <cell r="E165">
            <v>0.93884608154792948</v>
          </cell>
        </row>
        <row r="166">
          <cell r="D166">
            <v>1.2712360618470484</v>
          </cell>
          <cell r="E166">
            <v>0.94648127179858133</v>
          </cell>
        </row>
        <row r="167">
          <cell r="D167">
            <v>1.2713353196832031</v>
          </cell>
          <cell r="E167">
            <v>0.94726768405339346</v>
          </cell>
        </row>
        <row r="168">
          <cell r="D168">
            <v>1.2714017403404796</v>
          </cell>
          <cell r="E168">
            <v>0.94779410110753071</v>
          </cell>
        </row>
        <row r="169">
          <cell r="D169">
            <v>1.2714681609977561</v>
          </cell>
          <cell r="E169">
            <v>0.94832065536585408</v>
          </cell>
        </row>
        <row r="170">
          <cell r="D170">
            <v>1.2718972832217332</v>
          </cell>
          <cell r="E170">
            <v>0.95172585098518225</v>
          </cell>
        </row>
        <row r="171">
          <cell r="D171">
            <v>1.2734701094600496</v>
          </cell>
          <cell r="E171">
            <v>0.96425513768081139</v>
          </cell>
        </row>
        <row r="172">
          <cell r="D172">
            <v>1.2744750017636761</v>
          </cell>
          <cell r="E172">
            <v>0.97229967229195213</v>
          </cell>
        </row>
        <row r="173">
          <cell r="D173">
            <v>1.2751507759790002</v>
          </cell>
          <cell r="E173">
            <v>0.97772658724445172</v>
          </cell>
        </row>
        <row r="174">
          <cell r="D174">
            <v>1.2759825267939959</v>
          </cell>
          <cell r="E174">
            <v>0.98442478445201054</v>
          </cell>
        </row>
        <row r="175">
          <cell r="D175">
            <v>1.2766497185648404</v>
          </cell>
          <cell r="E175">
            <v>0.98981254217952264</v>
          </cell>
        </row>
        <row r="176">
          <cell r="D176">
            <v>1.2766497185648404</v>
          </cell>
          <cell r="E176">
            <v>0.98981254217952264</v>
          </cell>
        </row>
        <row r="177">
          <cell r="D177">
            <v>1.2766497185648404</v>
          </cell>
          <cell r="E177">
            <v>0.98981254217952264</v>
          </cell>
        </row>
        <row r="178">
          <cell r="D178">
            <v>1.2770609296003386</v>
          </cell>
          <cell r="E178">
            <v>0.99313968603632474</v>
          </cell>
        </row>
        <row r="179">
          <cell r="D179">
            <v>1.2774393034569584</v>
          </cell>
          <cell r="E179">
            <v>0.99620549515502121</v>
          </cell>
        </row>
        <row r="180">
          <cell r="D180">
            <v>1.2778169310140584</v>
          </cell>
          <cell r="E180">
            <v>0.99926939735486986</v>
          </cell>
        </row>
        <row r="181">
          <cell r="D181">
            <v>1.2781303768124417</v>
          </cell>
          <cell r="E181">
            <v>1.0018156843783101</v>
          </cell>
        </row>
        <row r="182">
          <cell r="D182">
            <v>1.2781930659721183</v>
          </cell>
          <cell r="E182">
            <v>1.0023252810911483</v>
          </cell>
        </row>
        <row r="183">
          <cell r="D183">
            <v>1.2783803871516284</v>
          </cell>
          <cell r="E183">
            <v>1.0038486768851573</v>
          </cell>
        </row>
        <row r="184">
          <cell r="D184">
            <v>1.2792214667106236</v>
          </cell>
          <cell r="E184">
            <v>1.0107011428176207</v>
          </cell>
        </row>
        <row r="185">
          <cell r="D185">
            <v>1.2793763238610154</v>
          </cell>
          <cell r="E185">
            <v>1.0119649912719955</v>
          </cell>
        </row>
        <row r="186">
          <cell r="D186">
            <v>1.2799946330133025</v>
          </cell>
          <cell r="E186">
            <v>1.0170179951900902</v>
          </cell>
        </row>
        <row r="187">
          <cell r="D187">
            <v>1.2810693043220454</v>
          </cell>
          <cell r="E187">
            <v>1.0258259863823245</v>
          </cell>
        </row>
        <row r="188">
          <cell r="D188">
            <v>1.2813133442650724</v>
          </cell>
          <cell r="E188">
            <v>1.0278305981398461</v>
          </cell>
        </row>
        <row r="189">
          <cell r="D189">
            <v>1.2817394812909697</v>
          </cell>
          <cell r="E189">
            <v>1.0313349347965286</v>
          </cell>
        </row>
        <row r="190">
          <cell r="D190">
            <v>1.2819521766541584</v>
          </cell>
          <cell r="E190">
            <v>1.0330858960302931</v>
          </cell>
        </row>
        <row r="191">
          <cell r="D191">
            <v>1.2821644988675871</v>
          </cell>
          <cell r="E191">
            <v>1.0348350166622413</v>
          </cell>
        </row>
        <row r="192">
          <cell r="D192">
            <v>1.2825574255648462</v>
          </cell>
          <cell r="E192">
            <v>1.0380751977742804</v>
          </cell>
        </row>
        <row r="193">
          <cell r="D193">
            <v>1.2830399082045005</v>
          </cell>
          <cell r="E193">
            <v>1.0420595914594166</v>
          </cell>
        </row>
        <row r="194">
          <cell r="D194">
            <v>1.2834902999647966</v>
          </cell>
          <cell r="E194">
            <v>1.0457846179962742</v>
          </cell>
        </row>
        <row r="195">
          <cell r="D195">
            <v>1.2836403061683086</v>
          </cell>
          <cell r="E195">
            <v>1.0470264678168357</v>
          </cell>
        </row>
        <row r="196">
          <cell r="D196">
            <v>1.2837000101299054</v>
          </cell>
          <cell r="E196">
            <v>1.0475209030915342</v>
          </cell>
        </row>
        <row r="197">
          <cell r="D197">
            <v>1.28417764182268</v>
          </cell>
          <cell r="E197">
            <v>1.0514797902147131</v>
          </cell>
        </row>
        <row r="198">
          <cell r="D198">
            <v>1.2844160845193073</v>
          </cell>
          <cell r="E198">
            <v>1.0534583971441143</v>
          </cell>
        </row>
        <row r="199">
          <cell r="D199">
            <v>1.2846836328972131</v>
          </cell>
          <cell r="E199">
            <v>1.0556803040260909</v>
          </cell>
        </row>
        <row r="200">
          <cell r="D200">
            <v>1.2853646312091769</v>
          </cell>
          <cell r="E200">
            <v>1.0613442254797631</v>
          </cell>
        </row>
        <row r="201">
          <cell r="D201">
            <v>1.2854235888712537</v>
          </cell>
          <cell r="E201">
            <v>1.0618351484218904</v>
          </cell>
        </row>
        <row r="202">
          <cell r="D202">
            <v>1.2854825465333306</v>
          </cell>
          <cell r="E202">
            <v>1.0623261613349724</v>
          </cell>
        </row>
        <row r="203">
          <cell r="D203">
            <v>1.2855709830264459</v>
          </cell>
          <cell r="E203">
            <v>1.0630628492138143</v>
          </cell>
        </row>
        <row r="204">
          <cell r="D204">
            <v>1.2876759208224939</v>
          </cell>
          <cell r="E204">
            <v>1.0806562224442682</v>
          </cell>
        </row>
        <row r="205">
          <cell r="D205">
            <v>1.2876759208224939</v>
          </cell>
          <cell r="E205">
            <v>1.0806562224442682</v>
          </cell>
        </row>
        <row r="206">
          <cell r="D206">
            <v>1.2883121411632601</v>
          </cell>
          <cell r="E206">
            <v>1.0859957660519597</v>
          </cell>
        </row>
        <row r="207">
          <cell r="D207">
            <v>1.2896890637775869</v>
          </cell>
          <cell r="E207">
            <v>1.0975857545336667</v>
          </cell>
        </row>
        <row r="208">
          <cell r="D208">
            <v>1.2897177963091053</v>
          </cell>
          <cell r="E208">
            <v>1.0978280950146899</v>
          </cell>
        </row>
        <row r="209">
          <cell r="D209">
            <v>1.2908823967100034</v>
          </cell>
          <cell r="E209">
            <v>1.1076673431572919</v>
          </cell>
        </row>
        <row r="210">
          <cell r="D210">
            <v>1.2922324525416116</v>
          </cell>
          <cell r="E210">
            <v>1.1191133149324641</v>
          </cell>
        </row>
        <row r="211">
          <cell r="D211">
            <v>1.2924555960980797</v>
          </cell>
          <cell r="E211">
            <v>1.1210092106813263</v>
          </cell>
        </row>
        <row r="212">
          <cell r="D212">
            <v>1.2925395547940752</v>
          </cell>
          <cell r="E212">
            <v>1.1217228437412416</v>
          </cell>
        </row>
        <row r="213">
          <cell r="D213">
            <v>1.2926511265723093</v>
          </cell>
          <cell r="E213">
            <v>1.1226714311434813</v>
          </cell>
        </row>
        <row r="214">
          <cell r="D214">
            <v>1.2928462838967789</v>
          </cell>
          <cell r="E214">
            <v>1.1243313456486785</v>
          </cell>
        </row>
        <row r="215">
          <cell r="D215">
            <v>1.2936235548468176</v>
          </cell>
          <cell r="E215">
            <v>1.1309509584125055</v>
          </cell>
        </row>
        <row r="216">
          <cell r="D216">
            <v>1.2937896064900087</v>
          </cell>
          <cell r="E216">
            <v>1.1323668857376048</v>
          </cell>
        </row>
        <row r="217">
          <cell r="D217">
            <v>1.2939280450509614</v>
          </cell>
          <cell r="E217">
            <v>1.1335478233691545</v>
          </cell>
        </row>
        <row r="218">
          <cell r="D218">
            <v>1.2940933503946326</v>
          </cell>
          <cell r="E218">
            <v>1.1349585011451022</v>
          </cell>
        </row>
        <row r="219">
          <cell r="D219">
            <v>1.2943138819027808</v>
          </cell>
          <cell r="E219">
            <v>1.1368414041762898</v>
          </cell>
        </row>
        <row r="220">
          <cell r="D220">
            <v>1.29508257040834</v>
          </cell>
          <cell r="E220">
            <v>1.1434127967337293</v>
          </cell>
        </row>
        <row r="221">
          <cell r="D221">
            <v>1.2958467811167793</v>
          </cell>
          <cell r="E221">
            <v>1.1499585538386237</v>
          </cell>
        </row>
        <row r="222">
          <cell r="D222">
            <v>1.2961460472242834</v>
          </cell>
          <cell r="E222">
            <v>1.1525252716095846</v>
          </cell>
        </row>
        <row r="223">
          <cell r="D223">
            <v>1.2962818737369162</v>
          </cell>
          <cell r="E223">
            <v>1.1536908394873413</v>
          </cell>
        </row>
        <row r="224">
          <cell r="D224">
            <v>1.2965796472453803</v>
          </cell>
          <cell r="E224">
            <v>1.1562474778802336</v>
          </cell>
        </row>
        <row r="225">
          <cell r="D225">
            <v>1.2973625154418187</v>
          </cell>
          <cell r="E225">
            <v>1.1629778614047592</v>
          </cell>
        </row>
        <row r="226">
          <cell r="D226">
            <v>1.2977386503998787</v>
          </cell>
          <cell r="E226">
            <v>1.1662160060521058</v>
          </cell>
        </row>
        <row r="227">
          <cell r="D227">
            <v>1.2985677891665546</v>
          </cell>
          <cell r="E227">
            <v>1.1733641690778505</v>
          </cell>
        </row>
        <row r="228">
          <cell r="D228">
            <v>1.2986476432151903</v>
          </cell>
          <cell r="E228">
            <v>1.1740533327185403</v>
          </cell>
        </row>
        <row r="229">
          <cell r="D229">
            <v>1.2986476432151903</v>
          </cell>
          <cell r="E229">
            <v>1.1740533327185403</v>
          </cell>
        </row>
        <row r="230">
          <cell r="D230">
            <v>1.2988073513124618</v>
          </cell>
          <cell r="E230">
            <v>1.1754320396730618</v>
          </cell>
        </row>
        <row r="231">
          <cell r="D231">
            <v>1.2988872053610976</v>
          </cell>
          <cell r="E231">
            <v>1.176121582482383</v>
          </cell>
        </row>
        <row r="232">
          <cell r="D232">
            <v>1.2993652102036322</v>
          </cell>
          <cell r="E232">
            <v>1.180251796174407</v>
          </cell>
        </row>
        <row r="233">
          <cell r="D233">
            <v>1.2997092542823339</v>
          </cell>
          <cell r="E233">
            <v>1.1832272794291379</v>
          </cell>
        </row>
        <row r="234">
          <cell r="D234">
            <v>1.2999208301962426</v>
          </cell>
          <cell r="E234">
            <v>1.1850582423758822</v>
          </cell>
        </row>
        <row r="235">
          <cell r="D235">
            <v>1.2999734443123998</v>
          </cell>
          <cell r="E235">
            <v>1.1855136950059169</v>
          </cell>
        </row>
        <row r="236">
          <cell r="D236">
            <v>1.3003159957920616</v>
          </cell>
          <cell r="E236">
            <v>1.1884802784742274</v>
          </cell>
        </row>
        <row r="237">
          <cell r="D237">
            <v>1.3007365355715592</v>
          </cell>
          <cell r="E237">
            <v>1.1921253113338248</v>
          </cell>
        </row>
        <row r="238">
          <cell r="D238">
            <v>1.3015473899999961</v>
          </cell>
          <cell r="E238">
            <v>1.1991627598910428</v>
          </cell>
        </row>
        <row r="239">
          <cell r="D239">
            <v>1.3027418423816925</v>
          </cell>
          <cell r="E239">
            <v>1.2095514333051707</v>
          </cell>
        </row>
        <row r="240">
          <cell r="D240">
            <v>1.3046926693268688</v>
          </cell>
          <cell r="E240">
            <v>1.2265727848870078</v>
          </cell>
        </row>
        <row r="241">
          <cell r="D241">
            <v>1.3046926693268688</v>
          </cell>
          <cell r="E241">
            <v>1.2265727848870078</v>
          </cell>
        </row>
        <row r="242">
          <cell r="D242">
            <v>1.3048710349121393</v>
          </cell>
          <cell r="E242">
            <v>1.2281323020811641</v>
          </cell>
        </row>
        <row r="243">
          <cell r="D243">
            <v>1.3049217832794966</v>
          </cell>
          <cell r="E243">
            <v>1.2285761111185394</v>
          </cell>
        </row>
        <row r="244">
          <cell r="D244">
            <v>1.3051508972321244</v>
          </cell>
          <cell r="E244">
            <v>1.2305803108952251</v>
          </cell>
        </row>
        <row r="245">
          <cell r="D245">
            <v>1.3052016455994817</v>
          </cell>
          <cell r="E245">
            <v>1.2310243554145428</v>
          </cell>
        </row>
        <row r="246">
          <cell r="D246">
            <v>1.3057083829735348</v>
          </cell>
          <cell r="E246">
            <v>1.2354605886220316</v>
          </cell>
        </row>
        <row r="247">
          <cell r="D247">
            <v>1.3060875031296746</v>
          </cell>
          <cell r="E247">
            <v>1.2387823244900062</v>
          </cell>
        </row>
        <row r="248">
          <cell r="D248">
            <v>1.3062390019322265</v>
          </cell>
          <cell r="E248">
            <v>1.2401103565468397</v>
          </cell>
        </row>
        <row r="249">
          <cell r="D249">
            <v>1.3065408800880505</v>
          </cell>
          <cell r="E249">
            <v>1.2427576963619755</v>
          </cell>
        </row>
        <row r="250">
          <cell r="D250">
            <v>1.3075435334931171</v>
          </cell>
          <cell r="E250">
            <v>1.2515607630381202</v>
          </cell>
        </row>
        <row r="251">
          <cell r="D251">
            <v>1.3079920595046133</v>
          </cell>
          <cell r="E251">
            <v>1.2555037075924234</v>
          </cell>
        </row>
        <row r="252">
          <cell r="D252">
            <v>1.3080666894566093</v>
          </cell>
          <cell r="E252">
            <v>1.2561600654312779</v>
          </cell>
        </row>
        <row r="253">
          <cell r="D253">
            <v>1.3081166915244467</v>
          </cell>
          <cell r="E253">
            <v>1.2565998717605529</v>
          </cell>
        </row>
        <row r="254">
          <cell r="D254">
            <v>1.3097484754248399</v>
          </cell>
          <cell r="E254">
            <v>1.2709727245852751</v>
          </cell>
        </row>
        <row r="255">
          <cell r="D255">
            <v>1.3113130923684366</v>
          </cell>
          <cell r="E255">
            <v>1.2847890365669314</v>
          </cell>
        </row>
        <row r="256">
          <cell r="D256">
            <v>1.3117500507373734</v>
          </cell>
          <cell r="E256">
            <v>1.288653423146541</v>
          </cell>
        </row>
        <row r="257">
          <cell r="D257">
            <v>1.3118228149405695</v>
          </cell>
          <cell r="E257">
            <v>1.2892971778165236</v>
          </cell>
        </row>
        <row r="258">
          <cell r="D258">
            <v>1.3118713244093669</v>
          </cell>
          <cell r="E258">
            <v>1.2897263853929228</v>
          </cell>
        </row>
        <row r="259">
          <cell r="D259">
            <v>1.3119922249316005</v>
          </cell>
          <cell r="E259">
            <v>1.2907962338572991</v>
          </cell>
        </row>
        <row r="260">
          <cell r="D260">
            <v>1.3123064170295038</v>
          </cell>
          <cell r="E260">
            <v>1.293577387929141</v>
          </cell>
        </row>
        <row r="261">
          <cell r="D261">
            <v>1.3125235901898122</v>
          </cell>
          <cell r="E261">
            <v>1.2955004796299177</v>
          </cell>
        </row>
        <row r="262">
          <cell r="D262">
            <v>1.3127403902003607</v>
          </cell>
          <cell r="E262">
            <v>1.2974208524976876</v>
          </cell>
        </row>
        <row r="263">
          <cell r="D263">
            <v>1.3128605444230743</v>
          </cell>
          <cell r="E263">
            <v>1.2984854053181276</v>
          </cell>
        </row>
        <row r="264">
          <cell r="D264">
            <v>1.3131251076029002</v>
          </cell>
          <cell r="E264">
            <v>1.3008300272581035</v>
          </cell>
        </row>
        <row r="265">
          <cell r="D265">
            <v>1.3135087055561598</v>
          </cell>
          <cell r="E265">
            <v>1.3042310650608862</v>
          </cell>
        </row>
        <row r="266">
          <cell r="D266">
            <v>1.313580350310076</v>
          </cell>
          <cell r="E266">
            <v>1.3048664730367807</v>
          </cell>
        </row>
        <row r="267">
          <cell r="D267">
            <v>1.3141773899260443</v>
          </cell>
          <cell r="E267">
            <v>1.3101638821029071</v>
          </cell>
        </row>
        <row r="268">
          <cell r="D268">
            <v>1.3154352777669374</v>
          </cell>
          <cell r="E268">
            <v>1.3213381165740636</v>
          </cell>
        </row>
        <row r="269">
          <cell r="D269">
            <v>1.3160718712574635</v>
          </cell>
          <cell r="E269">
            <v>1.326999746239385</v>
          </cell>
        </row>
        <row r="270">
          <cell r="D270">
            <v>1.3161894134318572</v>
          </cell>
          <cell r="E270">
            <v>1.3280455879415942</v>
          </cell>
        </row>
        <row r="271">
          <cell r="D271">
            <v>1.3166588358299123</v>
          </cell>
          <cell r="E271">
            <v>1.3322237254020315</v>
          </cell>
        </row>
        <row r="272">
          <cell r="D272">
            <v>1.3167058526996698</v>
          </cell>
          <cell r="E272">
            <v>1.332642326214452</v>
          </cell>
        </row>
        <row r="273">
          <cell r="D273">
            <v>1.3177558961242539</v>
          </cell>
          <cell r="E273">
            <v>1.3419967254058947</v>
          </cell>
        </row>
        <row r="274">
          <cell r="D274">
            <v>1.3189372882643511</v>
          </cell>
          <cell r="E274">
            <v>1.3525335809992725</v>
          </cell>
        </row>
        <row r="275">
          <cell r="D275">
            <v>1.3189835588345886</v>
          </cell>
          <cell r="E275">
            <v>1.3529465215839886</v>
          </cell>
        </row>
        <row r="276">
          <cell r="D276">
            <v>1.3190529646899449</v>
          </cell>
          <cell r="E276">
            <v>1.3535659671170863</v>
          </cell>
        </row>
        <row r="277">
          <cell r="D277">
            <v>1.3193753660825678</v>
          </cell>
          <cell r="E277">
            <v>1.3564439312017322</v>
          </cell>
        </row>
        <row r="278">
          <cell r="D278">
            <v>1.3194902962086417</v>
          </cell>
          <cell r="E278">
            <v>1.3574700842622804</v>
          </cell>
        </row>
        <row r="279">
          <cell r="D279">
            <v>1.3201324869455675</v>
          </cell>
          <cell r="E279">
            <v>1.3632058801857916</v>
          </cell>
        </row>
        <row r="280">
          <cell r="D280">
            <v>1.3201783843660451</v>
          </cell>
          <cell r="E280">
            <v>1.3636159452260981</v>
          </cell>
        </row>
        <row r="281">
          <cell r="D281">
            <v>1.3202698060572402</v>
          </cell>
          <cell r="E281">
            <v>1.3644327910403364</v>
          </cell>
        </row>
        <row r="282">
          <cell r="D282">
            <v>1.3204981737103481</v>
          </cell>
          <cell r="E282">
            <v>1.3664735243305399</v>
          </cell>
        </row>
        <row r="283">
          <cell r="D283">
            <v>1.3208858763109674</v>
          </cell>
          <cell r="E283">
            <v>1.3699390200160164</v>
          </cell>
        </row>
        <row r="284">
          <cell r="D284">
            <v>1.3209769248524026</v>
          </cell>
          <cell r="E284">
            <v>1.3707530254332907</v>
          </cell>
        </row>
        <row r="285">
          <cell r="D285">
            <v>1.3214997076661348</v>
          </cell>
          <cell r="E285">
            <v>1.3754280608061535</v>
          </cell>
        </row>
        <row r="286">
          <cell r="D286">
            <v>1.3217489717058015</v>
          </cell>
          <cell r="E286">
            <v>1.3776578167552702</v>
          </cell>
        </row>
        <row r="287">
          <cell r="D287">
            <v>1.3218847982184343</v>
          </cell>
          <cell r="E287">
            <v>1.3788730156837752</v>
          </cell>
        </row>
        <row r="288">
          <cell r="D288">
            <v>1.3219523383249907</v>
          </cell>
          <cell r="E288">
            <v>1.3794773238969236</v>
          </cell>
        </row>
        <row r="289">
          <cell r="D289">
            <v>1.3222463803358551</v>
          </cell>
          <cell r="E289">
            <v>1.3821085947394318</v>
          </cell>
        </row>
        <row r="290">
          <cell r="D290">
            <v>1.3223590715633691</v>
          </cell>
          <cell r="E290">
            <v>1.3831171788762258</v>
          </cell>
        </row>
        <row r="291">
          <cell r="D291">
            <v>1.3227195342315099</v>
          </cell>
          <cell r="E291">
            <v>1.3863438677174982</v>
          </cell>
        </row>
        <row r="292">
          <cell r="D292">
            <v>1.3232135845137236</v>
          </cell>
          <cell r="E292">
            <v>1.3907677013190092</v>
          </cell>
        </row>
        <row r="293">
          <cell r="D293">
            <v>1.3233035136058788</v>
          </cell>
          <cell r="E293">
            <v>1.3915731065539343</v>
          </cell>
        </row>
        <row r="294">
          <cell r="D294">
            <v>1.323639348389861</v>
          </cell>
          <cell r="E294">
            <v>1.3945812674788256</v>
          </cell>
        </row>
        <row r="295">
          <cell r="D295">
            <v>1.3246199859590888</v>
          </cell>
          <cell r="E295">
            <v>1.403368731165733</v>
          </cell>
        </row>
        <row r="296">
          <cell r="D296">
            <v>1.3248864148877146</v>
          </cell>
          <cell r="E296">
            <v>1.4057570727163458</v>
          </cell>
        </row>
        <row r="297">
          <cell r="D297">
            <v>1.325218891323857</v>
          </cell>
          <cell r="E297">
            <v>1.4087379763304928</v>
          </cell>
        </row>
        <row r="298">
          <cell r="D298">
            <v>1.3264316280437924</v>
          </cell>
          <cell r="E298">
            <v>1.4196153727065612</v>
          </cell>
        </row>
        <row r="299">
          <cell r="D299">
            <v>1.3264316280437924</v>
          </cell>
          <cell r="E299">
            <v>1.4196153727065612</v>
          </cell>
        </row>
        <row r="300">
          <cell r="D300">
            <v>1.3266510401026608</v>
          </cell>
          <cell r="E300">
            <v>1.4215840053166493</v>
          </cell>
        </row>
        <row r="301">
          <cell r="D301">
            <v>1.3277872811218003</v>
          </cell>
          <cell r="E301">
            <v>1.4317815251686397</v>
          </cell>
        </row>
        <row r="302">
          <cell r="D302">
            <v>1.3288291152516649</v>
          </cell>
          <cell r="E302">
            <v>1.4411353255371464</v>
          </cell>
        </row>
        <row r="303">
          <cell r="D303">
            <v>1.3295627276797859</v>
          </cell>
          <cell r="E303">
            <v>1.447723482777665</v>
          </cell>
        </row>
        <row r="304">
          <cell r="D304">
            <v>1.3297563924052156</v>
          </cell>
          <cell r="E304">
            <v>1.4494628627784005</v>
          </cell>
        </row>
        <row r="305">
          <cell r="D305">
            <v>1.3301858877789527</v>
          </cell>
          <cell r="E305">
            <v>1.4533205706626433</v>
          </cell>
        </row>
        <row r="306">
          <cell r="D306">
            <v>1.3304213452775002</v>
          </cell>
          <cell r="E306">
            <v>1.4554355642580534</v>
          </cell>
        </row>
        <row r="307">
          <cell r="D307">
            <v>1.3304642574998979</v>
          </cell>
          <cell r="E307">
            <v>1.4558210312943243</v>
          </cell>
        </row>
        <row r="308">
          <cell r="D308">
            <v>1.3322732875362817</v>
          </cell>
          <cell r="E308">
            <v>1.4720726276922003</v>
          </cell>
        </row>
        <row r="309">
          <cell r="D309">
            <v>1.3327595016735359</v>
          </cell>
          <cell r="E309">
            <v>1.4764408397925384</v>
          </cell>
        </row>
        <row r="310">
          <cell r="D310">
            <v>1.3332860159848678</v>
          </cell>
          <cell r="E310">
            <v>1.4811710714284498</v>
          </cell>
        </row>
        <row r="311">
          <cell r="D311">
            <v>1.3347726446286288</v>
          </cell>
          <cell r="E311">
            <v>1.4945259452896784</v>
          </cell>
        </row>
        <row r="312">
          <cell r="D312">
            <v>1.3350222818180555</v>
          </cell>
          <cell r="E312">
            <v>1.4967682526625203</v>
          </cell>
        </row>
        <row r="313">
          <cell r="D313">
            <v>1.3355834990570656</v>
          </cell>
          <cell r="E313">
            <v>1.5018088580341957</v>
          </cell>
        </row>
        <row r="314">
          <cell r="D314">
            <v>1.3356663383037812</v>
          </cell>
          <cell r="E314">
            <v>1.5025528316803483</v>
          </cell>
        </row>
        <row r="315">
          <cell r="D315">
            <v>1.3361835238711137</v>
          </cell>
          <cell r="E315">
            <v>1.5071972975603238</v>
          </cell>
        </row>
        <row r="316">
          <cell r="D316">
            <v>1.3363074095914271</v>
          </cell>
          <cell r="E316">
            <v>1.5083097305504736</v>
          </cell>
        </row>
        <row r="317">
          <cell r="D317">
            <v>1.3363488292147849</v>
          </cell>
          <cell r="E317">
            <v>1.5086816497969071</v>
          </cell>
        </row>
        <row r="318">
          <cell r="D318">
            <v>1.3365137614086962</v>
          </cell>
          <cell r="E318">
            <v>1.510162581256089</v>
          </cell>
        </row>
        <row r="319">
          <cell r="D319">
            <v>1.3365137614086962</v>
          </cell>
          <cell r="E319">
            <v>1.510162581256089</v>
          </cell>
        </row>
        <row r="320">
          <cell r="D320">
            <v>1.3367816829363619</v>
          </cell>
          <cell r="E320">
            <v>1.5125681001087796</v>
          </cell>
        </row>
        <row r="321">
          <cell r="D321">
            <v>1.3368846722701164</v>
          </cell>
          <cell r="E321">
            <v>1.5134927301455043</v>
          </cell>
        </row>
        <row r="322">
          <cell r="D322">
            <v>1.3379306110473408</v>
          </cell>
          <cell r="E322">
            <v>1.5228811893062493</v>
          </cell>
        </row>
        <row r="323">
          <cell r="D323">
            <v>1.338114573879011</v>
          </cell>
          <cell r="E323">
            <v>1.5245320680633563</v>
          </cell>
        </row>
        <row r="324">
          <cell r="D324">
            <v>1.3384407067692337</v>
          </cell>
          <cell r="E324">
            <v>1.527458460589123</v>
          </cell>
        </row>
        <row r="325">
          <cell r="D325">
            <v>1.3384612300060326</v>
          </cell>
          <cell r="E325">
            <v>1.5276426017142066</v>
          </cell>
        </row>
        <row r="326">
          <cell r="D326">
            <v>1.3387463164226574</v>
          </cell>
          <cell r="E326">
            <v>1.5302003114343758</v>
          </cell>
        </row>
        <row r="327">
          <cell r="D327">
            <v>1.3390105064527233</v>
          </cell>
          <cell r="E327">
            <v>1.5325702392126699</v>
          </cell>
        </row>
        <row r="328">
          <cell r="D328">
            <v>1.3390511797765612</v>
          </cell>
          <cell r="E328">
            <v>1.5329350739989913</v>
          </cell>
        </row>
        <row r="329">
          <cell r="D329">
            <v>1.3391933498351136</v>
          </cell>
          <cell r="E329">
            <v>1.5342102643045552</v>
          </cell>
        </row>
        <row r="330">
          <cell r="D330">
            <v>1.3392541732459904</v>
          </cell>
          <cell r="E330">
            <v>1.5347557903180458</v>
          </cell>
        </row>
        <row r="331">
          <cell r="D331">
            <v>1.3398411378184392</v>
          </cell>
          <cell r="E331">
            <v>1.5400193915074092</v>
          </cell>
        </row>
        <row r="332">
          <cell r="D332">
            <v>1.3402247357716988</v>
          </cell>
          <cell r="E332">
            <v>1.5434583857839268</v>
          </cell>
        </row>
        <row r="333">
          <cell r="D333">
            <v>1.3402247357716988</v>
          </cell>
          <cell r="E333">
            <v>1.5434583857839268</v>
          </cell>
        </row>
        <row r="334">
          <cell r="D334">
            <v>1.3406075874254384</v>
          </cell>
          <cell r="E334">
            <v>1.5468899198529582</v>
          </cell>
        </row>
        <row r="335">
          <cell r="D335">
            <v>1.340728487947672</v>
          </cell>
          <cell r="E335">
            <v>1.5479733961919397</v>
          </cell>
        </row>
        <row r="336">
          <cell r="D336">
            <v>1.3407684149719898</v>
          </cell>
          <cell r="E336">
            <v>1.548331193001103</v>
          </cell>
        </row>
        <row r="337">
          <cell r="D337">
            <v>1.3409292425185413</v>
          </cell>
          <cell r="E337">
            <v>1.5497723206752243</v>
          </cell>
        </row>
        <row r="338">
          <cell r="D338">
            <v>1.3409893196298981</v>
          </cell>
          <cell r="E338">
            <v>1.5503106158406135</v>
          </cell>
        </row>
        <row r="339">
          <cell r="D339">
            <v>1.3413904556218768</v>
          </cell>
          <cell r="E339">
            <v>1.5539042807991961</v>
          </cell>
        </row>
        <row r="340">
          <cell r="D340">
            <v>1.3415106098445904</v>
          </cell>
          <cell r="E340">
            <v>1.5549805211113152</v>
          </cell>
        </row>
        <row r="341">
          <cell r="D341">
            <v>1.3419703303488859</v>
          </cell>
          <cell r="E341">
            <v>1.5590974807260833</v>
          </cell>
        </row>
        <row r="342">
          <cell r="D342">
            <v>1.3423293004179868</v>
          </cell>
          <cell r="E342">
            <v>1.5623112379646298</v>
          </cell>
        </row>
        <row r="343">
          <cell r="D343">
            <v>1.3425281892400562</v>
          </cell>
          <cell r="E343">
            <v>1.5640914625937168</v>
          </cell>
        </row>
        <row r="344">
          <cell r="D344">
            <v>1.342607670138932</v>
          </cell>
          <cell r="E344">
            <v>1.5648028088892865</v>
          </cell>
        </row>
        <row r="345">
          <cell r="D345">
            <v>1.3426475971632499</v>
          </cell>
          <cell r="E345">
            <v>1.5651601354052758</v>
          </cell>
        </row>
        <row r="346">
          <cell r="D346">
            <v>1.3426875241875678</v>
          </cell>
          <cell r="E346">
            <v>1.5655174508548351</v>
          </cell>
        </row>
        <row r="347">
          <cell r="D347">
            <v>1.3427073011248467</v>
          </cell>
          <cell r="E347">
            <v>1.5656944347691237</v>
          </cell>
        </row>
        <row r="348">
          <cell r="D348">
            <v>1.3431043324694656</v>
          </cell>
          <cell r="E348">
            <v>1.5692468851315269</v>
          </cell>
        </row>
        <row r="349">
          <cell r="D349">
            <v>1.3434606904902466</v>
          </cell>
          <cell r="E349">
            <v>1.5724344358553055</v>
          </cell>
        </row>
        <row r="350">
          <cell r="D350">
            <v>1.3436386829257572</v>
          </cell>
          <cell r="E350">
            <v>1.5740261869382326</v>
          </cell>
        </row>
        <row r="351">
          <cell r="D351">
            <v>1.3440730292463741</v>
          </cell>
          <cell r="E351">
            <v>1.5779094357987271</v>
          </cell>
        </row>
        <row r="352">
          <cell r="D352">
            <v>1.3450365019266428</v>
          </cell>
          <cell r="E352">
            <v>1.5865178721567699</v>
          </cell>
        </row>
        <row r="353">
          <cell r="D353">
            <v>1.3454477129621409</v>
          </cell>
          <cell r="E353">
            <v>1.5901895576400831</v>
          </cell>
        </row>
        <row r="354">
          <cell r="D354">
            <v>1.3456040627115726</v>
          </cell>
          <cell r="E354">
            <v>1.591585204402115</v>
          </cell>
        </row>
        <row r="355">
          <cell r="D355">
            <v>1.345916389060676</v>
          </cell>
          <cell r="E355">
            <v>1.5943725028365383</v>
          </cell>
        </row>
        <row r="356">
          <cell r="D356">
            <v>1.3460141542977908</v>
          </cell>
          <cell r="E356">
            <v>1.5952448058979816</v>
          </cell>
        </row>
        <row r="357">
          <cell r="D357">
            <v>1.3460335580853098</v>
          </cell>
          <cell r="E357">
            <v>1.5954179241644018</v>
          </cell>
        </row>
        <row r="358">
          <cell r="D358">
            <v>1.3462089384725004</v>
          </cell>
          <cell r="E358">
            <v>1.5969824867121145</v>
          </cell>
        </row>
        <row r="359">
          <cell r="D359">
            <v>1.3465395491598429</v>
          </cell>
          <cell r="E359">
            <v>1.5999310583696009</v>
          </cell>
        </row>
        <row r="360">
          <cell r="D360">
            <v>1.3467339601847925</v>
          </cell>
          <cell r="E360">
            <v>1.6016644312844728</v>
          </cell>
        </row>
        <row r="361">
          <cell r="D361">
            <v>1.3469668056350201</v>
          </cell>
          <cell r="E361">
            <v>1.603739996156204</v>
          </cell>
        </row>
        <row r="362">
          <cell r="D362">
            <v>1.3471798741479688</v>
          </cell>
          <cell r="E362">
            <v>1.6056387956267733</v>
          </cell>
        </row>
        <row r="363">
          <cell r="D363">
            <v>1.3474317502359554</v>
          </cell>
          <cell r="E363">
            <v>1.6078828401887983</v>
          </cell>
        </row>
        <row r="364">
          <cell r="D364">
            <v>1.3479336366631287</v>
          </cell>
          <cell r="E364">
            <v>1.6123523383219975</v>
          </cell>
        </row>
        <row r="365">
          <cell r="D365">
            <v>1.3481265550890384</v>
          </cell>
          <cell r="E365">
            <v>1.6140696409147099</v>
          </cell>
        </row>
        <row r="366">
          <cell r="D366">
            <v>1.3481265550890384</v>
          </cell>
          <cell r="E366">
            <v>1.6140696409147099</v>
          </cell>
        </row>
        <row r="367">
          <cell r="D367">
            <v>1.3483191003651882</v>
          </cell>
          <cell r="E367">
            <v>1.6157832193200559</v>
          </cell>
        </row>
        <row r="368">
          <cell r="D368">
            <v>1.3489530818073945</v>
          </cell>
          <cell r="E368">
            <v>1.6214225025960438</v>
          </cell>
        </row>
        <row r="369">
          <cell r="D369">
            <v>1.3490295775081904</v>
          </cell>
          <cell r="E369">
            <v>1.622102626748988</v>
          </cell>
        </row>
        <row r="370">
          <cell r="D370">
            <v>1.3497184119651138</v>
          </cell>
          <cell r="E370">
            <v>1.628223991861419</v>
          </cell>
        </row>
        <row r="371">
          <cell r="D371">
            <v>1.3498519995791867</v>
          </cell>
          <cell r="E371">
            <v>1.6294104738119299</v>
          </cell>
        </row>
        <row r="372">
          <cell r="D372">
            <v>1.3500807403820545</v>
          </cell>
          <cell r="E372">
            <v>1.6314415734415624</v>
          </cell>
        </row>
        <row r="373">
          <cell r="D373">
            <v>1.3503281386729213</v>
          </cell>
          <cell r="E373">
            <v>1.6336376194969247</v>
          </cell>
        </row>
        <row r="374">
          <cell r="D374">
            <v>1.3503852305861983</v>
          </cell>
          <cell r="E374">
            <v>1.6341442916267066</v>
          </cell>
        </row>
        <row r="375">
          <cell r="D375">
            <v>1.3506326288770651</v>
          </cell>
          <cell r="E375">
            <v>1.6363393989941588</v>
          </cell>
        </row>
        <row r="376">
          <cell r="D376">
            <v>1.3512013091112749</v>
          </cell>
          <cell r="E376">
            <v>1.641382210029898</v>
          </cell>
        </row>
        <row r="377">
          <cell r="D377">
            <v>1.3522965036568166</v>
          </cell>
          <cell r="E377">
            <v>1.6510818925319382</v>
          </cell>
        </row>
        <row r="378">
          <cell r="D378">
            <v>1.3525786048753616</v>
          </cell>
          <cell r="E378">
            <v>1.6535776886185678</v>
          </cell>
        </row>
        <row r="379">
          <cell r="D379">
            <v>1.3526162930011196</v>
          </cell>
          <cell r="E379">
            <v>1.6539110371945587</v>
          </cell>
        </row>
        <row r="380">
          <cell r="D380">
            <v>1.3528976479201447</v>
          </cell>
          <cell r="E380">
            <v>1.656398963903398</v>
          </cell>
        </row>
        <row r="381">
          <cell r="D381">
            <v>1.3529166785579037</v>
          </cell>
          <cell r="E381">
            <v>1.6565672046839675</v>
          </cell>
        </row>
        <row r="382">
          <cell r="D382">
            <v>1.3529353360459027</v>
          </cell>
          <cell r="E382">
            <v>1.6567321415877616</v>
          </cell>
        </row>
        <row r="383">
          <cell r="D383">
            <v>1.3539267949581699</v>
          </cell>
          <cell r="E383">
            <v>1.6654895873286839</v>
          </cell>
        </row>
        <row r="384">
          <cell r="D384">
            <v>1.3539454524461689</v>
          </cell>
          <cell r="E384">
            <v>1.6656542470643569</v>
          </cell>
        </row>
        <row r="385">
          <cell r="D385">
            <v>1.3542062841283951</v>
          </cell>
          <cell r="E385">
            <v>1.6679556381728791</v>
          </cell>
        </row>
        <row r="386">
          <cell r="D386">
            <v>1.3544111433466242</v>
          </cell>
          <cell r="E386">
            <v>1.6697624404858422</v>
          </cell>
        </row>
        <row r="387">
          <cell r="D387">
            <v>1.3544857732986202</v>
          </cell>
          <cell r="E387">
            <v>1.6704204957047786</v>
          </cell>
        </row>
        <row r="388">
          <cell r="D388">
            <v>1.3545600301008562</v>
          </cell>
          <cell r="E388">
            <v>1.6710751750634176</v>
          </cell>
        </row>
        <row r="389">
          <cell r="D389">
            <v>1.3548201154835624</v>
          </cell>
          <cell r="E389">
            <v>1.6733675202308045</v>
          </cell>
        </row>
        <row r="390">
          <cell r="D390">
            <v>1.3548201154835624</v>
          </cell>
          <cell r="E390">
            <v>1.6733675202308045</v>
          </cell>
        </row>
        <row r="391">
          <cell r="D391">
            <v>1.3552652831472187</v>
          </cell>
          <cell r="E391">
            <v>1.6772886707099457</v>
          </cell>
        </row>
        <row r="392">
          <cell r="D392">
            <v>1.3563918222725988</v>
          </cell>
          <cell r="E392">
            <v>1.6871971513460982</v>
          </cell>
        </row>
        <row r="393">
          <cell r="D393">
            <v>1.3567045217714622</v>
          </cell>
          <cell r="E393">
            <v>1.6899437459318254</v>
          </cell>
        </row>
        <row r="394">
          <cell r="D394">
            <v>1.3568146009506563</v>
          </cell>
          <cell r="E394">
            <v>1.690910228644424</v>
          </cell>
        </row>
        <row r="395">
          <cell r="D395">
            <v>1.3571448384882387</v>
          </cell>
          <cell r="E395">
            <v>1.693808422092044</v>
          </cell>
        </row>
        <row r="396">
          <cell r="D396">
            <v>1.3578038209643637</v>
          </cell>
          <cell r="E396">
            <v>1.6995859963519293</v>
          </cell>
        </row>
        <row r="397">
          <cell r="D397">
            <v>1.3578952426555588</v>
          </cell>
          <cell r="E397">
            <v>1.7003869180024493</v>
          </cell>
        </row>
        <row r="398">
          <cell r="D398">
            <v>1.3588788654228665</v>
          </cell>
          <cell r="E398">
            <v>1.7089945445813686</v>
          </cell>
        </row>
        <row r="399">
          <cell r="D399">
            <v>1.3592785088158053</v>
          </cell>
          <cell r="E399">
            <v>1.7124866620750472</v>
          </cell>
        </row>
        <row r="400">
          <cell r="D400">
            <v>1.3593326155310024</v>
          </cell>
          <cell r="E400">
            <v>1.7129592184834175</v>
          </cell>
        </row>
        <row r="401">
          <cell r="D401">
            <v>1.3593691842074804</v>
          </cell>
          <cell r="E401">
            <v>1.7132785698169184</v>
          </cell>
        </row>
        <row r="402">
          <cell r="D402">
            <v>1.359640837232746</v>
          </cell>
          <cell r="E402">
            <v>1.7156500918410302</v>
          </cell>
        </row>
        <row r="403">
          <cell r="D403">
            <v>1.3597132282861821</v>
          </cell>
          <cell r="E403">
            <v>1.7162818235819741</v>
          </cell>
        </row>
        <row r="404">
          <cell r="D404">
            <v>1.3597311394746612</v>
          </cell>
          <cell r="E404">
            <v>1.7164381126975927</v>
          </cell>
        </row>
        <row r="405">
          <cell r="D405">
            <v>1.3598397260548154</v>
          </cell>
          <cell r="E405">
            <v>1.7173854822556018</v>
          </cell>
        </row>
        <row r="406">
          <cell r="D406">
            <v>1.360561397690617</v>
          </cell>
          <cell r="E406">
            <v>1.7236758721323602</v>
          </cell>
        </row>
        <row r="407">
          <cell r="D407">
            <v>1.3608136469283636</v>
          </cell>
          <cell r="E407">
            <v>1.725872139848643</v>
          </cell>
        </row>
        <row r="408">
          <cell r="D408">
            <v>1.3613166528048168</v>
          </cell>
          <cell r="E408">
            <v>1.7302478342728751</v>
          </cell>
        </row>
        <row r="409">
          <cell r="D409">
            <v>1.3622651994946864</v>
          </cell>
          <cell r="E409">
            <v>1.7384850997984096</v>
          </cell>
        </row>
        <row r="410">
          <cell r="D410">
            <v>1.3623006487218845</v>
          </cell>
          <cell r="E410">
            <v>1.7387925771325938</v>
          </cell>
        </row>
        <row r="411">
          <cell r="D411">
            <v>1.3623543822873216</v>
          </cell>
          <cell r="E411">
            <v>1.7392585970026653</v>
          </cell>
        </row>
        <row r="412">
          <cell r="D412">
            <v>1.3623722934758007</v>
          </cell>
          <cell r="E412">
            <v>1.7394139232754968</v>
          </cell>
        </row>
        <row r="413">
          <cell r="D413">
            <v>1.3623900180893997</v>
          </cell>
          <cell r="E413">
            <v>1.7395676248238643</v>
          </cell>
        </row>
        <row r="414">
          <cell r="D414">
            <v>1.3630491871404047</v>
          </cell>
          <cell r="E414">
            <v>1.745278902822635</v>
          </cell>
        </row>
        <row r="415">
          <cell r="D415">
            <v>1.3630667251791238</v>
          </cell>
          <cell r="E415">
            <v>1.7454307299535803</v>
          </cell>
        </row>
        <row r="416">
          <cell r="D416">
            <v>1.3632447176146343</v>
          </cell>
          <cell r="E416">
            <v>1.7469712325306943</v>
          </cell>
        </row>
        <row r="417">
          <cell r="D417">
            <v>1.3642016601741034</v>
          </cell>
          <cell r="E417">
            <v>1.7552413971272396</v>
          </cell>
        </row>
        <row r="418">
          <cell r="D418">
            <v>1.364378346585454</v>
          </cell>
          <cell r="E418">
            <v>1.7567661141856865</v>
          </cell>
        </row>
        <row r="419">
          <cell r="D419">
            <v>1.364395884624173</v>
          </cell>
          <cell r="E419">
            <v>1.7569174199951327</v>
          </cell>
        </row>
        <row r="420">
          <cell r="D420">
            <v>1.365242188279808</v>
          </cell>
          <cell r="E420">
            <v>1.7642102940560589</v>
          </cell>
        </row>
        <row r="421">
          <cell r="D421">
            <v>1.3656638475085856</v>
          </cell>
          <cell r="E421">
            <v>1.767837613094221</v>
          </cell>
        </row>
        <row r="422">
          <cell r="D422">
            <v>1.3658216898570572</v>
          </cell>
          <cell r="E422">
            <v>1.7691943635682439</v>
          </cell>
        </row>
        <row r="423">
          <cell r="D423">
            <v>1.3658918420119335</v>
          </cell>
          <cell r="E423">
            <v>1.7697971724619697</v>
          </cell>
        </row>
        <row r="424">
          <cell r="D424">
            <v>1.3671848059302647</v>
          </cell>
          <cell r="E424">
            <v>1.780886034409793</v>
          </cell>
        </row>
        <row r="425">
          <cell r="D425">
            <v>1.3672892878630591</v>
          </cell>
          <cell r="E425">
            <v>1.7817803026747649</v>
          </cell>
        </row>
        <row r="426">
          <cell r="D426">
            <v>1.3677935997636723</v>
          </cell>
          <cell r="E426">
            <v>1.7860928825147984</v>
          </cell>
        </row>
        <row r="427">
          <cell r="D427">
            <v>1.367949762938224</v>
          </cell>
          <cell r="E427">
            <v>1.7874269913022243</v>
          </cell>
        </row>
        <row r="428">
          <cell r="D428">
            <v>1.3681579805042929</v>
          </cell>
          <cell r="E428">
            <v>1.7892048331683668</v>
          </cell>
        </row>
        <row r="429">
          <cell r="D429">
            <v>1.3682966056401256</v>
          </cell>
          <cell r="E429">
            <v>1.79038785036208</v>
          </cell>
        </row>
        <row r="430">
          <cell r="D430">
            <v>1.3683658249206019</v>
          </cell>
          <cell r="E430">
            <v>1.790978377276752</v>
          </cell>
        </row>
        <row r="431">
          <cell r="D431">
            <v>1.3683658249206019</v>
          </cell>
          <cell r="E431">
            <v>1.790978377276752</v>
          </cell>
        </row>
        <row r="432">
          <cell r="D432">
            <v>1.3685218015202736</v>
          </cell>
          <cell r="E432">
            <v>1.7923085977933315</v>
          </cell>
        </row>
        <row r="433">
          <cell r="D433">
            <v>1.368815656956258</v>
          </cell>
          <cell r="E433">
            <v>1.7948129752980675</v>
          </cell>
        </row>
        <row r="434">
          <cell r="D434">
            <v>1.3690574580007251</v>
          </cell>
          <cell r="E434">
            <v>1.7968720238053713</v>
          </cell>
        </row>
        <row r="435">
          <cell r="D435">
            <v>1.3697121492546103</v>
          </cell>
          <cell r="E435">
            <v>1.8024392493571937</v>
          </cell>
        </row>
        <row r="436">
          <cell r="D436">
            <v>1.3697983468491657</v>
          </cell>
          <cell r="E436">
            <v>1.803171384347964</v>
          </cell>
        </row>
        <row r="437">
          <cell r="D437">
            <v>1.3698155117381248</v>
          </cell>
          <cell r="E437">
            <v>1.8033171535691122</v>
          </cell>
        </row>
        <row r="438">
          <cell r="D438">
            <v>1.3700218635553938</v>
          </cell>
          <cell r="E438">
            <v>1.8050689301583465</v>
          </cell>
        </row>
        <row r="439">
          <cell r="D439">
            <v>1.3702965017787392</v>
          </cell>
          <cell r="E439">
            <v>1.8073986160916349</v>
          </cell>
        </row>
        <row r="440">
          <cell r="D440">
            <v>1.3705879317412837</v>
          </cell>
          <cell r="E440">
            <v>1.8098684874360074</v>
          </cell>
        </row>
        <row r="441">
          <cell r="D441">
            <v>1.3706050966302428</v>
          </cell>
          <cell r="E441">
            <v>1.8100138872279909</v>
          </cell>
        </row>
        <row r="442">
          <cell r="D442">
            <v>1.3709644398491037</v>
          </cell>
          <cell r="E442">
            <v>1.813055929802375</v>
          </cell>
        </row>
        <row r="443">
          <cell r="D443">
            <v>1.3718348116642574</v>
          </cell>
          <cell r="E443">
            <v>1.8204091513723153</v>
          </cell>
        </row>
        <row r="444">
          <cell r="D444">
            <v>1.3719029114954537</v>
          </cell>
          <cell r="E444">
            <v>1.8209835797162683</v>
          </cell>
        </row>
        <row r="445">
          <cell r="D445">
            <v>1.3719200763844128</v>
          </cell>
          <cell r="E445">
            <v>1.8211283462533099</v>
          </cell>
        </row>
        <row r="446">
          <cell r="D446">
            <v>1.3722260591875965</v>
          </cell>
          <cell r="E446">
            <v>1.8237075515153041</v>
          </cell>
        </row>
        <row r="447">
          <cell r="D447">
            <v>1.3727693652381276</v>
          </cell>
          <cell r="E447">
            <v>1.8282805568597582</v>
          </cell>
        </row>
        <row r="448">
          <cell r="D448">
            <v>1.3731253501091487</v>
          </cell>
          <cell r="E448">
            <v>1.8312722132466099</v>
          </cell>
        </row>
        <row r="449">
          <cell r="D449">
            <v>1.3731421418483478</v>
          </cell>
          <cell r="E449">
            <v>1.8314132371317366</v>
          </cell>
        </row>
        <row r="450">
          <cell r="D450">
            <v>1.3734466320524916</v>
          </cell>
          <cell r="E450">
            <v>1.8339690243322431</v>
          </cell>
        </row>
        <row r="451">
          <cell r="D451">
            <v>1.37366604411136</v>
          </cell>
          <cell r="E451">
            <v>1.8358089876559469</v>
          </cell>
        </row>
        <row r="452">
          <cell r="D452">
            <v>1.3739024344843074</v>
          </cell>
          <cell r="E452">
            <v>1.8377897188250376</v>
          </cell>
        </row>
        <row r="453">
          <cell r="D453">
            <v>1.3739697880159838</v>
          </cell>
          <cell r="E453">
            <v>1.8383537715932521</v>
          </cell>
        </row>
        <row r="454">
          <cell r="D454">
            <v>1.3740877033401375</v>
          </cell>
          <cell r="E454">
            <v>1.8393409254589417</v>
          </cell>
        </row>
        <row r="455">
          <cell r="D455">
            <v>1.374172035185893</v>
          </cell>
          <cell r="E455">
            <v>1.8400466703893537</v>
          </cell>
        </row>
        <row r="456">
          <cell r="D456">
            <v>1.3742563670316486</v>
          </cell>
          <cell r="E456">
            <v>1.8407522000475611</v>
          </cell>
        </row>
        <row r="457">
          <cell r="D457">
            <v>1.3746265315935489</v>
          </cell>
          <cell r="E457">
            <v>1.8438464804817247</v>
          </cell>
        </row>
        <row r="458">
          <cell r="D458">
            <v>1.3746601150719471</v>
          </cell>
          <cell r="E458">
            <v>1.8441270045922615</v>
          </cell>
        </row>
        <row r="459">
          <cell r="D459">
            <v>1.3750631168127256</v>
          </cell>
          <cell r="E459">
            <v>1.8474905902319272</v>
          </cell>
        </row>
        <row r="460">
          <cell r="D460">
            <v>1.3754149970363869</v>
          </cell>
          <cell r="E460">
            <v>1.8504233904851064</v>
          </cell>
        </row>
        <row r="461">
          <cell r="D461">
            <v>1.375582354703738</v>
          </cell>
          <cell r="E461">
            <v>1.8518169047508743</v>
          </cell>
        </row>
        <row r="462">
          <cell r="D462">
            <v>1.3757161288926909</v>
          </cell>
          <cell r="E462">
            <v>1.8529301529746829</v>
          </cell>
        </row>
        <row r="463">
          <cell r="D463">
            <v>1.375883299985162</v>
          </cell>
          <cell r="E463">
            <v>1.8543205339806379</v>
          </cell>
        </row>
        <row r="464">
          <cell r="D464">
            <v>1.3760504710776331</v>
          </cell>
          <cell r="E464">
            <v>1.8557100327726748</v>
          </cell>
        </row>
        <row r="465">
          <cell r="D465">
            <v>1.3762172690203442</v>
          </cell>
          <cell r="E465">
            <v>1.8570955472114477</v>
          </cell>
        </row>
        <row r="466">
          <cell r="D466">
            <v>1.3764674659344109</v>
          </cell>
          <cell r="E466">
            <v>1.8591721577722846</v>
          </cell>
        </row>
        <row r="467">
          <cell r="D467">
            <v>1.3770833496132582</v>
          </cell>
          <cell r="E467">
            <v>1.8642753713979483</v>
          </cell>
        </row>
        <row r="468">
          <cell r="D468">
            <v>1.3775479210644335</v>
          </cell>
          <cell r="E468">
            <v>1.8681166697558773</v>
          </cell>
        </row>
        <row r="469">
          <cell r="D469">
            <v>1.3776971809684255</v>
          </cell>
          <cell r="E469">
            <v>1.8693493214752057</v>
          </cell>
        </row>
        <row r="470">
          <cell r="D470">
            <v>1.3777469964613829</v>
          </cell>
          <cell r="E470">
            <v>1.8697605557542907</v>
          </cell>
        </row>
        <row r="471">
          <cell r="D471">
            <v>1.3779789090372105</v>
          </cell>
          <cell r="E471">
            <v>1.8716739494661847</v>
          </cell>
        </row>
        <row r="472">
          <cell r="D472">
            <v>1.3794470667678524</v>
          </cell>
          <cell r="E472">
            <v>1.8837452073317498</v>
          </cell>
        </row>
        <row r="473">
          <cell r="D473">
            <v>1.3796278578265628</v>
          </cell>
          <cell r="E473">
            <v>1.8852266194763903</v>
          </cell>
        </row>
        <row r="474">
          <cell r="D474">
            <v>1.3796606950054411</v>
          </cell>
          <cell r="E474">
            <v>1.8854955686185551</v>
          </cell>
        </row>
        <row r="475">
          <cell r="D475">
            <v>1.380169298128294</v>
          </cell>
          <cell r="E475">
            <v>1.8896564664327118</v>
          </cell>
        </row>
        <row r="476">
          <cell r="D476">
            <v>1.3805950620044314</v>
          </cell>
          <cell r="E476">
            <v>1.8931327321949274</v>
          </cell>
        </row>
        <row r="477">
          <cell r="D477">
            <v>1.380676781801867</v>
          </cell>
          <cell r="E477">
            <v>1.89379922898343</v>
          </cell>
        </row>
        <row r="478">
          <cell r="D478">
            <v>1.3807096189807453</v>
          </cell>
          <cell r="E478">
            <v>1.8940669788556785</v>
          </cell>
        </row>
        <row r="479">
          <cell r="D479">
            <v>1.3809057091796149</v>
          </cell>
          <cell r="E479">
            <v>1.8956650799369619</v>
          </cell>
        </row>
        <row r="480">
          <cell r="D480">
            <v>1.3814441642832662</v>
          </cell>
          <cell r="E480">
            <v>1.9000463824636915</v>
          </cell>
        </row>
        <row r="481">
          <cell r="D481">
            <v>1.3816070441534976</v>
          </cell>
          <cell r="E481">
            <v>1.9013696652646457</v>
          </cell>
        </row>
        <row r="482">
          <cell r="D482">
            <v>1.3817048093906124</v>
          </cell>
          <cell r="E482">
            <v>1.9021634808199739</v>
          </cell>
        </row>
        <row r="483">
          <cell r="D483">
            <v>1.381786156038288</v>
          </cell>
          <cell r="E483">
            <v>1.9028237217452861</v>
          </cell>
        </row>
        <row r="484">
          <cell r="D484">
            <v>1.3820626600104333</v>
          </cell>
          <cell r="E484">
            <v>1.9050661495807815</v>
          </cell>
        </row>
        <row r="485">
          <cell r="D485">
            <v>1.3827119405927988</v>
          </cell>
          <cell r="E485">
            <v>1.9103208460617067</v>
          </cell>
        </row>
        <row r="486">
          <cell r="D486">
            <v>1.3827929140907145</v>
          </cell>
          <cell r="E486">
            <v>1.9109750910743666</v>
          </cell>
        </row>
        <row r="487">
          <cell r="D487">
            <v>1.3830033705553433</v>
          </cell>
          <cell r="E487">
            <v>1.9126743954760512</v>
          </cell>
        </row>
        <row r="488">
          <cell r="D488">
            <v>1.3830518800241407</v>
          </cell>
          <cell r="E488">
            <v>1.9130658472039894</v>
          </cell>
        </row>
        <row r="489">
          <cell r="D489">
            <v>1.3830518800241407</v>
          </cell>
          <cell r="E489">
            <v>1.9130658472039894</v>
          </cell>
        </row>
        <row r="490">
          <cell r="D490">
            <v>1.3837306394375446</v>
          </cell>
          <cell r="E490">
            <v>1.9185339889443482</v>
          </cell>
        </row>
        <row r="491">
          <cell r="D491">
            <v>1.3842946552997546</v>
          </cell>
          <cell r="E491">
            <v>1.9230646105629754</v>
          </cell>
        </row>
        <row r="492">
          <cell r="D492">
            <v>1.3846164969677375</v>
          </cell>
          <cell r="E492">
            <v>1.9256444981214671</v>
          </cell>
        </row>
        <row r="493">
          <cell r="D493">
            <v>1.385114278747551</v>
          </cell>
          <cell r="E493">
            <v>1.9296269267000792</v>
          </cell>
        </row>
        <row r="494">
          <cell r="D494">
            <v>1.3853866780723365</v>
          </cell>
          <cell r="E494">
            <v>1.9318021783317736</v>
          </cell>
        </row>
        <row r="495">
          <cell r="D495">
            <v>1.3861225293990174</v>
          </cell>
          <cell r="E495">
            <v>1.9376639161054829</v>
          </cell>
        </row>
        <row r="496">
          <cell r="D496">
            <v>1.386505381052757</v>
          </cell>
          <cell r="E496">
            <v>1.9407052844356387</v>
          </cell>
        </row>
        <row r="497">
          <cell r="D497">
            <v>1.3870949576735256</v>
          </cell>
          <cell r="E497">
            <v>1.9453775062551864</v>
          </cell>
        </row>
        <row r="498">
          <cell r="D498">
            <v>1.3871901108623206</v>
          </cell>
          <cell r="E498">
            <v>1.9461302668979326</v>
          </cell>
        </row>
        <row r="499">
          <cell r="D499">
            <v>1.3876031876466186</v>
          </cell>
          <cell r="E499">
            <v>1.9493939145134864</v>
          </cell>
        </row>
        <row r="500">
          <cell r="D500">
            <v>1.3876031876466186</v>
          </cell>
          <cell r="E500">
            <v>1.9493939145134864</v>
          </cell>
        </row>
        <row r="501">
          <cell r="D501">
            <v>1.3886327078344038</v>
          </cell>
          <cell r="E501">
            <v>1.957497840484423</v>
          </cell>
        </row>
        <row r="502">
          <cell r="D502">
            <v>1.3886644255640022</v>
          </cell>
          <cell r="E502">
            <v>1.9577468192363199</v>
          </cell>
        </row>
        <row r="503">
          <cell r="D503">
            <v>1.388948765681107</v>
          </cell>
          <cell r="E503">
            <v>1.9599769855267539</v>
          </cell>
        </row>
        <row r="504">
          <cell r="D504">
            <v>1.389137952609417</v>
          </cell>
          <cell r="E504">
            <v>1.9614589815308685</v>
          </cell>
        </row>
        <row r="505">
          <cell r="D505">
            <v>1.3894058741370827</v>
          </cell>
          <cell r="E505">
            <v>1.9635551981533814</v>
          </cell>
        </row>
        <row r="506">
          <cell r="D506">
            <v>1.3896107333553118</v>
          </cell>
          <cell r="E506">
            <v>1.9651559933866394</v>
          </cell>
        </row>
        <row r="507">
          <cell r="D507">
            <v>1.3901139258066451</v>
          </cell>
          <cell r="E507">
            <v>1.9690805191492022</v>
          </cell>
        </row>
        <row r="508">
          <cell r="D508">
            <v>1.3904749481994259</v>
          </cell>
          <cell r="E508">
            <v>1.971889630846684</v>
          </cell>
        </row>
        <row r="509">
          <cell r="D509">
            <v>1.3907257048381325</v>
          </cell>
          <cell r="E509">
            <v>1.9738375025058346</v>
          </cell>
        </row>
        <row r="510">
          <cell r="D510">
            <v>1.3911014666464325</v>
          </cell>
          <cell r="E510">
            <v>1.9767513746257777</v>
          </cell>
        </row>
        <row r="511">
          <cell r="D511">
            <v>1.3915705158947276</v>
          </cell>
          <cell r="E511">
            <v>1.9803801193277986</v>
          </cell>
        </row>
        <row r="512">
          <cell r="D512">
            <v>1.3915861881846467</v>
          </cell>
          <cell r="E512">
            <v>1.9805012017969261</v>
          </cell>
        </row>
        <row r="513">
          <cell r="D513">
            <v>1.3916641764844826</v>
          </cell>
          <cell r="E513">
            <v>1.9811035726707629</v>
          </cell>
        </row>
        <row r="514">
          <cell r="D514">
            <v>1.3926302612130712</v>
          </cell>
          <cell r="E514">
            <v>1.9885434507750754</v>
          </cell>
        </row>
        <row r="515">
          <cell r="D515">
            <v>1.3926769049330687</v>
          </cell>
          <cell r="E515">
            <v>1.9889016190021878</v>
          </cell>
        </row>
        <row r="516">
          <cell r="D516">
            <v>1.3927078763631471</v>
          </cell>
          <cell r="E516">
            <v>1.9891393895756364</v>
          </cell>
        </row>
        <row r="517">
          <cell r="D517">
            <v>1.3931582681234431</v>
          </cell>
          <cell r="E517">
            <v>1.9925922835266663</v>
          </cell>
        </row>
        <row r="518">
          <cell r="D518">
            <v>1.393499513578945</v>
          </cell>
          <cell r="E518">
            <v>1.9952024000460082</v>
          </cell>
        </row>
        <row r="519">
          <cell r="D519">
            <v>1.3936855287342951</v>
          </cell>
          <cell r="E519">
            <v>1.9966229959595339</v>
          </cell>
        </row>
        <row r="520">
          <cell r="D520">
            <v>1.3939485993150811</v>
          </cell>
          <cell r="E520">
            <v>1.9986294068491226</v>
          </cell>
        </row>
        <row r="521">
          <cell r="D521">
            <v>1.3943349958915405</v>
          </cell>
          <cell r="E521">
            <v>2.0015707430212961</v>
          </cell>
        </row>
        <row r="522">
          <cell r="D522">
            <v>1.3945049656072115</v>
          </cell>
          <cell r="E522">
            <v>2.0028624444092071</v>
          </cell>
        </row>
        <row r="523">
          <cell r="D523">
            <v>1.3946128058878458</v>
          </cell>
          <cell r="E523">
            <v>2.0036813049017432</v>
          </cell>
        </row>
        <row r="524">
          <cell r="D524">
            <v>1.3947053470283208</v>
          </cell>
          <cell r="E524">
            <v>2.0043835717696474</v>
          </cell>
        </row>
        <row r="525">
          <cell r="D525">
            <v>1.3947671033135975</v>
          </cell>
          <cell r="E525">
            <v>2.0048520039104458</v>
          </cell>
        </row>
        <row r="526">
          <cell r="D526">
            <v>1.3948288595988743</v>
          </cell>
          <cell r="E526">
            <v>2.0053202615639569</v>
          </cell>
        </row>
        <row r="527">
          <cell r="D527">
            <v>1.3952139501511738</v>
          </cell>
          <cell r="E527">
            <v>2.0082362051100735</v>
          </cell>
        </row>
        <row r="528">
          <cell r="D528">
            <v>1.3954600424178807</v>
          </cell>
          <cell r="E528">
            <v>2.0100960638382857</v>
          </cell>
        </row>
        <row r="529">
          <cell r="D529">
            <v>1.3955523969834758</v>
          </cell>
          <cell r="E529">
            <v>2.0107933172317072</v>
          </cell>
        </row>
        <row r="530">
          <cell r="D530">
            <v>1.3956137801189925</v>
          </cell>
          <cell r="E530">
            <v>2.0112565256715418</v>
          </cell>
        </row>
        <row r="531">
          <cell r="D531">
            <v>1.3957520321050652</v>
          </cell>
          <cell r="E531">
            <v>2.0122991603934368</v>
          </cell>
        </row>
        <row r="532">
          <cell r="D532">
            <v>1.3959977512220121</v>
          </cell>
          <cell r="E532">
            <v>2.0141500705317554</v>
          </cell>
        </row>
        <row r="533">
          <cell r="D533">
            <v>1.396074433497688</v>
          </cell>
          <cell r="E533">
            <v>2.0147271132064724</v>
          </cell>
        </row>
        <row r="534">
          <cell r="D534">
            <v>1.3963352651799141</v>
          </cell>
          <cell r="E534">
            <v>2.0166878426080457</v>
          </cell>
        </row>
        <row r="535">
          <cell r="D535">
            <v>1.3964423591610284</v>
          </cell>
          <cell r="E535">
            <v>2.0174919684281494</v>
          </cell>
        </row>
        <row r="536">
          <cell r="D536">
            <v>1.3967181168336538</v>
          </cell>
          <cell r="E536">
            <v>2.0195600401983191</v>
          </cell>
        </row>
        <row r="537">
          <cell r="D537">
            <v>1.3969629030762007</v>
          </cell>
          <cell r="E537">
            <v>2.0213928330957454</v>
          </cell>
        </row>
        <row r="538">
          <cell r="D538">
            <v>1.3976804700646426</v>
          </cell>
          <cell r="E538">
            <v>2.0267490939776578</v>
          </cell>
        </row>
        <row r="539">
          <cell r="D539">
            <v>1.3977259943353602</v>
          </cell>
          <cell r="E539">
            <v>2.0270880798446345</v>
          </cell>
        </row>
        <row r="540">
          <cell r="D540">
            <v>1.3983200487532486</v>
          </cell>
          <cell r="E540">
            <v>2.0315024389943064</v>
          </cell>
        </row>
        <row r="541">
          <cell r="D541">
            <v>1.3987152143490675</v>
          </cell>
          <cell r="E541">
            <v>2.0344294341604527</v>
          </cell>
        </row>
        <row r="542">
          <cell r="D542">
            <v>1.3987454394796259</v>
          </cell>
          <cell r="E542">
            <v>2.0346529998610259</v>
          </cell>
        </row>
        <row r="543">
          <cell r="D543">
            <v>1.3988215620306619</v>
          </cell>
          <cell r="E543">
            <v>2.0352158572086259</v>
          </cell>
        </row>
        <row r="544">
          <cell r="D544">
            <v>1.3992006821868017</v>
          </cell>
          <cell r="E544">
            <v>2.0380148972370482</v>
          </cell>
        </row>
        <row r="545">
          <cell r="D545">
            <v>1.399382779269672</v>
          </cell>
          <cell r="E545">
            <v>2.0393568171421501</v>
          </cell>
        </row>
        <row r="546">
          <cell r="D546">
            <v>1.3994130044002304</v>
          </cell>
          <cell r="E546">
            <v>2.0395793963437954</v>
          </cell>
        </row>
        <row r="547">
          <cell r="D547">
            <v>1.3996551785944575</v>
          </cell>
          <cell r="E547">
            <v>2.0413611551743647</v>
          </cell>
        </row>
        <row r="548">
          <cell r="D548">
            <v>1.400305205476343</v>
          </cell>
          <cell r="E548">
            <v>2.0461292963425781</v>
          </cell>
        </row>
        <row r="549">
          <cell r="D549">
            <v>1.400380581727859</v>
          </cell>
          <cell r="E549">
            <v>2.0466808462227188</v>
          </cell>
        </row>
        <row r="550">
          <cell r="D550">
            <v>1.4004410319889757</v>
          </cell>
          <cell r="E550">
            <v>2.0471229736915193</v>
          </cell>
        </row>
        <row r="551">
          <cell r="D551">
            <v>1.4006824598836829</v>
          </cell>
          <cell r="E551">
            <v>2.0488869348525474</v>
          </cell>
        </row>
        <row r="552">
          <cell r="D552">
            <v>1.4009686657495877</v>
          </cell>
          <cell r="E552">
            <v>2.0509742796140773</v>
          </cell>
        </row>
        <row r="553">
          <cell r="D553">
            <v>1.4010440420011037</v>
          </cell>
          <cell r="E553">
            <v>2.0515233262425041</v>
          </cell>
        </row>
        <row r="554">
          <cell r="D554">
            <v>1.4011041191124605</v>
          </cell>
          <cell r="E554">
            <v>2.051960727977713</v>
          </cell>
        </row>
        <row r="555">
          <cell r="D555">
            <v>1.4014653280801213</v>
          </cell>
          <cell r="E555">
            <v>2.0545867343730349</v>
          </cell>
        </row>
        <row r="556">
          <cell r="D556">
            <v>1.4017657136369053</v>
          </cell>
          <cell r="E556">
            <v>2.0567655227152901</v>
          </cell>
        </row>
        <row r="557">
          <cell r="D557">
            <v>1.4019910960919333</v>
          </cell>
          <cell r="E557">
            <v>2.058397279421218</v>
          </cell>
        </row>
        <row r="558">
          <cell r="D558">
            <v>1.4022310313876005</v>
          </cell>
          <cell r="E558">
            <v>2.0601315506303459</v>
          </cell>
        </row>
        <row r="559">
          <cell r="D559">
            <v>1.4025306706448646</v>
          </cell>
          <cell r="E559">
            <v>2.0622932288085485</v>
          </cell>
        </row>
        <row r="560">
          <cell r="D560">
            <v>1.402635525727419</v>
          </cell>
          <cell r="E560">
            <v>2.0630485927900533</v>
          </cell>
        </row>
        <row r="561">
          <cell r="D561">
            <v>1.4027702327907718</v>
          </cell>
          <cell r="E561">
            <v>2.0640181765294909</v>
          </cell>
        </row>
        <row r="562">
          <cell r="D562">
            <v>1.4028299367523687</v>
          </cell>
          <cell r="E562">
            <v>2.064447609812694</v>
          </cell>
        </row>
        <row r="563">
          <cell r="D563">
            <v>1.4030243477773183</v>
          </cell>
          <cell r="E563">
            <v>2.0658446765175289</v>
          </cell>
        </row>
        <row r="564">
          <cell r="D564">
            <v>1.4030541997581167</v>
          </cell>
          <cell r="E564">
            <v>2.0660590242547348</v>
          </cell>
        </row>
        <row r="565">
          <cell r="D565">
            <v>1.4030991643041943</v>
          </cell>
          <cell r="E565">
            <v>2.0663817984624098</v>
          </cell>
        </row>
        <row r="566">
          <cell r="D566">
            <v>1.4039049812108715</v>
          </cell>
          <cell r="E566">
            <v>2.0721484711446378</v>
          </cell>
        </row>
        <row r="567">
          <cell r="D567">
            <v>1.4039646851724683</v>
          </cell>
          <cell r="E567">
            <v>2.0725743825200218</v>
          </cell>
        </row>
        <row r="568">
          <cell r="D568">
            <v>1.4042475326905333</v>
          </cell>
          <cell r="E568">
            <v>2.0745895961315841</v>
          </cell>
        </row>
        <row r="569">
          <cell r="D569">
            <v>1.4044557502566022</v>
          </cell>
          <cell r="E569">
            <v>2.0760704023642647</v>
          </cell>
        </row>
        <row r="570">
          <cell r="D570">
            <v>1.404515454218199</v>
          </cell>
          <cell r="E570">
            <v>2.0764945846270844</v>
          </cell>
        </row>
        <row r="571">
          <cell r="D571">
            <v>1.4047085592189887</v>
          </cell>
          <cell r="E571">
            <v>2.0778652595527216</v>
          </cell>
        </row>
        <row r="572">
          <cell r="D572">
            <v>1.4050945826456882</v>
          </cell>
          <cell r="E572">
            <v>2.0805993628170389</v>
          </cell>
        </row>
        <row r="573">
          <cell r="D573">
            <v>1.4051244346264866</v>
          </cell>
          <cell r="E573">
            <v>2.0808104668429794</v>
          </cell>
        </row>
        <row r="574">
          <cell r="D574">
            <v>1.4055543031499838</v>
          </cell>
          <cell r="E574">
            <v>2.0838450958279569</v>
          </cell>
        </row>
        <row r="575">
          <cell r="D575">
            <v>1.4060871610072354</v>
          </cell>
          <cell r="E575">
            <v>2.0875930338668764</v>
          </cell>
        </row>
        <row r="576">
          <cell r="D576">
            <v>1.4061020869976346</v>
          </cell>
          <cell r="E576">
            <v>2.0876977982379472</v>
          </cell>
        </row>
        <row r="577">
          <cell r="D577">
            <v>1.4061905234907499</v>
          </cell>
          <cell r="E577">
            <v>2.0883182806206277</v>
          </cell>
        </row>
        <row r="578">
          <cell r="D578">
            <v>1.4065599417531303</v>
          </cell>
          <cell r="E578">
            <v>2.0909055983154121</v>
          </cell>
        </row>
        <row r="579">
          <cell r="D579">
            <v>1.4066633042366448</v>
          </cell>
          <cell r="E579">
            <v>2.091628200798322</v>
          </cell>
        </row>
        <row r="580">
          <cell r="D580">
            <v>1.4068256243822361</v>
          </cell>
          <cell r="E580">
            <v>2.092761802219715</v>
          </cell>
        </row>
        <row r="581">
          <cell r="D581">
            <v>1.4074592326746824</v>
          </cell>
          <cell r="E581">
            <v>2.0971730052618294</v>
          </cell>
        </row>
        <row r="582">
          <cell r="D582">
            <v>1.4080473166964111</v>
          </cell>
          <cell r="E582">
            <v>2.1012475600831837</v>
          </cell>
        </row>
        <row r="583">
          <cell r="D583">
            <v>1.4086048024378215</v>
          </cell>
          <cell r="E583">
            <v>2.105092464788807</v>
          </cell>
        </row>
        <row r="584">
          <cell r="D584">
            <v>1.4091615418797119</v>
          </cell>
          <cell r="E584">
            <v>2.1089149569301111</v>
          </cell>
        </row>
        <row r="585">
          <cell r="D585">
            <v>1.409234679232668</v>
          </cell>
          <cell r="E585">
            <v>2.1094158188851511</v>
          </cell>
        </row>
        <row r="586">
          <cell r="D586">
            <v>1.4093955067792194</v>
          </cell>
          <cell r="E586">
            <v>2.1105161482384287</v>
          </cell>
        </row>
        <row r="587">
          <cell r="D587">
            <v>1.4097169752974423</v>
          </cell>
          <cell r="E587">
            <v>2.1127111699598089</v>
          </cell>
        </row>
        <row r="588">
          <cell r="D588">
            <v>1.4100089649846268</v>
          </cell>
          <cell r="E588">
            <v>2.1146998533642223</v>
          </cell>
        </row>
        <row r="589">
          <cell r="D589">
            <v>1.4106649622626719</v>
          </cell>
          <cell r="E589">
            <v>2.1191500840060153</v>
          </cell>
        </row>
        <row r="590">
          <cell r="D590">
            <v>1.4106795151033111</v>
          </cell>
          <cell r="E590">
            <v>2.1192485314475316</v>
          </cell>
        </row>
        <row r="591">
          <cell r="D591">
            <v>1.4107813849877857</v>
          </cell>
          <cell r="E591">
            <v>2.1199373248511972</v>
          </cell>
        </row>
        <row r="592">
          <cell r="D592">
            <v>1.4109560190754564</v>
          </cell>
          <cell r="E592">
            <v>2.1211167330008762</v>
          </cell>
        </row>
        <row r="593">
          <cell r="D593">
            <v>1.411377305154474</v>
          </cell>
          <cell r="E593">
            <v>2.1239547315158247</v>
          </cell>
        </row>
        <row r="594">
          <cell r="D594">
            <v>1.4114646221983094</v>
          </cell>
          <cell r="E594">
            <v>2.124541667114821</v>
          </cell>
        </row>
        <row r="595">
          <cell r="D595">
            <v>1.4118709822869278</v>
          </cell>
          <cell r="E595">
            <v>2.127267387182465</v>
          </cell>
        </row>
        <row r="596">
          <cell r="D596">
            <v>1.4118709822869278</v>
          </cell>
          <cell r="E596">
            <v>2.127267387182465</v>
          </cell>
        </row>
        <row r="597">
          <cell r="D597">
            <v>1.4121463668097931</v>
          </cell>
          <cell r="E597">
            <v>2.129109136379959</v>
          </cell>
        </row>
        <row r="598">
          <cell r="D598">
            <v>1.4129710277793492</v>
          </cell>
          <cell r="E598">
            <v>2.1345979949535256</v>
          </cell>
        </row>
        <row r="599">
          <cell r="D599">
            <v>1.413202007480777</v>
          </cell>
          <cell r="E599">
            <v>2.1361282377992494</v>
          </cell>
        </row>
        <row r="600">
          <cell r="D600">
            <v>1.413202007480777</v>
          </cell>
          <cell r="E600">
            <v>2.1361282377992494</v>
          </cell>
        </row>
        <row r="601">
          <cell r="D601">
            <v>1.4132165603214162</v>
          </cell>
          <cell r="E601">
            <v>2.1362245455362689</v>
          </cell>
        </row>
        <row r="602">
          <cell r="D602">
            <v>1.413822368956744</v>
          </cell>
          <cell r="E602">
            <v>2.1402225864650273</v>
          </cell>
        </row>
        <row r="603">
          <cell r="D603">
            <v>1.4138800205946609</v>
          </cell>
          <cell r="E603">
            <v>2.1406019287890112</v>
          </cell>
        </row>
        <row r="604">
          <cell r="D604">
            <v>1.414254289803921</v>
          </cell>
          <cell r="E604">
            <v>2.1430597889719025</v>
          </cell>
        </row>
        <row r="605">
          <cell r="D605">
            <v>1.4145278085779864</v>
          </cell>
          <cell r="E605">
            <v>2.1448507414055373</v>
          </cell>
        </row>
        <row r="606">
          <cell r="D606">
            <v>1.414743302564375</v>
          </cell>
          <cell r="E606">
            <v>2.1462586130993437</v>
          </cell>
        </row>
        <row r="607">
          <cell r="D607">
            <v>1.4147576688301342</v>
          </cell>
          <cell r="E607">
            <v>2.1463523724824327</v>
          </cell>
        </row>
        <row r="608">
          <cell r="D608">
            <v>1.414987529082282</v>
          </cell>
          <cell r="E608">
            <v>2.1478508413375077</v>
          </cell>
        </row>
        <row r="609">
          <cell r="D609">
            <v>1.4152170161846698</v>
          </cell>
          <cell r="E609">
            <v>2.1493437150225962</v>
          </cell>
        </row>
        <row r="610">
          <cell r="D610">
            <v>1.4152457487161882</v>
          </cell>
          <cell r="E610">
            <v>2.1495304046708621</v>
          </cell>
        </row>
        <row r="611">
          <cell r="D611">
            <v>1.4152457487161882</v>
          </cell>
          <cell r="E611">
            <v>2.1495304046708621</v>
          </cell>
        </row>
        <row r="612">
          <cell r="D612">
            <v>1.4152457487161882</v>
          </cell>
          <cell r="E612">
            <v>2.1495304046708621</v>
          </cell>
        </row>
        <row r="613">
          <cell r="D613">
            <v>1.4154608695528168</v>
          </cell>
          <cell r="E613">
            <v>2.1509265730851057</v>
          </cell>
        </row>
        <row r="614">
          <cell r="D614">
            <v>1.4156472578579269</v>
          </cell>
          <cell r="E614">
            <v>2.1521340060576817</v>
          </cell>
        </row>
        <row r="615">
          <cell r="D615">
            <v>1.4157043497712039</v>
          </cell>
          <cell r="E615">
            <v>2.152503430501024</v>
          </cell>
        </row>
        <row r="616">
          <cell r="D616">
            <v>1.41577599452512</v>
          </cell>
          <cell r="E616">
            <v>2.1529667430362642</v>
          </cell>
        </row>
        <row r="617">
          <cell r="D617">
            <v>1.4160194747435071</v>
          </cell>
          <cell r="E617">
            <v>2.1545389582797014</v>
          </cell>
        </row>
        <row r="618">
          <cell r="D618">
            <v>1.4162625818121342</v>
          </cell>
          <cell r="E618">
            <v>2.1561051745605186</v>
          </cell>
        </row>
        <row r="619">
          <cell r="D619">
            <v>1.4162913143436526</v>
          </cell>
          <cell r="E619">
            <v>2.1562900463292052</v>
          </cell>
        </row>
        <row r="620">
          <cell r="D620">
            <v>1.4165200551465205</v>
          </cell>
          <cell r="E620">
            <v>2.1577600240226973</v>
          </cell>
        </row>
        <row r="621">
          <cell r="D621">
            <v>1.4165342348373997</v>
          </cell>
          <cell r="E621">
            <v>2.1578510432441798</v>
          </cell>
        </row>
        <row r="622">
          <cell r="D622">
            <v>1.4165627807940382</v>
          </cell>
          <cell r="E622">
            <v>2.1580342420910186</v>
          </cell>
        </row>
        <row r="623">
          <cell r="D623">
            <v>1.4167198768429898</v>
          </cell>
          <cell r="E623">
            <v>2.1590415438703885</v>
          </cell>
        </row>
        <row r="624">
          <cell r="D624">
            <v>1.4168913391577007</v>
          </cell>
          <cell r="E624">
            <v>2.1601392398074828</v>
          </cell>
        </row>
        <row r="625">
          <cell r="D625">
            <v>1.4171051539701693</v>
          </cell>
          <cell r="E625">
            <v>2.1615055513189714</v>
          </cell>
        </row>
        <row r="626">
          <cell r="D626">
            <v>1.4172193377967233</v>
          </cell>
          <cell r="E626">
            <v>2.1622340551798369</v>
          </cell>
        </row>
        <row r="627">
          <cell r="D627">
            <v>1.417318968782638</v>
          </cell>
          <cell r="E627">
            <v>2.1628690557378967</v>
          </cell>
        </row>
        <row r="628">
          <cell r="D628">
            <v>1.4175613295517451</v>
          </cell>
          <cell r="E628">
            <v>2.1644111963576447</v>
          </cell>
        </row>
        <row r="629">
          <cell r="D629">
            <v>1.417675326803419</v>
          </cell>
          <cell r="E629">
            <v>2.1651353077383004</v>
          </cell>
        </row>
        <row r="630">
          <cell r="D630">
            <v>1.4178174968619714</v>
          </cell>
          <cell r="E630">
            <v>2.1660372479875325</v>
          </cell>
        </row>
        <row r="631">
          <cell r="D631">
            <v>1.4179598534954039</v>
          </cell>
          <cell r="E631">
            <v>2.1669391189375271</v>
          </cell>
        </row>
        <row r="632">
          <cell r="D632">
            <v>1.418144749201474</v>
          </cell>
          <cell r="E632">
            <v>2.1681086125585751</v>
          </cell>
        </row>
        <row r="633">
          <cell r="D633">
            <v>1.418201654539871</v>
          </cell>
          <cell r="E633">
            <v>2.1684681206120877</v>
          </cell>
        </row>
        <row r="634">
          <cell r="D634">
            <v>1.4185141674638544</v>
          </cell>
          <cell r="E634">
            <v>2.1704388792563063</v>
          </cell>
        </row>
        <row r="635">
          <cell r="D635">
            <v>1.4185567065364921</v>
          </cell>
          <cell r="E635">
            <v>2.1707066675571056</v>
          </cell>
        </row>
        <row r="636">
          <cell r="D636">
            <v>1.4189966501035087</v>
          </cell>
          <cell r="E636">
            <v>2.1734695361039895</v>
          </cell>
        </row>
        <row r="637">
          <cell r="D637">
            <v>1.4191809860849389</v>
          </cell>
          <cell r="E637">
            <v>2.1746235750623009</v>
          </cell>
        </row>
        <row r="638">
          <cell r="D638">
            <v>1.4191951657758182</v>
          </cell>
          <cell r="E638">
            <v>2.1747122590220016</v>
          </cell>
        </row>
        <row r="639">
          <cell r="D639">
            <v>1.4194360339458854</v>
          </cell>
          <cell r="E639">
            <v>2.1762167901608898</v>
          </cell>
        </row>
        <row r="640">
          <cell r="D640">
            <v>1.4196625358501933</v>
          </cell>
          <cell r="E640">
            <v>2.1776282555363258</v>
          </cell>
        </row>
        <row r="641">
          <cell r="D641">
            <v>1.419931390252259</v>
          </cell>
          <cell r="E641">
            <v>2.1792994441807227</v>
          </cell>
        </row>
        <row r="642">
          <cell r="D642">
            <v>1.419987735866016</v>
          </cell>
          <cell r="E642">
            <v>2.1796491074318891</v>
          </cell>
        </row>
        <row r="643">
          <cell r="D643">
            <v>1.4201858783885655</v>
          </cell>
          <cell r="E643">
            <v>2.1808771219776162</v>
          </cell>
        </row>
        <row r="644">
          <cell r="D644">
            <v>1.4202422240023225</v>
          </cell>
          <cell r="E644">
            <v>2.1812258770696826</v>
          </cell>
        </row>
        <row r="645">
          <cell r="D645">
            <v>1.4202847630749602</v>
          </cell>
          <cell r="E645">
            <v>2.1814890422077671</v>
          </cell>
        </row>
        <row r="646">
          <cell r="D646">
            <v>1.4203694680704757</v>
          </cell>
          <cell r="E646">
            <v>2.182012721975402</v>
          </cell>
        </row>
        <row r="647">
          <cell r="D647">
            <v>1.4206375761730214</v>
          </cell>
          <cell r="E647">
            <v>2.1836672664288419</v>
          </cell>
        </row>
        <row r="648">
          <cell r="D648">
            <v>1.4206517558639007</v>
          </cell>
          <cell r="E648">
            <v>2.1837546445608291</v>
          </cell>
        </row>
        <row r="649">
          <cell r="D649">
            <v>1.4206941083616584</v>
          </cell>
          <cell r="E649">
            <v>2.184015552986144</v>
          </cell>
        </row>
        <row r="650">
          <cell r="D650">
            <v>1.4217504953321622</v>
          </cell>
          <cell r="E650">
            <v>2.1904862164578351</v>
          </cell>
        </row>
        <row r="651">
          <cell r="D651">
            <v>1.421961511521431</v>
          </cell>
          <cell r="E651">
            <v>2.1917701625349957</v>
          </cell>
        </row>
        <row r="652">
          <cell r="D652">
            <v>1.4222005139426983</v>
          </cell>
          <cell r="E652">
            <v>2.1932209229335866</v>
          </cell>
        </row>
        <row r="653">
          <cell r="D653">
            <v>1.4226917656017122</v>
          </cell>
          <cell r="E653">
            <v>2.1961912425845607</v>
          </cell>
        </row>
        <row r="654">
          <cell r="D654">
            <v>1.423014353569215</v>
          </cell>
          <cell r="E654">
            <v>2.1981332231583171</v>
          </cell>
        </row>
        <row r="655">
          <cell r="D655">
            <v>1.4232804093480809</v>
          </cell>
          <cell r="E655">
            <v>2.1997297763157029</v>
          </cell>
        </row>
        <row r="656">
          <cell r="D656">
            <v>1.4242313815113903</v>
          </cell>
          <cell r="E656">
            <v>2.2053984907736761</v>
          </cell>
        </row>
        <row r="657">
          <cell r="D657">
            <v>1.4248592059825569</v>
          </cell>
          <cell r="E657">
            <v>2.2091082847951733</v>
          </cell>
        </row>
        <row r="658">
          <cell r="D658">
            <v>1.4250125705339087</v>
          </cell>
          <cell r="E658">
            <v>2.2100105434340214</v>
          </cell>
        </row>
        <row r="659">
          <cell r="D659">
            <v>1.425082349539025</v>
          </cell>
          <cell r="E659">
            <v>2.2104205431539636</v>
          </cell>
        </row>
        <row r="660">
          <cell r="D660">
            <v>1.425402512033088</v>
          </cell>
          <cell r="E660">
            <v>2.2122975662827336</v>
          </cell>
        </row>
        <row r="661">
          <cell r="D661">
            <v>1.4254722910382043</v>
          </cell>
          <cell r="E661">
            <v>2.2127057548562048</v>
          </cell>
        </row>
        <row r="662">
          <cell r="D662">
            <v>1.4259034655858613</v>
          </cell>
          <cell r="E662">
            <v>2.2152207991851576</v>
          </cell>
        </row>
        <row r="663">
          <cell r="D663">
            <v>1.4260146642143354</v>
          </cell>
          <cell r="E663">
            <v>2.2158674041779132</v>
          </cell>
        </row>
        <row r="664">
          <cell r="D664">
            <v>1.4261812755821666</v>
          </cell>
          <cell r="E664">
            <v>2.2168346751397485</v>
          </cell>
        </row>
        <row r="665">
          <cell r="D665">
            <v>1.4263756866071162</v>
          </cell>
          <cell r="E665">
            <v>2.2179609822904696</v>
          </cell>
        </row>
        <row r="666">
          <cell r="D666">
            <v>1.426417479380234</v>
          </cell>
          <cell r="E666">
            <v>2.2182027741093209</v>
          </cell>
        </row>
        <row r="667">
          <cell r="D667">
            <v>1.4264868852355903</v>
          </cell>
          <cell r="E667">
            <v>2.2186040615976466</v>
          </cell>
        </row>
        <row r="668">
          <cell r="D668">
            <v>1.4266533100285415</v>
          </cell>
          <cell r="E668">
            <v>2.219564967124906</v>
          </cell>
        </row>
        <row r="669">
          <cell r="D669">
            <v>1.4267921217392541</v>
          </cell>
          <cell r="E669">
            <v>2.2203650117105664</v>
          </cell>
        </row>
        <row r="670">
          <cell r="D670">
            <v>1.4269585465322052</v>
          </cell>
          <cell r="E670">
            <v>2.2213224902544</v>
          </cell>
        </row>
        <row r="671">
          <cell r="D671">
            <v>1.4269723530733245</v>
          </cell>
          <cell r="E671">
            <v>2.2214018382572838</v>
          </cell>
        </row>
        <row r="672">
          <cell r="D672">
            <v>1.4270969850931579</v>
          </cell>
          <cell r="E672">
            <v>2.2221175313463482</v>
          </cell>
        </row>
        <row r="673">
          <cell r="D673">
            <v>1.4271801974896334</v>
          </cell>
          <cell r="E673">
            <v>2.2225947890768527</v>
          </cell>
        </row>
        <row r="674">
          <cell r="D674">
            <v>1.427470881152658</v>
          </cell>
          <cell r="E674">
            <v>2.2242582976077148</v>
          </cell>
        </row>
        <row r="675">
          <cell r="D675">
            <v>1.4281623276579012</v>
          </cell>
          <cell r="E675">
            <v>2.2281921836978134</v>
          </cell>
        </row>
        <row r="676">
          <cell r="D676">
            <v>1.4288664612549837</v>
          </cell>
          <cell r="E676">
            <v>2.232164680017255</v>
          </cell>
        </row>
        <row r="677">
          <cell r="D677">
            <v>1.4290455731397742</v>
          </cell>
          <cell r="E677">
            <v>2.2331697427161847</v>
          </cell>
        </row>
        <row r="678">
          <cell r="D678">
            <v>1.429086992763132</v>
          </cell>
          <cell r="E678">
            <v>2.2334018491554866</v>
          </cell>
        </row>
        <row r="679">
          <cell r="D679">
            <v>1.4292661046479225</v>
          </cell>
          <cell r="E679">
            <v>2.2344041919497712</v>
          </cell>
        </row>
        <row r="680">
          <cell r="D680">
            <v>1.4295552957119071</v>
          </cell>
          <cell r="E680">
            <v>2.2360178857690336</v>
          </cell>
        </row>
        <row r="681">
          <cell r="D681">
            <v>1.4297616475291761</v>
          </cell>
          <cell r="E681">
            <v>2.2371657999207621</v>
          </cell>
        </row>
        <row r="682">
          <cell r="D682">
            <v>1.4301193115741171</v>
          </cell>
          <cell r="E682">
            <v>2.2391484590993898</v>
          </cell>
        </row>
        <row r="683">
          <cell r="D683">
            <v>1.4303254768165061</v>
          </cell>
          <cell r="E683">
            <v>2.2402872701950303</v>
          </cell>
        </row>
        <row r="684">
          <cell r="D684">
            <v>1.4303665232901039</v>
          </cell>
          <cell r="E684">
            <v>2.2405136488806137</v>
          </cell>
        </row>
        <row r="685">
          <cell r="D685">
            <v>1.4304353694208203</v>
          </cell>
          <cell r="E685">
            <v>2.2408930842975447</v>
          </cell>
        </row>
        <row r="686">
          <cell r="D686">
            <v>1.4308745666883169</v>
          </cell>
          <cell r="E686">
            <v>2.243305876490354</v>
          </cell>
        </row>
        <row r="687">
          <cell r="D687">
            <v>1.4309157997367947</v>
          </cell>
          <cell r="E687">
            <v>2.2435317043447971</v>
          </cell>
        </row>
        <row r="688">
          <cell r="D688">
            <v>1.4309978926839904</v>
          </cell>
          <cell r="E688">
            <v>2.2439809622940809</v>
          </cell>
        </row>
        <row r="689">
          <cell r="D689">
            <v>1.4312173047428587</v>
          </cell>
          <cell r="E689">
            <v>2.2451793905217929</v>
          </cell>
        </row>
        <row r="690">
          <cell r="D690">
            <v>1.4312995842649343</v>
          </cell>
          <cell r="E690">
            <v>2.2456279312504743</v>
          </cell>
        </row>
        <row r="691">
          <cell r="D691">
            <v>1.4316421357445961</v>
          </cell>
          <cell r="E691">
            <v>2.2474902167367437</v>
          </cell>
        </row>
        <row r="692">
          <cell r="D692">
            <v>1.4316968021844332</v>
          </cell>
          <cell r="E692">
            <v>2.2477866482718336</v>
          </cell>
        </row>
        <row r="693">
          <cell r="D693">
            <v>1.431888414586183</v>
          </cell>
          <cell r="E693">
            <v>2.2488240148337075</v>
          </cell>
        </row>
        <row r="694">
          <cell r="D694">
            <v>1.4320662204468135</v>
          </cell>
          <cell r="E694">
            <v>2.2497843192818214</v>
          </cell>
        </row>
        <row r="695">
          <cell r="D695">
            <v>1.4322714528148026</v>
          </cell>
          <cell r="E695">
            <v>2.2508899753531009</v>
          </cell>
        </row>
        <row r="696">
          <cell r="D696">
            <v>1.4330770831465998</v>
          </cell>
          <cell r="E696">
            <v>2.255201337750905</v>
          </cell>
        </row>
        <row r="697">
          <cell r="D697">
            <v>1.433240895891231</v>
          </cell>
          <cell r="E697">
            <v>2.2560723465530645</v>
          </cell>
        </row>
        <row r="698">
          <cell r="D698">
            <v>1.433786067690562</v>
          </cell>
          <cell r="E698">
            <v>2.2589572939062132</v>
          </cell>
        </row>
        <row r="699">
          <cell r="D699">
            <v>1.4339901806092712</v>
          </cell>
          <cell r="E699">
            <v>2.2600319535043063</v>
          </cell>
        </row>
        <row r="700">
          <cell r="D700">
            <v>1.4345342329593223</v>
          </cell>
          <cell r="E700">
            <v>2.2628818012273362</v>
          </cell>
        </row>
        <row r="701">
          <cell r="D701">
            <v>1.4353626254264782</v>
          </cell>
          <cell r="E701">
            <v>2.2671801260604729</v>
          </cell>
        </row>
        <row r="702">
          <cell r="D702">
            <v>1.4356339053019838</v>
          </cell>
          <cell r="E702">
            <v>2.2685769407908092</v>
          </cell>
        </row>
        <row r="703">
          <cell r="D703">
            <v>1.4357965985973351</v>
          </cell>
          <cell r="E703">
            <v>2.2694120835367104</v>
          </cell>
        </row>
        <row r="704">
          <cell r="D704">
            <v>1.4357965985973351</v>
          </cell>
          <cell r="E704">
            <v>2.2694120835367104</v>
          </cell>
        </row>
        <row r="705">
          <cell r="D705">
            <v>1.4360133986078836</v>
          </cell>
          <cell r="E705">
            <v>2.2705219785943833</v>
          </cell>
        </row>
        <row r="706">
          <cell r="D706">
            <v>1.4361895252945942</v>
          </cell>
          <cell r="E706">
            <v>2.2714211303119822</v>
          </cell>
        </row>
        <row r="707">
          <cell r="D707">
            <v>1.4362029586859535</v>
          </cell>
          <cell r="E707">
            <v>2.2714896169124006</v>
          </cell>
        </row>
        <row r="708">
          <cell r="D708">
            <v>1.4367443989876847</v>
          </cell>
          <cell r="E708">
            <v>2.2742390427189378</v>
          </cell>
        </row>
        <row r="709">
          <cell r="D709">
            <v>1.4367712657704033</v>
          </cell>
          <cell r="E709">
            <v>2.2743749137931251</v>
          </cell>
        </row>
        <row r="710">
          <cell r="D710">
            <v>1.4369201525246353</v>
          </cell>
          <cell r="E710">
            <v>2.2751269079225094</v>
          </cell>
        </row>
        <row r="711">
          <cell r="D711">
            <v>1.4372712864487767</v>
          </cell>
          <cell r="E711">
            <v>2.2768939712319725</v>
          </cell>
        </row>
        <row r="712">
          <cell r="D712">
            <v>1.4372712864487767</v>
          </cell>
          <cell r="E712">
            <v>2.2768939712319725</v>
          </cell>
        </row>
        <row r="713">
          <cell r="D713">
            <v>1.4373929332705302</v>
          </cell>
          <cell r="E713">
            <v>2.2775040409500424</v>
          </cell>
        </row>
        <row r="714">
          <cell r="D714">
            <v>1.4375007735511645</v>
          </cell>
          <cell r="E714">
            <v>2.2780439597004603</v>
          </cell>
        </row>
        <row r="715">
          <cell r="D715">
            <v>1.4377033938708337</v>
          </cell>
          <cell r="E715">
            <v>2.279056093804138</v>
          </cell>
        </row>
        <row r="716">
          <cell r="D716">
            <v>1.438053968070335</v>
          </cell>
          <cell r="E716">
            <v>2.2808001414484242</v>
          </cell>
        </row>
        <row r="717">
          <cell r="D717">
            <v>1.4388754572669313</v>
          </cell>
          <cell r="E717">
            <v>2.284851300420776</v>
          </cell>
        </row>
        <row r="718">
          <cell r="D718">
            <v>1.4388888906582906</v>
          </cell>
          <cell r="E718">
            <v>2.2849171309479055</v>
          </cell>
        </row>
        <row r="719">
          <cell r="D719">
            <v>1.4391713650265956</v>
          </cell>
          <cell r="E719">
            <v>2.286298292253182</v>
          </cell>
        </row>
        <row r="720">
          <cell r="D720">
            <v>1.4393598056553856</v>
          </cell>
          <cell r="E720">
            <v>2.2872163708662558</v>
          </cell>
        </row>
        <row r="721">
          <cell r="D721">
            <v>1.439426972612182</v>
          </cell>
          <cell r="E721">
            <v>2.2875429668282101</v>
          </cell>
        </row>
        <row r="722">
          <cell r="D722">
            <v>1.4395075729603377</v>
          </cell>
          <cell r="E722">
            <v>2.2879344376674795</v>
          </cell>
        </row>
        <row r="723">
          <cell r="D723">
            <v>1.4396687736566491</v>
          </cell>
          <cell r="E723">
            <v>2.288715924182346</v>
          </cell>
        </row>
        <row r="724">
          <cell r="D724">
            <v>1.4402460363353384</v>
          </cell>
          <cell r="E724">
            <v>2.2914984973979595</v>
          </cell>
        </row>
        <row r="725">
          <cell r="D725">
            <v>1.4402861499345363</v>
          </cell>
          <cell r="E725">
            <v>2.2916909286059943</v>
          </cell>
        </row>
        <row r="726">
          <cell r="D726">
            <v>1.4406749719844356</v>
          </cell>
          <cell r="E726">
            <v>2.2935499051769765</v>
          </cell>
        </row>
        <row r="727">
          <cell r="D727">
            <v>1.4407419523663521</v>
          </cell>
          <cell r="E727">
            <v>2.2938689936698302</v>
          </cell>
        </row>
        <row r="728">
          <cell r="D728">
            <v>1.4410098738940178</v>
          </cell>
          <cell r="E728">
            <v>2.295141968505042</v>
          </cell>
        </row>
        <row r="729">
          <cell r="D729">
            <v>1.4416524377807036</v>
          </cell>
          <cell r="E729">
            <v>2.2981728993723838</v>
          </cell>
        </row>
        <row r="730">
          <cell r="D730">
            <v>1.4417860253947765</v>
          </cell>
          <cell r="E730">
            <v>2.2987991007594903</v>
          </cell>
        </row>
        <row r="731">
          <cell r="D731">
            <v>1.4417994587861358</v>
          </cell>
          <cell r="E731">
            <v>2.2988619958850647</v>
          </cell>
        </row>
        <row r="732">
          <cell r="D732">
            <v>1.4422537686189116</v>
          </cell>
          <cell r="E732">
            <v>2.3009810102743988</v>
          </cell>
        </row>
        <row r="733">
          <cell r="D733">
            <v>1.4428543531575997</v>
          </cell>
          <cell r="E733">
            <v>2.3037581884212721</v>
          </cell>
        </row>
        <row r="734">
          <cell r="D734">
            <v>1.4430144344046312</v>
          </cell>
          <cell r="E734">
            <v>2.3044937803034888</v>
          </cell>
        </row>
        <row r="735">
          <cell r="D735">
            <v>1.4434409445802885</v>
          </cell>
          <cell r="E735">
            <v>2.3064440781923996</v>
          </cell>
        </row>
        <row r="736">
          <cell r="D736">
            <v>1.4435741590446014</v>
          </cell>
          <cell r="E736">
            <v>2.3070503710569659</v>
          </cell>
        </row>
        <row r="737">
          <cell r="D737">
            <v>1.4437073735089143</v>
          </cell>
          <cell r="E737">
            <v>2.3076553027934934</v>
          </cell>
        </row>
        <row r="738">
          <cell r="D738">
            <v>1.4438137211905087</v>
          </cell>
          <cell r="E738">
            <v>2.3081372536776317</v>
          </cell>
        </row>
        <row r="739">
          <cell r="D739">
            <v>1.4446518155514241</v>
          </cell>
          <cell r="E739">
            <v>2.3119049164601515</v>
          </cell>
        </row>
        <row r="740">
          <cell r="D740">
            <v>1.444691742575742</v>
          </cell>
          <cell r="E740">
            <v>2.3120830575180755</v>
          </cell>
        </row>
        <row r="741">
          <cell r="D741">
            <v>1.444784656865977</v>
          </cell>
          <cell r="E741">
            <v>2.3124971333301052</v>
          </cell>
        </row>
        <row r="742">
          <cell r="D742">
            <v>1.4449174981805299</v>
          </cell>
          <cell r="E742">
            <v>2.3130879863452143</v>
          </cell>
        </row>
        <row r="743">
          <cell r="D743">
            <v>1.4452096744425944</v>
          </cell>
          <cell r="E743">
            <v>2.3143827268114019</v>
          </cell>
        </row>
        <row r="744">
          <cell r="D744">
            <v>1.4453025887328295</v>
          </cell>
          <cell r="E744">
            <v>2.3147930784682993</v>
          </cell>
        </row>
        <row r="745">
          <cell r="D745">
            <v>1.4453555759987466</v>
          </cell>
          <cell r="E745">
            <v>2.3150267945943019</v>
          </cell>
        </row>
        <row r="746">
          <cell r="D746">
            <v>1.4456738727440097</v>
          </cell>
          <cell r="E746">
            <v>2.3164261518751585</v>
          </cell>
        </row>
        <row r="747">
          <cell r="D747">
            <v>1.4457932806672034</v>
          </cell>
          <cell r="E747">
            <v>2.3169490859801973</v>
          </cell>
        </row>
        <row r="748">
          <cell r="D748">
            <v>1.4458727615660791</v>
          </cell>
          <cell r="E748">
            <v>2.3172965493873119</v>
          </cell>
        </row>
        <row r="749">
          <cell r="D749">
            <v>1.4462173653694208</v>
          </cell>
          <cell r="E749">
            <v>2.3187973516180715</v>
          </cell>
        </row>
        <row r="750">
          <cell r="D750">
            <v>1.446270352635338</v>
          </cell>
          <cell r="E750">
            <v>2.3190272984827129</v>
          </cell>
        </row>
        <row r="751">
          <cell r="D751">
            <v>1.4463365867177345</v>
          </cell>
          <cell r="E751">
            <v>2.3193144241305648</v>
          </cell>
        </row>
        <row r="752">
          <cell r="D752">
            <v>1.4464690548825274</v>
          </cell>
          <cell r="E752">
            <v>2.3198876484668425</v>
          </cell>
        </row>
        <row r="753">
          <cell r="D753">
            <v>1.4465750294143618</v>
          </cell>
          <cell r="E753">
            <v>2.3203452414557648</v>
          </cell>
        </row>
        <row r="754">
          <cell r="D754">
            <v>1.4466145832889197</v>
          </cell>
          <cell r="E754">
            <v>2.3205158083619168</v>
          </cell>
        </row>
        <row r="755">
          <cell r="D755">
            <v>1.4470909089575343</v>
          </cell>
          <cell r="E755">
            <v>2.3225602421266025</v>
          </cell>
        </row>
        <row r="756">
          <cell r="D756">
            <v>1.4471041557740136</v>
          </cell>
          <cell r="E756">
            <v>2.3226168447878273</v>
          </cell>
        </row>
        <row r="757">
          <cell r="D757">
            <v>1.4471174025904929</v>
          </cell>
          <cell r="E757">
            <v>2.3226734336955119</v>
          </cell>
        </row>
        <row r="758">
          <cell r="D758">
            <v>1.447209943730968</v>
          </cell>
          <cell r="E758">
            <v>2.323068375285199</v>
          </cell>
        </row>
        <row r="759">
          <cell r="D759">
            <v>1.4476592160419841</v>
          </cell>
          <cell r="E759">
            <v>2.3249762010176829</v>
          </cell>
        </row>
        <row r="760">
          <cell r="D760">
            <v>1.4478706053810129</v>
          </cell>
          <cell r="E760">
            <v>2.3258683733076175</v>
          </cell>
        </row>
        <row r="761">
          <cell r="D761">
            <v>1.4482269634017939</v>
          </cell>
          <cell r="E761">
            <v>2.3273644218942757</v>
          </cell>
        </row>
        <row r="762">
          <cell r="D762">
            <v>1.448319317967389</v>
          </cell>
          <cell r="E762">
            <v>2.3277505074793075</v>
          </cell>
        </row>
        <row r="763">
          <cell r="D763">
            <v>1.4487939644620837</v>
          </cell>
          <cell r="E763">
            <v>2.3297241243232696</v>
          </cell>
        </row>
        <row r="764">
          <cell r="D764">
            <v>1.4488202715201624</v>
          </cell>
          <cell r="E764">
            <v>2.3298329900311714</v>
          </cell>
        </row>
        <row r="765">
          <cell r="D765">
            <v>1.4494132064887708</v>
          </cell>
          <cell r="E765">
            <v>2.3322721673296605</v>
          </cell>
        </row>
        <row r="766">
          <cell r="D766">
            <v>1.449597355895321</v>
          </cell>
          <cell r="E766">
            <v>2.3330240308948547</v>
          </cell>
        </row>
        <row r="767">
          <cell r="D767">
            <v>1.4499789015249007</v>
          </cell>
          <cell r="E767">
            <v>2.3345732603914673</v>
          </cell>
        </row>
        <row r="768">
          <cell r="D768">
            <v>1.4503470137631211</v>
          </cell>
          <cell r="E768">
            <v>2.3360569522209427</v>
          </cell>
        </row>
        <row r="769">
          <cell r="D769">
            <v>1.4503602605796004</v>
          </cell>
          <cell r="E769">
            <v>2.3361101425538791</v>
          </cell>
        </row>
        <row r="770">
          <cell r="D770">
            <v>1.4504520554205556</v>
          </cell>
          <cell r="E770">
            <v>2.3364783441224084</v>
          </cell>
        </row>
        <row r="771">
          <cell r="D771">
            <v>1.4508330413254953</v>
          </cell>
          <cell r="E771">
            <v>2.3379993326470747</v>
          </cell>
        </row>
        <row r="772">
          <cell r="D772">
            <v>1.4510431246403641</v>
          </cell>
          <cell r="E772">
            <v>2.3388330683391767</v>
          </cell>
        </row>
        <row r="773">
          <cell r="D773">
            <v>1.4510957387565213</v>
          </cell>
          <cell r="E773">
            <v>2.3390413188547341</v>
          </cell>
        </row>
        <row r="774">
          <cell r="D774">
            <v>1.4511481662977985</v>
          </cell>
          <cell r="E774">
            <v>2.3392486101815697</v>
          </cell>
        </row>
        <row r="775">
          <cell r="D775">
            <v>1.4511875335974764</v>
          </cell>
          <cell r="E775">
            <v>2.3394041182323608</v>
          </cell>
        </row>
        <row r="776">
          <cell r="D776">
            <v>1.4515942668358548</v>
          </cell>
          <cell r="E776">
            <v>2.3410035088815797</v>
          </cell>
        </row>
        <row r="777">
          <cell r="D777">
            <v>1.451777669942885</v>
          </cell>
          <cell r="E777">
            <v>2.3417203544547047</v>
          </cell>
        </row>
        <row r="778">
          <cell r="D778">
            <v>1.4520922351905483</v>
          </cell>
          <cell r="E778">
            <v>2.3429435554803466</v>
          </cell>
        </row>
        <row r="779">
          <cell r="D779">
            <v>1.4521577229734248</v>
          </cell>
          <cell r="E779">
            <v>2.3431972053228276</v>
          </cell>
        </row>
        <row r="780">
          <cell r="D780">
            <v>1.4523541863220544</v>
          </cell>
          <cell r="E780">
            <v>2.3439560802069055</v>
          </cell>
        </row>
        <row r="781">
          <cell r="D781">
            <v>1.4523672465636537</v>
          </cell>
          <cell r="E781">
            <v>2.3440064173646369</v>
          </cell>
        </row>
        <row r="782">
          <cell r="D782">
            <v>1.4529038359185051</v>
          </cell>
          <cell r="E782">
            <v>2.3460626447674837</v>
          </cell>
        </row>
        <row r="783">
          <cell r="D783">
            <v>1.4532047811999291</v>
          </cell>
          <cell r="E783">
            <v>2.3472056829001602</v>
          </cell>
        </row>
        <row r="784">
          <cell r="D784">
            <v>1.4532178414415284</v>
          </cell>
          <cell r="E784">
            <v>2.3472551216821724</v>
          </cell>
        </row>
        <row r="785">
          <cell r="D785">
            <v>1.4534792328483945</v>
          </cell>
          <cell r="E785">
            <v>2.3482416951991456</v>
          </cell>
        </row>
        <row r="786">
          <cell r="D786">
            <v>1.4536490159891855</v>
          </cell>
          <cell r="E786">
            <v>2.3488795401761258</v>
          </cell>
        </row>
        <row r="787">
          <cell r="D787">
            <v>1.4539104073960516</v>
          </cell>
          <cell r="E787">
            <v>2.3498569631265829</v>
          </cell>
        </row>
        <row r="788">
          <cell r="D788">
            <v>1.4539626483624488</v>
          </cell>
          <cell r="E788">
            <v>2.3500516421315867</v>
          </cell>
        </row>
        <row r="789">
          <cell r="D789">
            <v>1.4542889678275515</v>
          </cell>
          <cell r="E789">
            <v>2.3512626635397589</v>
          </cell>
        </row>
        <row r="790">
          <cell r="D790">
            <v>1.45469327559249</v>
          </cell>
          <cell r="E790">
            <v>2.3527510747376503</v>
          </cell>
        </row>
        <row r="791">
          <cell r="D791">
            <v>1.454993287999514</v>
          </cell>
          <cell r="E791">
            <v>2.3538469102373223</v>
          </cell>
        </row>
        <row r="792">
          <cell r="D792">
            <v>1.4550584026326305</v>
          </cell>
          <cell r="E792">
            <v>2.3540837785282429</v>
          </cell>
        </row>
        <row r="793">
          <cell r="D793">
            <v>1.4551757582321443</v>
          </cell>
          <cell r="E793">
            <v>2.3545098086017511</v>
          </cell>
        </row>
        <row r="794">
          <cell r="D794">
            <v>1.4556576811471587</v>
          </cell>
          <cell r="E794">
            <v>2.3562474842811825</v>
          </cell>
        </row>
        <row r="795">
          <cell r="D795">
            <v>1.455800784080111</v>
          </cell>
          <cell r="E795">
            <v>2.3567598059518788</v>
          </cell>
        </row>
        <row r="796">
          <cell r="D796">
            <v>1.4559050794380255</v>
          </cell>
          <cell r="E796">
            <v>2.3571321340165077</v>
          </cell>
        </row>
        <row r="797">
          <cell r="D797">
            <v>1.4559179531047448</v>
          </cell>
          <cell r="E797">
            <v>2.3571780302923226</v>
          </cell>
        </row>
        <row r="798">
          <cell r="D798">
            <v>1.4560220618877793</v>
          </cell>
          <cell r="E798">
            <v>2.3575486912854595</v>
          </cell>
        </row>
        <row r="799">
          <cell r="D799">
            <v>1.4564644309282357</v>
          </cell>
          <cell r="E799">
            <v>2.3591137310493138</v>
          </cell>
        </row>
        <row r="800">
          <cell r="D800">
            <v>1.4566465280111061</v>
          </cell>
          <cell r="E800">
            <v>2.3597532853381087</v>
          </cell>
        </row>
        <row r="801">
          <cell r="D801">
            <v>1.4575948881260956</v>
          </cell>
          <cell r="E801">
            <v>2.3630398514941788</v>
          </cell>
        </row>
        <row r="802">
          <cell r="D802">
            <v>1.4577116840009694</v>
          </cell>
          <cell r="E802">
            <v>2.3634394685764737</v>
          </cell>
        </row>
        <row r="803">
          <cell r="D803">
            <v>1.457737617909288</v>
          </cell>
          <cell r="E803">
            <v>2.363528048196113</v>
          </cell>
        </row>
        <row r="804">
          <cell r="D804">
            <v>1.4578934079340797</v>
          </cell>
          <cell r="E804">
            <v>2.3640589905620351</v>
          </cell>
        </row>
        <row r="805">
          <cell r="D805">
            <v>1.4581915545923039</v>
          </cell>
          <cell r="E805">
            <v>2.3650694837218063</v>
          </cell>
        </row>
        <row r="806">
          <cell r="D806">
            <v>1.4586195573670011</v>
          </cell>
          <cell r="E806">
            <v>2.3665071925030912</v>
          </cell>
        </row>
        <row r="807">
          <cell r="D807">
            <v>1.4587878479087522</v>
          </cell>
          <cell r="E807">
            <v>2.3670683286934504</v>
          </cell>
        </row>
        <row r="808">
          <cell r="D808">
            <v>1.4588266554837901</v>
          </cell>
          <cell r="E808">
            <v>2.3671973916380193</v>
          </cell>
        </row>
        <row r="809">
          <cell r="D809">
            <v>1.4589951326004211</v>
          </cell>
          <cell r="E809">
            <v>2.3677562450784886</v>
          </cell>
        </row>
        <row r="810">
          <cell r="D810">
            <v>1.4593835815005605</v>
          </cell>
          <cell r="E810">
            <v>2.3690357526076613</v>
          </cell>
        </row>
        <row r="811">
          <cell r="D811">
            <v>1.4594225756504784</v>
          </cell>
          <cell r="E811">
            <v>2.3691635000995062</v>
          </cell>
        </row>
        <row r="812">
          <cell r="D812">
            <v>1.4594613832255163</v>
          </cell>
          <cell r="E812">
            <v>2.369290510395663</v>
          </cell>
        </row>
        <row r="813">
          <cell r="D813">
            <v>1.4596035532840688</v>
          </cell>
          <cell r="E813">
            <v>2.3697547339655936</v>
          </cell>
        </row>
        <row r="814">
          <cell r="D814">
            <v>1.4601339856678806</v>
          </cell>
          <cell r="E814">
            <v>2.3714718346540447</v>
          </cell>
        </row>
        <row r="815">
          <cell r="D815">
            <v>1.4603925784515468</v>
          </cell>
          <cell r="E815">
            <v>2.3723004090703861</v>
          </cell>
        </row>
        <row r="816">
          <cell r="D816">
            <v>1.460444259693304</v>
          </cell>
          <cell r="E816">
            <v>2.3724653328418395</v>
          </cell>
        </row>
        <row r="817">
          <cell r="D817">
            <v>1.460483067268342</v>
          </cell>
          <cell r="E817">
            <v>2.372589027381701</v>
          </cell>
        </row>
        <row r="818">
          <cell r="D818">
            <v>1.460689792235371</v>
          </cell>
          <cell r="E818">
            <v>2.3732458110741432</v>
          </cell>
        </row>
        <row r="819">
          <cell r="D819">
            <v>1.4607155395688096</v>
          </cell>
          <cell r="E819">
            <v>2.3733273616634851</v>
          </cell>
        </row>
        <row r="820">
          <cell r="D820">
            <v>1.4607155395688096</v>
          </cell>
          <cell r="E820">
            <v>2.3733273616634851</v>
          </cell>
        </row>
        <row r="821">
          <cell r="D821">
            <v>1.4607285998104089</v>
          </cell>
          <cell r="E821">
            <v>2.3733687066442526</v>
          </cell>
        </row>
        <row r="822">
          <cell r="D822">
            <v>1.4607802810521662</v>
          </cell>
          <cell r="E822">
            <v>2.373532174271145</v>
          </cell>
        </row>
        <row r="823">
          <cell r="D823">
            <v>1.4608189020523241</v>
          </cell>
          <cell r="E823">
            <v>2.3736541860579718</v>
          </cell>
        </row>
        <row r="824">
          <cell r="D824">
            <v>1.4608965172024</v>
          </cell>
          <cell r="E824">
            <v>2.3738990098693589</v>
          </cell>
        </row>
        <row r="825">
          <cell r="D825">
            <v>1.4610256270193531</v>
          </cell>
          <cell r="E825">
            <v>2.3743051443568444</v>
          </cell>
        </row>
        <row r="826">
          <cell r="D826">
            <v>1.4610513743527918</v>
          </cell>
          <cell r="E826">
            <v>2.3743859690527018</v>
          </cell>
        </row>
        <row r="827">
          <cell r="D827">
            <v>1.4613226542282973</v>
          </cell>
          <cell r="E827">
            <v>2.375234170948028</v>
          </cell>
        </row>
        <row r="828">
          <cell r="D828">
            <v>1.4617484181044347</v>
          </cell>
          <cell r="E828">
            <v>2.3765529102401626</v>
          </cell>
        </row>
        <row r="829">
          <cell r="D829">
            <v>1.4618773413465078</v>
          </cell>
          <cell r="E829">
            <v>2.3769492192992483</v>
          </cell>
        </row>
        <row r="830">
          <cell r="D830">
            <v>1.4618773413465078</v>
          </cell>
          <cell r="E830">
            <v>2.3769492192992483</v>
          </cell>
        </row>
        <row r="831">
          <cell r="D831">
            <v>1.4618773413465078</v>
          </cell>
          <cell r="E831">
            <v>2.3769492192992483</v>
          </cell>
        </row>
        <row r="832">
          <cell r="D832">
            <v>1.4619159623466658</v>
          </cell>
          <cell r="E832">
            <v>2.3770676672742832</v>
          </cell>
        </row>
        <row r="833">
          <cell r="D833">
            <v>1.461967643588423</v>
          </cell>
          <cell r="E833">
            <v>2.3772259733928673</v>
          </cell>
        </row>
        <row r="834">
          <cell r="D834">
            <v>1.4623544133146424</v>
          </cell>
          <cell r="E834">
            <v>2.3784035446390339</v>
          </cell>
        </row>
        <row r="835">
          <cell r="D835">
            <v>1.4623801606480811</v>
          </cell>
          <cell r="E835">
            <v>2.3784814874999105</v>
          </cell>
        </row>
        <row r="836">
          <cell r="D836">
            <v>1.4626380071322274</v>
          </cell>
          <cell r="E836">
            <v>2.3792589567437448</v>
          </cell>
        </row>
        <row r="837">
          <cell r="D837">
            <v>1.4626380071322274</v>
          </cell>
          <cell r="E837">
            <v>2.3792589567437448</v>
          </cell>
        </row>
        <row r="838">
          <cell r="D838">
            <v>1.4627538701327012</v>
          </cell>
          <cell r="E838">
            <v>2.3796064815494797</v>
          </cell>
        </row>
        <row r="839">
          <cell r="D839">
            <v>1.4628570460413357</v>
          </cell>
          <cell r="E839">
            <v>2.3799149963443349</v>
          </cell>
        </row>
        <row r="840">
          <cell r="D840">
            <v>1.4628827933747743</v>
          </cell>
          <cell r="E840">
            <v>2.3799918451421784</v>
          </cell>
        </row>
        <row r="841">
          <cell r="D841">
            <v>1.4629857827085289</v>
          </cell>
          <cell r="E841">
            <v>2.380298679267939</v>
          </cell>
        </row>
        <row r="842">
          <cell r="D842">
            <v>1.4630630247088448</v>
          </cell>
          <cell r="E842">
            <v>2.38052821558705</v>
          </cell>
        </row>
        <row r="843">
          <cell r="D843">
            <v>1.4630630247088448</v>
          </cell>
          <cell r="E843">
            <v>2.38052821558705</v>
          </cell>
        </row>
        <row r="844">
          <cell r="D844">
            <v>1.4631016457090027</v>
          </cell>
          <cell r="E844">
            <v>2.380642794283423</v>
          </cell>
        </row>
        <row r="845">
          <cell r="D845">
            <v>1.4635134164691408</v>
          </cell>
          <cell r="E845">
            <v>2.3818565558213036</v>
          </cell>
        </row>
        <row r="846">
          <cell r="D846">
            <v>1.4635906584694567</v>
          </cell>
          <cell r="E846">
            <v>2.3820826377708468</v>
          </cell>
        </row>
        <row r="847">
          <cell r="D847">
            <v>1.4644653215068502</v>
          </cell>
          <cell r="E847">
            <v>2.3846073547523181</v>
          </cell>
        </row>
        <row r="848">
          <cell r="D848">
            <v>1.4644908822654088</v>
          </cell>
          <cell r="E848">
            <v>2.3846801574915935</v>
          </cell>
        </row>
        <row r="849">
          <cell r="D849">
            <v>1.464619432357722</v>
          </cell>
          <cell r="E849">
            <v>2.3850454533404957</v>
          </cell>
        </row>
        <row r="850">
          <cell r="D850">
            <v>1.4648377249673104</v>
          </cell>
          <cell r="E850">
            <v>2.3856625420020379</v>
          </cell>
        </row>
        <row r="851">
          <cell r="D851">
            <v>1.4648377249673104</v>
          </cell>
          <cell r="E851">
            <v>2.3856625420020379</v>
          </cell>
        </row>
        <row r="852">
          <cell r="D852">
            <v>1.4649791487263428</v>
          </cell>
          <cell r="E852">
            <v>2.3860601628407161</v>
          </cell>
        </row>
        <row r="853">
          <cell r="D853">
            <v>1.4652103150026505</v>
          </cell>
          <cell r="E853">
            <v>2.3867064262392268</v>
          </cell>
        </row>
        <row r="854">
          <cell r="D854">
            <v>1.4653386785200837</v>
          </cell>
          <cell r="E854">
            <v>2.3870633180298744</v>
          </cell>
        </row>
        <row r="855">
          <cell r="D855">
            <v>1.4655054764627948</v>
          </cell>
          <cell r="E855">
            <v>2.3875249674543233</v>
          </cell>
        </row>
        <row r="856">
          <cell r="D856">
            <v>1.4655440974629528</v>
          </cell>
          <cell r="E856">
            <v>2.3876315205105501</v>
          </cell>
        </row>
        <row r="857">
          <cell r="D857">
            <v>1.4660571783829255</v>
          </cell>
          <cell r="E857">
            <v>2.3890349772992687</v>
          </cell>
        </row>
        <row r="858">
          <cell r="D858">
            <v>1.4660700520496448</v>
          </cell>
          <cell r="E858">
            <v>2.3890699016077437</v>
          </cell>
        </row>
        <row r="859">
          <cell r="D859">
            <v>1.4661855419003587</v>
          </cell>
          <cell r="E859">
            <v>2.3893825733307961</v>
          </cell>
        </row>
        <row r="860">
          <cell r="D860">
            <v>1.4664932038774623</v>
          </cell>
          <cell r="E860">
            <v>2.3902099456050263</v>
          </cell>
        </row>
        <row r="861">
          <cell r="D861">
            <v>1.4666726889120127</v>
          </cell>
          <cell r="E861">
            <v>2.3906888729892013</v>
          </cell>
        </row>
        <row r="862">
          <cell r="D862">
            <v>1.4666982496705714</v>
          </cell>
          <cell r="E862">
            <v>2.3907568530121734</v>
          </cell>
        </row>
        <row r="863">
          <cell r="D863">
            <v>1.4667366840958493</v>
          </cell>
          <cell r="E863">
            <v>2.390858965616987</v>
          </cell>
        </row>
        <row r="864">
          <cell r="D864">
            <v>1.4667879921878466</v>
          </cell>
          <cell r="E864">
            <v>2.3909950834010347</v>
          </cell>
        </row>
        <row r="865">
          <cell r="D865">
            <v>1.4670699068315116</v>
          </cell>
          <cell r="E865">
            <v>2.3917389559391911</v>
          </cell>
        </row>
        <row r="866">
          <cell r="D866">
            <v>1.4671978971991848</v>
          </cell>
          <cell r="E866">
            <v>2.3920744236047922</v>
          </cell>
        </row>
        <row r="867">
          <cell r="D867">
            <v>1.4675691812103651</v>
          </cell>
          <cell r="E867">
            <v>2.3930396041883677</v>
          </cell>
        </row>
        <row r="868">
          <cell r="D868">
            <v>1.4675949285438037</v>
          </cell>
          <cell r="E868">
            <v>2.3931060965935744</v>
          </cell>
        </row>
        <row r="869">
          <cell r="D869">
            <v>1.4679020307962674</v>
          </cell>
          <cell r="E869">
            <v>2.3938947868562961</v>
          </cell>
        </row>
        <row r="870">
          <cell r="D870">
            <v>1.4679788996468233</v>
          </cell>
          <cell r="E870">
            <v>2.3940909278520448</v>
          </cell>
        </row>
        <row r="871">
          <cell r="D871">
            <v>1.4689890160470895</v>
          </cell>
          <cell r="E871">
            <v>2.3966210144812403</v>
          </cell>
        </row>
        <row r="872">
          <cell r="D872">
            <v>1.4691168198398827</v>
          </cell>
          <cell r="E872">
            <v>2.3969348498510485</v>
          </cell>
        </row>
        <row r="873">
          <cell r="D873">
            <v>1.469206375782278</v>
          </cell>
          <cell r="E873">
            <v>2.3971539219051738</v>
          </cell>
        </row>
        <row r="874">
          <cell r="D874">
            <v>1.469206375782278</v>
          </cell>
          <cell r="E874">
            <v>2.3971539219051738</v>
          </cell>
        </row>
        <row r="875">
          <cell r="D875">
            <v>1.4694617967929844</v>
          </cell>
          <cell r="E875">
            <v>2.3977749213691877</v>
          </cell>
        </row>
        <row r="876">
          <cell r="D876">
            <v>1.4694746704597037</v>
          </cell>
          <cell r="E876">
            <v>2.3978060713401086</v>
          </cell>
        </row>
        <row r="877">
          <cell r="D877">
            <v>1.4697554656540888</v>
          </cell>
          <cell r="E877">
            <v>2.3984819308421659</v>
          </cell>
        </row>
        <row r="878">
          <cell r="D878">
            <v>1.4699215172972799</v>
          </cell>
          <cell r="E878">
            <v>2.3988783937779123</v>
          </cell>
        </row>
        <row r="879">
          <cell r="D879">
            <v>1.4702789947673409</v>
          </cell>
          <cell r="E879">
            <v>2.399723787680625</v>
          </cell>
        </row>
        <row r="880">
          <cell r="D880">
            <v>1.4705724770535653</v>
          </cell>
          <cell r="E880">
            <v>2.400409549431179</v>
          </cell>
        </row>
        <row r="881">
          <cell r="D881">
            <v>1.4707510292137158</v>
          </cell>
          <cell r="E881">
            <v>2.4008231005064209</v>
          </cell>
        </row>
        <row r="882">
          <cell r="D882">
            <v>1.4709424550405856</v>
          </cell>
          <cell r="E882">
            <v>2.4012633906971117</v>
          </cell>
        </row>
        <row r="883">
          <cell r="D883">
            <v>1.4709933899828229</v>
          </cell>
          <cell r="E883">
            <v>2.4013800072057863</v>
          </cell>
        </row>
        <row r="884">
          <cell r="D884">
            <v>1.4710316378332209</v>
          </cell>
          <cell r="E884">
            <v>2.4014674280303523</v>
          </cell>
        </row>
        <row r="885">
          <cell r="D885">
            <v>1.4710316378332209</v>
          </cell>
          <cell r="E885">
            <v>2.4014674280303523</v>
          </cell>
        </row>
        <row r="886">
          <cell r="D886">
            <v>1.4711081335340168</v>
          </cell>
          <cell r="E886">
            <v>2.4016418878844106</v>
          </cell>
        </row>
        <row r="887">
          <cell r="D887">
            <v>1.4712228770852107</v>
          </cell>
          <cell r="E887">
            <v>2.4019026229664844</v>
          </cell>
        </row>
        <row r="888">
          <cell r="D888">
            <v>1.4714906120379965</v>
          </cell>
          <cell r="E888">
            <v>2.4025065475993772</v>
          </cell>
        </row>
        <row r="889">
          <cell r="D889">
            <v>1.4715542340720731</v>
          </cell>
          <cell r="E889">
            <v>2.402649140612982</v>
          </cell>
        </row>
        <row r="890">
          <cell r="D890">
            <v>1.4717837211744609</v>
          </cell>
          <cell r="E890">
            <v>2.4031605484526555</v>
          </cell>
        </row>
        <row r="891">
          <cell r="D891">
            <v>1.4720510829774867</v>
          </cell>
          <cell r="E891">
            <v>2.4037505688100316</v>
          </cell>
        </row>
        <row r="892">
          <cell r="D892">
            <v>1.4721785136205199</v>
          </cell>
          <cell r="E892">
            <v>2.404029591485521</v>
          </cell>
        </row>
        <row r="893">
          <cell r="D893">
            <v>1.472420501239867</v>
          </cell>
          <cell r="E893">
            <v>2.4045555472272517</v>
          </cell>
        </row>
        <row r="894">
          <cell r="D894">
            <v>1.4727005501347321</v>
          </cell>
          <cell r="E894">
            <v>2.4051578443739068</v>
          </cell>
        </row>
        <row r="895">
          <cell r="D895">
            <v>1.4727134238014514</v>
          </cell>
          <cell r="E895">
            <v>2.4051853668324421</v>
          </cell>
        </row>
        <row r="896">
          <cell r="D896">
            <v>1.4727897329273674</v>
          </cell>
          <cell r="E896">
            <v>2.4053482097770607</v>
          </cell>
        </row>
        <row r="897">
          <cell r="D897">
            <v>1.472853354961444</v>
          </cell>
          <cell r="E897">
            <v>2.4054835894522011</v>
          </cell>
        </row>
        <row r="898">
          <cell r="D898">
            <v>1.4728787291451226</v>
          </cell>
          <cell r="E898">
            <v>2.4055374837983603</v>
          </cell>
        </row>
        <row r="899">
          <cell r="D899">
            <v>1.4729296640873599</v>
          </cell>
          <cell r="E899">
            <v>2.4056454988342093</v>
          </cell>
        </row>
        <row r="900">
          <cell r="D900">
            <v>1.4729552248459186</v>
          </cell>
          <cell r="E900">
            <v>2.4056996186851189</v>
          </cell>
        </row>
        <row r="901">
          <cell r="D901">
            <v>1.4735149494858888</v>
          </cell>
          <cell r="E901">
            <v>2.40687039226682</v>
          </cell>
        </row>
        <row r="902">
          <cell r="D902">
            <v>1.4735403236695674</v>
          </cell>
          <cell r="E902">
            <v>2.4069228174468558</v>
          </cell>
        </row>
        <row r="903">
          <cell r="D903">
            <v>1.4735912586118047</v>
          </cell>
          <cell r="E903">
            <v>2.4070278830500276</v>
          </cell>
        </row>
        <row r="904">
          <cell r="D904">
            <v>1.4739601171495451</v>
          </cell>
          <cell r="E904">
            <v>2.4077819581775159</v>
          </cell>
        </row>
        <row r="905">
          <cell r="D905">
            <v>1.474150796676895</v>
          </cell>
          <cell r="E905">
            <v>2.4081670962180359</v>
          </cell>
        </row>
        <row r="906">
          <cell r="D906">
            <v>1.4743668503879235</v>
          </cell>
          <cell r="E906">
            <v>2.4085996306089275</v>
          </cell>
        </row>
        <row r="907">
          <cell r="D907">
            <v>1.4744049116634415</v>
          </cell>
          <cell r="E907">
            <v>2.4086754039358693</v>
          </cell>
        </row>
        <row r="908">
          <cell r="D908">
            <v>1.4747224621091846</v>
          </cell>
          <cell r="E908">
            <v>2.4093026332721443</v>
          </cell>
        </row>
        <row r="909">
          <cell r="D909">
            <v>1.4748623932691771</v>
          </cell>
          <cell r="E909">
            <v>2.409576215168622</v>
          </cell>
        </row>
        <row r="910">
          <cell r="D910">
            <v>1.4749258287283737</v>
          </cell>
          <cell r="E910">
            <v>2.4096996720855763</v>
          </cell>
        </row>
        <row r="911">
          <cell r="D911">
            <v>1.4749385158202131</v>
          </cell>
          <cell r="E911">
            <v>2.4097243210237638</v>
          </cell>
        </row>
        <row r="912">
          <cell r="D912">
            <v>1.4749892641875704</v>
          </cell>
          <cell r="E912">
            <v>2.409822775277854</v>
          </cell>
        </row>
        <row r="913">
          <cell r="D913">
            <v>1.4750653867386063</v>
          </cell>
          <cell r="E913">
            <v>2.4099700321147868</v>
          </cell>
        </row>
        <row r="914">
          <cell r="D914">
            <v>1.4750782604053256</v>
          </cell>
          <cell r="E914">
            <v>2.4099948854747164</v>
          </cell>
        </row>
        <row r="915">
          <cell r="D915">
            <v>1.4751543829563616</v>
          </cell>
          <cell r="E915">
            <v>2.410141546593612</v>
          </cell>
        </row>
        <row r="916">
          <cell r="D916">
            <v>1.4757766101811285</v>
          </cell>
          <cell r="E916">
            <v>2.4113212402252313</v>
          </cell>
        </row>
        <row r="917">
          <cell r="D917">
            <v>1.4758146714566465</v>
          </cell>
          <cell r="E917">
            <v>2.4113922950908417</v>
          </cell>
        </row>
        <row r="918">
          <cell r="D918">
            <v>1.4766518329431619</v>
          </cell>
          <cell r="E918">
            <v>2.4129228619742888</v>
          </cell>
        </row>
        <row r="919">
          <cell r="D919">
            <v>1.4772477531098502</v>
          </cell>
          <cell r="E919">
            <v>2.4139746918777027</v>
          </cell>
        </row>
        <row r="920">
          <cell r="D920">
            <v>1.4773111885690469</v>
          </cell>
          <cell r="E920">
            <v>2.4140848112295337</v>
          </cell>
        </row>
        <row r="921">
          <cell r="D921">
            <v>1.4783375369838723</v>
          </cell>
          <cell r="E921">
            <v>2.4158170124087581</v>
          </cell>
        </row>
        <row r="922">
          <cell r="D922">
            <v>1.4785526578205008</v>
          </cell>
          <cell r="E922">
            <v>2.4161682570126626</v>
          </cell>
        </row>
        <row r="923">
          <cell r="D923">
            <v>1.4785780320041795</v>
          </cell>
          <cell r="E923">
            <v>2.4162094170663662</v>
          </cell>
        </row>
        <row r="924">
          <cell r="D924">
            <v>1.4787425910483307</v>
          </cell>
          <cell r="E924">
            <v>2.4164749670084587</v>
          </cell>
        </row>
        <row r="925">
          <cell r="D925">
            <v>1.4788819624836833</v>
          </cell>
          <cell r="E925">
            <v>2.4166979939370181</v>
          </cell>
        </row>
        <row r="926">
          <cell r="D926">
            <v>1.4791476451127892</v>
          </cell>
          <cell r="E926">
            <v>2.4171183763613109</v>
          </cell>
        </row>
        <row r="927">
          <cell r="D927">
            <v>1.4792741428814224</v>
          </cell>
          <cell r="E927">
            <v>2.4173163297364559</v>
          </cell>
        </row>
        <row r="928">
          <cell r="D928">
            <v>1.4793248912487797</v>
          </cell>
          <cell r="E928">
            <v>2.4173953455427712</v>
          </cell>
        </row>
        <row r="929">
          <cell r="D929">
            <v>1.4794640761092523</v>
          </cell>
          <cell r="E929">
            <v>2.4176108847805393</v>
          </cell>
        </row>
        <row r="930">
          <cell r="D930">
            <v>1.4797803205308355</v>
          </cell>
          <cell r="E930">
            <v>2.4180942213086305</v>
          </cell>
        </row>
        <row r="931">
          <cell r="D931">
            <v>1.4799068182994688</v>
          </cell>
          <cell r="E931">
            <v>2.4182850686287147</v>
          </cell>
        </row>
        <row r="932">
          <cell r="D932">
            <v>1.4799446930001068</v>
          </cell>
          <cell r="E932">
            <v>2.4183419336618766</v>
          </cell>
        </row>
        <row r="933">
          <cell r="D933">
            <v>1.4802103756292126</v>
          </cell>
          <cell r="E933">
            <v>2.4187372454541971</v>
          </cell>
        </row>
        <row r="934">
          <cell r="D934">
            <v>1.4803368733978459</v>
          </cell>
          <cell r="E934">
            <v>2.4189232576410338</v>
          </cell>
        </row>
        <row r="935">
          <cell r="D935">
            <v>1.4804126227991219</v>
          </cell>
          <cell r="E935">
            <v>2.4190339643193668</v>
          </cell>
        </row>
        <row r="936">
          <cell r="D936">
            <v>1.4811331749856436</v>
          </cell>
          <cell r="E936">
            <v>2.4200615161398531</v>
          </cell>
        </row>
        <row r="937">
          <cell r="D937">
            <v>1.4811712362611615</v>
          </cell>
          <cell r="E937">
            <v>2.420114508749859</v>
          </cell>
        </row>
        <row r="938">
          <cell r="D938">
            <v>1.4816637939443353</v>
          </cell>
          <cell r="E938">
            <v>2.4207886543845474</v>
          </cell>
        </row>
        <row r="939">
          <cell r="D939">
            <v>1.48176491752929</v>
          </cell>
          <cell r="E939">
            <v>2.4209243835790586</v>
          </cell>
        </row>
        <row r="940">
          <cell r="D940">
            <v>1.4823712858892577</v>
          </cell>
          <cell r="E940">
            <v>2.4217191304340724</v>
          </cell>
        </row>
        <row r="941">
          <cell r="D941">
            <v>1.4825479723006083</v>
          </cell>
          <cell r="E941">
            <v>2.4219445357608618</v>
          </cell>
        </row>
        <row r="942">
          <cell r="D942">
            <v>1.4826742834943616</v>
          </cell>
          <cell r="E942">
            <v>2.4221039675296865</v>
          </cell>
        </row>
        <row r="943">
          <cell r="D943">
            <v>1.4829645940076261</v>
          </cell>
          <cell r="E943">
            <v>2.4224650019919092</v>
          </cell>
        </row>
        <row r="944">
          <cell r="D944">
            <v>1.4834062167485627</v>
          </cell>
          <cell r="E944">
            <v>2.4229997738932343</v>
          </cell>
        </row>
        <row r="945">
          <cell r="D945">
            <v>1.4834819661498386</v>
          </cell>
          <cell r="E945">
            <v>2.4230897496456061</v>
          </cell>
        </row>
        <row r="946">
          <cell r="D946">
            <v>1.4836586525611892</v>
          </cell>
          <cell r="E946">
            <v>2.4232976256564047</v>
          </cell>
        </row>
        <row r="947">
          <cell r="D947">
            <v>1.4838478394894992</v>
          </cell>
          <cell r="E947">
            <v>2.4235171143722529</v>
          </cell>
        </row>
        <row r="948">
          <cell r="D948">
            <v>1.4839739641083725</v>
          </cell>
          <cell r="E948">
            <v>2.4236616618762126</v>
          </cell>
        </row>
        <row r="949">
          <cell r="D949">
            <v>1.4839739641083725</v>
          </cell>
          <cell r="E949">
            <v>2.4236616618762126</v>
          </cell>
        </row>
        <row r="950">
          <cell r="D950">
            <v>1.4845919001108996</v>
          </cell>
          <cell r="E950">
            <v>2.4243492902872976</v>
          </cell>
        </row>
        <row r="951">
          <cell r="D951">
            <v>1.4846803366040149</v>
          </cell>
          <cell r="E951">
            <v>2.4244449051804451</v>
          </cell>
        </row>
        <row r="952">
          <cell r="D952">
            <v>1.4848064612228882</v>
          </cell>
          <cell r="E952">
            <v>2.4245800558058335</v>
          </cell>
        </row>
        <row r="953">
          <cell r="D953">
            <v>1.4850333362769561</v>
          </cell>
          <cell r="E953">
            <v>2.4248195807962118</v>
          </cell>
        </row>
        <row r="954">
          <cell r="D954">
            <v>1.4850458367939154</v>
          </cell>
          <cell r="E954">
            <v>2.4248326442940629</v>
          </cell>
        </row>
        <row r="955">
          <cell r="D955">
            <v>1.4852475242391847</v>
          </cell>
          <cell r="E955">
            <v>2.4250414799774678</v>
          </cell>
        </row>
        <row r="956">
          <cell r="D956">
            <v>1.4857895242655559</v>
          </cell>
          <cell r="E956">
            <v>2.4255846281488473</v>
          </cell>
        </row>
        <row r="957">
          <cell r="D957">
            <v>1.4860540874453818</v>
          </cell>
          <cell r="E957">
            <v>2.4258401861440206</v>
          </cell>
        </row>
        <row r="958">
          <cell r="D958">
            <v>1.4863188372000877</v>
          </cell>
          <cell r="E958">
            <v>2.4260896397224321</v>
          </cell>
        </row>
        <row r="959">
          <cell r="D959">
            <v>1.4865832138050337</v>
          </cell>
          <cell r="E959">
            <v>2.426332466199649</v>
          </cell>
        </row>
        <row r="960">
          <cell r="D960">
            <v>1.4867345260327056</v>
          </cell>
          <cell r="E960">
            <v>2.4264686220960447</v>
          </cell>
        </row>
        <row r="961">
          <cell r="D961">
            <v>1.4868477769848596</v>
          </cell>
          <cell r="E961">
            <v>2.4265691844271706</v>
          </cell>
        </row>
        <row r="962">
          <cell r="D962">
            <v>1.4871752158992422</v>
          </cell>
          <cell r="E962">
            <v>2.4268534594121061</v>
          </cell>
        </row>
        <row r="963">
          <cell r="D963">
            <v>1.4872255911168395</v>
          </cell>
          <cell r="E963">
            <v>2.4268963394889771</v>
          </cell>
        </row>
        <row r="964">
          <cell r="D964">
            <v>1.487741843809772</v>
          </cell>
          <cell r="E964">
            <v>2.427322642803583</v>
          </cell>
        </row>
        <row r="965">
          <cell r="D965">
            <v>1.4881950341932679</v>
          </cell>
          <cell r="E965">
            <v>2.4276771325571733</v>
          </cell>
        </row>
        <row r="966">
          <cell r="D966">
            <v>1.4882202218020666</v>
          </cell>
          <cell r="E966">
            <v>2.4276962930132848</v>
          </cell>
        </row>
        <row r="967">
          <cell r="D967">
            <v>1.4882327223190259</v>
          </cell>
          <cell r="E967">
            <v>2.4277057810997968</v>
          </cell>
        </row>
        <row r="968">
          <cell r="D968">
            <v>1.4885347870497299</v>
          </cell>
          <cell r="E968">
            <v>2.4279307813637958</v>
          </cell>
        </row>
        <row r="969">
          <cell r="D969">
            <v>1.4888241646885945</v>
          </cell>
          <cell r="E969">
            <v>2.4281386359092356</v>
          </cell>
        </row>
        <row r="970">
          <cell r="D970">
            <v>1.4888368517804338</v>
          </cell>
          <cell r="E970">
            <v>2.4281475764660652</v>
          </cell>
        </row>
        <row r="971">
          <cell r="D971">
            <v>1.4891010418104997</v>
          </cell>
          <cell r="E971">
            <v>2.4283304603153462</v>
          </cell>
        </row>
        <row r="972">
          <cell r="D972">
            <v>1.4891262294192984</v>
          </cell>
          <cell r="E972">
            <v>2.4283475684107541</v>
          </cell>
        </row>
        <row r="973">
          <cell r="D973">
            <v>1.4897678604315843</v>
          </cell>
          <cell r="E973">
            <v>2.4287641305446916</v>
          </cell>
        </row>
        <row r="974">
          <cell r="D974">
            <v>1.4898182356491816</v>
          </cell>
          <cell r="E974">
            <v>2.4287952665451429</v>
          </cell>
        </row>
        <row r="975">
          <cell r="D975">
            <v>1.4903085544337955</v>
          </cell>
          <cell r="E975">
            <v>2.4290863892421029</v>
          </cell>
        </row>
        <row r="976">
          <cell r="D976">
            <v>1.4903966177771508</v>
          </cell>
          <cell r="E976">
            <v>2.4291363828960004</v>
          </cell>
        </row>
        <row r="977">
          <cell r="D977">
            <v>1.4904469929947481</v>
          </cell>
          <cell r="E977">
            <v>2.4291646669277234</v>
          </cell>
        </row>
        <row r="978">
          <cell r="D978">
            <v>1.4904846811205061</v>
          </cell>
          <cell r="E978">
            <v>2.4291856781158296</v>
          </cell>
        </row>
        <row r="979">
          <cell r="D979">
            <v>1.4909499988712014</v>
          </cell>
          <cell r="E979">
            <v>2.4294345521340635</v>
          </cell>
        </row>
        <row r="980">
          <cell r="D980">
            <v>1.4910380622145567</v>
          </cell>
          <cell r="E980">
            <v>2.4294794575154626</v>
          </cell>
        </row>
        <row r="981">
          <cell r="D981">
            <v>1.491088250857274</v>
          </cell>
          <cell r="E981">
            <v>2.4295047371962677</v>
          </cell>
        </row>
        <row r="982">
          <cell r="D982">
            <v>1.4912140023263873</v>
          </cell>
          <cell r="E982">
            <v>2.4295670806101666</v>
          </cell>
        </row>
        <row r="983">
          <cell r="D983">
            <v>1.4912895651527833</v>
          </cell>
          <cell r="E983">
            <v>2.4296038568035594</v>
          </cell>
        </row>
        <row r="984">
          <cell r="D984">
            <v>1.4914026295300573</v>
          </cell>
          <cell r="E984">
            <v>2.4296579239608311</v>
          </cell>
        </row>
        <row r="985">
          <cell r="D985">
            <v>1.4914906928734126</v>
          </cell>
          <cell r="E985">
            <v>2.4296992375875432</v>
          </cell>
        </row>
        <row r="986">
          <cell r="D986">
            <v>1.4916037572506866</v>
          </cell>
          <cell r="E986">
            <v>2.4297512553586915</v>
          </cell>
        </row>
        <row r="987">
          <cell r="D987">
            <v>1.4916791335022026</v>
          </cell>
          <cell r="E987">
            <v>2.4297852937827082</v>
          </cell>
        </row>
        <row r="988">
          <cell r="D988">
            <v>1.4917671968455579</v>
          </cell>
          <cell r="E988">
            <v>2.4298244128017847</v>
          </cell>
        </row>
        <row r="989">
          <cell r="D989">
            <v>1.4918048849713159</v>
          </cell>
          <cell r="E989">
            <v>2.4298409408224</v>
          </cell>
        </row>
        <row r="990">
          <cell r="D990">
            <v>1.4925715211531951</v>
          </cell>
          <cell r="E990">
            <v>2.4301493524720561</v>
          </cell>
        </row>
        <row r="991">
          <cell r="D991">
            <v>1.4929735900195737</v>
          </cell>
          <cell r="E991">
            <v>2.4302899165929324</v>
          </cell>
        </row>
        <row r="992">
          <cell r="D992">
            <v>1.4931622172232437</v>
          </cell>
          <cell r="E992">
            <v>2.4303508367161024</v>
          </cell>
        </row>
        <row r="993">
          <cell r="D993">
            <v>1.4934512217123483</v>
          </cell>
          <cell r="E993">
            <v>2.430437949969126</v>
          </cell>
        </row>
        <row r="994">
          <cell r="D994">
            <v>1.4939034792214443</v>
          </cell>
          <cell r="E994">
            <v>2.4305591512152867</v>
          </cell>
        </row>
        <row r="995">
          <cell r="D995">
            <v>1.4941421084929516</v>
          </cell>
          <cell r="E995">
            <v>2.4306156650237569</v>
          </cell>
        </row>
        <row r="996">
          <cell r="D996">
            <v>1.4945818654850882</v>
          </cell>
          <cell r="E996">
            <v>2.4307063527861783</v>
          </cell>
        </row>
        <row r="997">
          <cell r="D997">
            <v>1.4949083715250708</v>
          </cell>
          <cell r="E997">
            <v>2.4307623977890374</v>
          </cell>
        </row>
        <row r="998">
          <cell r="D998">
            <v>1.4950968121538608</v>
          </cell>
          <cell r="E998">
            <v>2.4307903654169083</v>
          </cell>
        </row>
        <row r="999">
          <cell r="D999">
            <v>1.4952223770480941</v>
          </cell>
          <cell r="E999">
            <v>2.4308072221888373</v>
          </cell>
        </row>
        <row r="1000">
          <cell r="D1000">
            <v>1.4956117588226334</v>
          </cell>
          <cell r="E1000">
            <v>2.430850447875494</v>
          </cell>
        </row>
        <row r="1001">
          <cell r="D1001">
            <v>1.4958378875771814</v>
          </cell>
          <cell r="E1001">
            <v>2.4308692699030221</v>
          </cell>
        </row>
        <row r="1002">
          <cell r="D1002">
            <v>1.4959382648626161</v>
          </cell>
          <cell r="E1002">
            <v>2.4308761459247981</v>
          </cell>
        </row>
        <row r="1003">
          <cell r="D1003">
            <v>1.4960009540222927</v>
          </cell>
          <cell r="E1003">
            <v>2.4308799789310105</v>
          </cell>
        </row>
        <row r="1004">
          <cell r="D1004">
            <v>1.4963024590283567</v>
          </cell>
          <cell r="E1004">
            <v>2.4308934585637818</v>
          </cell>
        </row>
        <row r="1005">
          <cell r="D1005">
            <v>1.496729342353774</v>
          </cell>
          <cell r="E1005">
            <v>2.4308985115768635</v>
          </cell>
        </row>
        <row r="1006">
          <cell r="D1006">
            <v>1.4973823544337392</v>
          </cell>
          <cell r="E1006">
            <v>2.430874417502896</v>
          </cell>
        </row>
        <row r="1007">
          <cell r="D1007">
            <v>1.4974827317191739</v>
          </cell>
          <cell r="E1007">
            <v>2.430867301204878</v>
          </cell>
        </row>
        <row r="1008">
          <cell r="D1008">
            <v>1.4975454208788506</v>
          </cell>
          <cell r="E1008">
            <v>2.4308623955172668</v>
          </cell>
        </row>
        <row r="1009">
          <cell r="D1009">
            <v>1.4976334842222059</v>
          </cell>
          <cell r="E1009">
            <v>2.4308549051066248</v>
          </cell>
        </row>
        <row r="1010">
          <cell r="D1010">
            <v>1.4977213609906812</v>
          </cell>
          <cell r="E1010">
            <v>2.4308467328700365</v>
          </cell>
        </row>
        <row r="1011">
          <cell r="D1011">
            <v>1.4978719269188332</v>
          </cell>
          <cell r="E1011">
            <v>2.4308311106936396</v>
          </cell>
        </row>
        <row r="1012">
          <cell r="D1012">
            <v>1.4981984329588158</v>
          </cell>
          <cell r="E1012">
            <v>2.4307902047366388</v>
          </cell>
        </row>
        <row r="1013">
          <cell r="D1013">
            <v>1.4985249389987985</v>
          </cell>
          <cell r="E1013">
            <v>2.4307396781319919</v>
          </cell>
        </row>
        <row r="1014">
          <cell r="D1014">
            <v>1.4995919607374617</v>
          </cell>
          <cell r="E1014">
            <v>2.4305074717781965</v>
          </cell>
        </row>
        <row r="1015">
          <cell r="D1015">
            <v>1.4996171483462604</v>
          </cell>
          <cell r="E1015">
            <v>2.4305007494058386</v>
          </cell>
        </row>
        <row r="1016">
          <cell r="D1016">
            <v>1.5000690327055963</v>
          </cell>
          <cell r="E1016">
            <v>2.4303704214655104</v>
          </cell>
        </row>
        <row r="1017">
          <cell r="D1017">
            <v>1.5008224220709963</v>
          </cell>
          <cell r="E1017">
            <v>2.4301121864723512</v>
          </cell>
        </row>
        <row r="1018">
          <cell r="D1018">
            <v>1.5012116172706556</v>
          </cell>
          <cell r="E1018">
            <v>2.4299587345669509</v>
          </cell>
        </row>
        <row r="1019">
          <cell r="D1019">
            <v>1.5017765660072655</v>
          </cell>
          <cell r="E1019">
            <v>2.42971168939218</v>
          </cell>
        </row>
        <row r="1020">
          <cell r="D1020">
            <v>1.5018267546499828</v>
          </cell>
          <cell r="E1020">
            <v>2.4296883511736223</v>
          </cell>
        </row>
        <row r="1021">
          <cell r="D1021">
            <v>1.5019523195442162</v>
          </cell>
          <cell r="E1021">
            <v>2.4296289678334051</v>
          </cell>
        </row>
        <row r="1022">
          <cell r="D1022">
            <v>1.5020651973466101</v>
          </cell>
          <cell r="E1022">
            <v>2.4295743718657796</v>
          </cell>
        </row>
        <row r="1023">
          <cell r="D1023">
            <v>1.5021657612069248</v>
          </cell>
          <cell r="E1023">
            <v>2.4295247647419664</v>
          </cell>
        </row>
        <row r="1024">
          <cell r="D1024">
            <v>1.5021782617238841</v>
          </cell>
          <cell r="E1024">
            <v>2.429518534688885</v>
          </cell>
        </row>
        <row r="1025">
          <cell r="D1025">
            <v>1.5027180228516954</v>
          </cell>
          <cell r="E1025">
            <v>2.4292360986630164</v>
          </cell>
        </row>
        <row r="1026">
          <cell r="D1026">
            <v>1.5027180228516954</v>
          </cell>
          <cell r="E1026">
            <v>2.4292360986630164</v>
          </cell>
        </row>
        <row r="1027">
          <cell r="D1027">
            <v>1.5028310872289694</v>
          </cell>
          <cell r="E1027">
            <v>2.4291736119977672</v>
          </cell>
        </row>
        <row r="1028">
          <cell r="D1028">
            <v>1.5031450927519927</v>
          </cell>
          <cell r="E1028">
            <v>2.428994033633042</v>
          </cell>
        </row>
        <row r="1029">
          <cell r="D1029">
            <v>1.5033710349316607</v>
          </cell>
          <cell r="E1029">
            <v>2.428859325594166</v>
          </cell>
        </row>
        <row r="1030">
          <cell r="D1030">
            <v>1.5034714122170953</v>
          </cell>
          <cell r="E1030">
            <v>2.4287980055622196</v>
          </cell>
        </row>
        <row r="1031">
          <cell r="D1031">
            <v>1.5034840993089347</v>
          </cell>
          <cell r="E1031">
            <v>2.4287901905063771</v>
          </cell>
        </row>
        <row r="1032">
          <cell r="D1032">
            <v>1.5036725399377247</v>
          </cell>
          <cell r="E1032">
            <v>2.4286724080707596</v>
          </cell>
        </row>
        <row r="1033">
          <cell r="D1033">
            <v>1.5040994232631419</v>
          </cell>
          <cell r="E1033">
            <v>2.4283937693879656</v>
          </cell>
        </row>
        <row r="1034">
          <cell r="D1034">
            <v>1.5042249881573753</v>
          </cell>
          <cell r="E1034">
            <v>2.4283086886130318</v>
          </cell>
        </row>
        <row r="1035">
          <cell r="D1035">
            <v>1.5048529992034219</v>
          </cell>
          <cell r="E1035">
            <v>2.4278618724165062</v>
          </cell>
        </row>
        <row r="1036">
          <cell r="D1036">
            <v>1.5050789413830898</v>
          </cell>
          <cell r="E1036">
            <v>2.4276924437836347</v>
          </cell>
        </row>
        <row r="1037">
          <cell r="D1037">
            <v>1.5051418171176465</v>
          </cell>
          <cell r="E1037">
            <v>2.427644478458598</v>
          </cell>
        </row>
        <row r="1038">
          <cell r="D1038">
            <v>1.5052296938861218</v>
          </cell>
          <cell r="E1038">
            <v>2.4275768454268367</v>
          </cell>
        </row>
        <row r="1039">
          <cell r="D1039">
            <v>1.5053302577464365</v>
          </cell>
          <cell r="E1039">
            <v>2.42749859627519</v>
          </cell>
        </row>
        <row r="1040">
          <cell r="D1040">
            <v>1.5054308216067511</v>
          </cell>
          <cell r="E1040">
            <v>2.4274194381757122</v>
          </cell>
        </row>
        <row r="1041">
          <cell r="D1041">
            <v>1.5056065751437018</v>
          </cell>
          <cell r="E1041">
            <v>2.4272789129304266</v>
          </cell>
        </row>
        <row r="1042">
          <cell r="D1042">
            <v>1.5060840202615964</v>
          </cell>
          <cell r="E1042">
            <v>2.4268831578173971</v>
          </cell>
        </row>
        <row r="1043">
          <cell r="D1043">
            <v>1.5060965207785557</v>
          </cell>
          <cell r="E1043">
            <v>2.4268725210485709</v>
          </cell>
        </row>
        <row r="1044">
          <cell r="D1044">
            <v>1.5065110901618937</v>
          </cell>
          <cell r="E1044">
            <v>2.4265118121592542</v>
          </cell>
        </row>
        <row r="1045">
          <cell r="D1045">
            <v>1.506712217882523</v>
          </cell>
          <cell r="E1045">
            <v>2.4263312561594796</v>
          </cell>
        </row>
        <row r="1046">
          <cell r="D1046">
            <v>1.506712217882523</v>
          </cell>
          <cell r="E1046">
            <v>2.4263312561594796</v>
          </cell>
        </row>
        <row r="1047">
          <cell r="D1047">
            <v>1.506787594134039</v>
          </cell>
          <cell r="E1047">
            <v>2.4262626542273442</v>
          </cell>
        </row>
        <row r="1048">
          <cell r="D1048">
            <v>1.5072148506092162</v>
          </cell>
          <cell r="E1048">
            <v>2.4258641619732124</v>
          </cell>
        </row>
        <row r="1049">
          <cell r="D1049">
            <v>1.5082704912802001</v>
          </cell>
          <cell r="E1049">
            <v>2.4248094024343181</v>
          </cell>
        </row>
        <row r="1050">
          <cell r="D1050">
            <v>1.5084466179669107</v>
          </cell>
          <cell r="E1050">
            <v>2.4246237021695447</v>
          </cell>
        </row>
        <row r="1051">
          <cell r="D1051">
            <v>1.508610057561782</v>
          </cell>
          <cell r="E1051">
            <v>2.4244488934194117</v>
          </cell>
        </row>
        <row r="1052">
          <cell r="D1052">
            <v>1.5087734971566533</v>
          </cell>
          <cell r="E1052">
            <v>2.4242716928560486</v>
          </cell>
        </row>
        <row r="1053">
          <cell r="D1053">
            <v>1.508798498190572</v>
          </cell>
          <cell r="E1053">
            <v>2.4242443759482426</v>
          </cell>
        </row>
        <row r="1054">
          <cell r="D1054">
            <v>1.5090626882206379</v>
          </cell>
          <cell r="E1054">
            <v>2.4239522944828167</v>
          </cell>
        </row>
        <row r="1055">
          <cell r="D1055">
            <v>1.5093895674103806</v>
          </cell>
          <cell r="E1055">
            <v>2.4235822612955542</v>
          </cell>
        </row>
        <row r="1056">
          <cell r="D1056">
            <v>1.5095278193964532</v>
          </cell>
          <cell r="E1056">
            <v>2.4234228814551253</v>
          </cell>
        </row>
        <row r="1057">
          <cell r="D1057">
            <v>1.5096660713825258</v>
          </cell>
          <cell r="E1057">
            <v>2.4232617923792623</v>
          </cell>
        </row>
        <row r="1058">
          <cell r="D1058">
            <v>1.5099931371471484</v>
          </cell>
          <cell r="E1058">
            <v>2.4228738976228441</v>
          </cell>
        </row>
        <row r="1059">
          <cell r="D1059">
            <v>1.5100056376641078</v>
          </cell>
          <cell r="E1059">
            <v>2.4228588825163331</v>
          </cell>
        </row>
        <row r="1060">
          <cell r="D1060">
            <v>1.5103830786463277</v>
          </cell>
          <cell r="E1060">
            <v>2.4223989409740652</v>
          </cell>
        </row>
        <row r="1061">
          <cell r="D1061">
            <v>1.510546704816079</v>
          </cell>
          <cell r="E1061">
            <v>2.4221955956941916</v>
          </cell>
        </row>
        <row r="1062">
          <cell r="D1062">
            <v>1.5105592053330383</v>
          </cell>
          <cell r="E1062">
            <v>2.4221799624640683</v>
          </cell>
        </row>
        <row r="1063">
          <cell r="D1063">
            <v>1.5112512115629215</v>
          </cell>
          <cell r="E1063">
            <v>2.42129277789964</v>
          </cell>
        </row>
        <row r="1064">
          <cell r="D1064">
            <v>1.5113519619981162</v>
          </cell>
          <cell r="E1064">
            <v>2.4211600482021201</v>
          </cell>
        </row>
        <row r="1065">
          <cell r="D1065">
            <v>1.5113771496069148</v>
          </cell>
          <cell r="E1065">
            <v>2.4211267243390711</v>
          </cell>
        </row>
        <row r="1066">
          <cell r="D1066">
            <v>1.5114527124333108</v>
          </cell>
          <cell r="E1066">
            <v>2.4210264133346788</v>
          </cell>
        </row>
        <row r="1067">
          <cell r="D1067">
            <v>1.5114527124333108</v>
          </cell>
          <cell r="E1067">
            <v>2.4210264133346788</v>
          </cell>
        </row>
        <row r="1068">
          <cell r="D1068">
            <v>1.5117169024633768</v>
          </cell>
          <cell r="E1068">
            <v>2.4206716953463494</v>
          </cell>
        </row>
        <row r="1069">
          <cell r="D1069">
            <v>1.5119434043676847</v>
          </cell>
          <cell r="E1069">
            <v>2.4203626271998822</v>
          </cell>
        </row>
        <row r="1070">
          <cell r="D1070">
            <v>1.512107217112316</v>
          </cell>
          <cell r="E1070">
            <v>2.4201362520719814</v>
          </cell>
        </row>
        <row r="1071">
          <cell r="D1071">
            <v>1.5126359703222079</v>
          </cell>
          <cell r="E1071">
            <v>2.4193892573619511</v>
          </cell>
        </row>
        <row r="1072">
          <cell r="D1072">
            <v>1.5127870959749998</v>
          </cell>
          <cell r="E1072">
            <v>2.4191711829080584</v>
          </cell>
        </row>
        <row r="1073">
          <cell r="D1073">
            <v>1.5133158491848917</v>
          </cell>
          <cell r="E1073">
            <v>2.418392206498424</v>
          </cell>
        </row>
        <row r="1074">
          <cell r="D1074">
            <v>1.513328536276731</v>
          </cell>
          <cell r="E1074">
            <v>2.4183732101405306</v>
          </cell>
        </row>
        <row r="1075">
          <cell r="D1075">
            <v>1.5135679118477583</v>
          </cell>
          <cell r="E1075">
            <v>2.4180121130186363</v>
          </cell>
        </row>
        <row r="1076">
          <cell r="D1076">
            <v>1.5135804123647176</v>
          </cell>
          <cell r="E1076">
            <v>2.4179931161823367</v>
          </cell>
        </row>
        <row r="1077">
          <cell r="D1077">
            <v>1.5138072874187856</v>
          </cell>
          <cell r="E1077">
            <v>2.417645926222395</v>
          </cell>
        </row>
        <row r="1078">
          <cell r="D1078">
            <v>1.5141601005168468</v>
          </cell>
          <cell r="E1078">
            <v>2.4170969332532888</v>
          </cell>
        </row>
        <row r="1079">
          <cell r="D1079">
            <v>1.5150549136412792</v>
          </cell>
          <cell r="E1079">
            <v>2.4156550573031983</v>
          </cell>
        </row>
        <row r="1080">
          <cell r="D1080">
            <v>1.5151685377431932</v>
          </cell>
          <cell r="E1080">
            <v>2.4154668901480334</v>
          </cell>
        </row>
        <row r="1081">
          <cell r="D1081">
            <v>1.5154711621985371</v>
          </cell>
          <cell r="E1081">
            <v>2.4149601530941327</v>
          </cell>
        </row>
        <row r="1082">
          <cell r="D1082">
            <v>1.5159629735821909</v>
          </cell>
          <cell r="E1082">
            <v>2.4141193434237147</v>
          </cell>
        </row>
        <row r="1083">
          <cell r="D1083">
            <v>1.5160512235004262</v>
          </cell>
          <cell r="E1083">
            <v>2.4139662066898899</v>
          </cell>
        </row>
        <row r="1084">
          <cell r="D1084">
            <v>1.5162025357280982</v>
          </cell>
          <cell r="E1084">
            <v>2.4137020386546575</v>
          </cell>
        </row>
        <row r="1085">
          <cell r="D1085">
            <v>1.5163919092312881</v>
          </cell>
          <cell r="E1085">
            <v>2.413368571625663</v>
          </cell>
        </row>
        <row r="1086">
          <cell r="D1086">
            <v>1.5167831567546273</v>
          </cell>
          <cell r="E1086">
            <v>2.4126695965448754</v>
          </cell>
        </row>
        <row r="1087">
          <cell r="D1087">
            <v>1.5169850307747765</v>
          </cell>
          <cell r="E1087">
            <v>2.4123036597494267</v>
          </cell>
        </row>
        <row r="1088">
          <cell r="D1088">
            <v>1.5169850307747765</v>
          </cell>
          <cell r="E1088">
            <v>2.4123036597494267</v>
          </cell>
        </row>
        <row r="1089">
          <cell r="D1089">
            <v>1.5172499671043624</v>
          </cell>
          <cell r="E1089">
            <v>2.4118179567370448</v>
          </cell>
        </row>
        <row r="1090">
          <cell r="D1090">
            <v>1.5172753412880411</v>
          </cell>
          <cell r="E1090">
            <v>2.4117711140157652</v>
          </cell>
        </row>
        <row r="1091">
          <cell r="D1091">
            <v>1.5174899024000297</v>
          </cell>
          <cell r="E1091">
            <v>2.4113727492578163</v>
          </cell>
        </row>
        <row r="1092">
          <cell r="D1092">
            <v>1.5181845206782327</v>
          </cell>
          <cell r="E1092">
            <v>2.4100552820349059</v>
          </cell>
        </row>
        <row r="1093">
          <cell r="D1093">
            <v>1.5182097082870314</v>
          </cell>
          <cell r="E1093">
            <v>2.4100067116210662</v>
          </cell>
        </row>
        <row r="1094">
          <cell r="D1094">
            <v>1.5182854576883074</v>
          </cell>
          <cell r="E1094">
            <v>2.4098603044348619</v>
          </cell>
        </row>
        <row r="1095">
          <cell r="D1095">
            <v>1.5185507671676532</v>
          </cell>
          <cell r="E1095">
            <v>2.4093435415051792</v>
          </cell>
        </row>
        <row r="1096">
          <cell r="D1096">
            <v>1.5193470687554509</v>
          </cell>
          <cell r="E1096">
            <v>2.4077554042318252</v>
          </cell>
        </row>
        <row r="1097">
          <cell r="D1097">
            <v>1.5196885007858327</v>
          </cell>
          <cell r="E1097">
            <v>2.4070574170482768</v>
          </cell>
        </row>
        <row r="1098">
          <cell r="D1098">
            <v>1.5198780608639026</v>
          </cell>
          <cell r="E1098">
            <v>2.4066654909010574</v>
          </cell>
        </row>
        <row r="1099">
          <cell r="D1099">
            <v>1.5200553069998932</v>
          </cell>
          <cell r="E1099">
            <v>2.4062961779215875</v>
          </cell>
        </row>
        <row r="1100">
          <cell r="D1100">
            <v>1.5200804946086919</v>
          </cell>
          <cell r="E1100">
            <v>2.4062434734344222</v>
          </cell>
        </row>
        <row r="1101">
          <cell r="D1101">
            <v>1.5201691176766872</v>
          </cell>
          <cell r="E1101">
            <v>2.406057590370938</v>
          </cell>
        </row>
        <row r="1102">
          <cell r="D1102">
            <v>1.5202069923773252</v>
          </cell>
          <cell r="E1102">
            <v>2.4059779402025585</v>
          </cell>
        </row>
        <row r="1103">
          <cell r="D1103">
            <v>1.5203083025371598</v>
          </cell>
          <cell r="E1103">
            <v>2.4057642690007066</v>
          </cell>
        </row>
        <row r="1104">
          <cell r="D1104">
            <v>1.5209915397476834</v>
          </cell>
          <cell r="E1104">
            <v>2.4042998369711079</v>
          </cell>
        </row>
        <row r="1105">
          <cell r="D1105">
            <v>1.5210169139313621</v>
          </cell>
          <cell r="E1105">
            <v>2.4042446652755176</v>
          </cell>
        </row>
        <row r="1106">
          <cell r="D1106">
            <v>1.5211941600673526</v>
          </cell>
          <cell r="E1106">
            <v>2.4038577073623046</v>
          </cell>
        </row>
        <row r="1107">
          <cell r="D1107">
            <v>1.522955053784699</v>
          </cell>
          <cell r="E1107">
            <v>2.3998647079636388</v>
          </cell>
        </row>
        <row r="1108">
          <cell r="D1108">
            <v>1.5231324864955695</v>
          </cell>
          <cell r="E1108">
            <v>2.3994474099565757</v>
          </cell>
        </row>
        <row r="1109">
          <cell r="D1109">
            <v>1.5231705477710875</v>
          </cell>
          <cell r="E1109">
            <v>2.3993575390392481</v>
          </cell>
        </row>
        <row r="1110">
          <cell r="D1110">
            <v>1.5234367901248334</v>
          </cell>
          <cell r="E1110">
            <v>2.3987253694292772</v>
          </cell>
        </row>
        <row r="1111">
          <cell r="D1111">
            <v>1.5235255997677086</v>
          </cell>
          <cell r="E1111">
            <v>2.3985131315702919</v>
          </cell>
        </row>
        <row r="1112">
          <cell r="D1112">
            <v>1.5236017223187446</v>
          </cell>
          <cell r="E1112">
            <v>2.3983306693521826</v>
          </cell>
        </row>
        <row r="1113">
          <cell r="D1113">
            <v>1.5236270965024232</v>
          </cell>
          <cell r="E1113">
            <v>2.3982697370337447</v>
          </cell>
        </row>
        <row r="1114">
          <cell r="D1114">
            <v>1.5237920286963345</v>
          </cell>
          <cell r="E1114">
            <v>2.3978723174637429</v>
          </cell>
        </row>
        <row r="1115">
          <cell r="D1115">
            <v>1.5240203963494423</v>
          </cell>
          <cell r="E1115">
            <v>2.3973181556208627</v>
          </cell>
        </row>
        <row r="1116">
          <cell r="D1116">
            <v>1.524045770533121</v>
          </cell>
          <cell r="E1116">
            <v>2.3972563034508139</v>
          </cell>
        </row>
        <row r="1117">
          <cell r="D1117">
            <v>1.5241726414515142</v>
          </cell>
          <cell r="E1117">
            <v>2.3969462070340271</v>
          </cell>
        </row>
        <row r="1118">
          <cell r="D1118">
            <v>1.5244646311386987</v>
          </cell>
          <cell r="E1118">
            <v>2.3962272410050196</v>
          </cell>
        </row>
        <row r="1119">
          <cell r="D1119">
            <v>1.524477318230538</v>
          </cell>
          <cell r="E1119">
            <v>2.3961958345236236</v>
          </cell>
        </row>
        <row r="1120">
          <cell r="D1120">
            <v>1.524515566080936</v>
          </cell>
          <cell r="E1120">
            <v>2.3961010690518343</v>
          </cell>
        </row>
        <row r="1121">
          <cell r="D1121">
            <v>1.5245916886319719</v>
          </cell>
          <cell r="E1121">
            <v>2.3959120865603305</v>
          </cell>
        </row>
        <row r="1122">
          <cell r="D1122">
            <v>1.5247312466422045</v>
          </cell>
          <cell r="E1122">
            <v>2.395564318750345</v>
          </cell>
        </row>
        <row r="1123">
          <cell r="D1123">
            <v>1.5247439337340438</v>
          </cell>
          <cell r="E1123">
            <v>2.3955326200984746</v>
          </cell>
        </row>
        <row r="1124">
          <cell r="D1124">
            <v>1.5248709912273171</v>
          </cell>
          <cell r="E1124">
            <v>2.3952144010359966</v>
          </cell>
        </row>
        <row r="1125">
          <cell r="D1125">
            <v>1.5248836783191564</v>
          </cell>
          <cell r="E1125">
            <v>2.3951825493442191</v>
          </cell>
        </row>
        <row r="1126">
          <cell r="D1126">
            <v>1.5249726745369117</v>
          </cell>
          <cell r="E1126">
            <v>2.394958728651821</v>
          </cell>
        </row>
        <row r="1127">
          <cell r="D1127">
            <v>1.5253282862581727</v>
          </cell>
          <cell r="E1127">
            <v>2.3940575660363188</v>
          </cell>
        </row>
        <row r="1128">
          <cell r="D1128">
            <v>1.5260018215749369</v>
          </cell>
          <cell r="E1128">
            <v>2.3923208909150961</v>
          </cell>
        </row>
        <row r="1129">
          <cell r="D1129">
            <v>1.5261925011022868</v>
          </cell>
          <cell r="E1129">
            <v>2.3918221456099742</v>
          </cell>
        </row>
        <row r="1130">
          <cell r="D1130">
            <v>1.5262561231363634</v>
          </cell>
          <cell r="E1130">
            <v>2.3916550392861153</v>
          </cell>
        </row>
        <row r="1131">
          <cell r="D1131">
            <v>1.526713977891859</v>
          </cell>
          <cell r="E1131">
            <v>2.3904422104916483</v>
          </cell>
        </row>
        <row r="1132">
          <cell r="D1132">
            <v>1.5268285348681729</v>
          </cell>
          <cell r="E1132">
            <v>2.3901359427639437</v>
          </cell>
        </row>
        <row r="1133">
          <cell r="D1133">
            <v>1.5268539090518516</v>
          </cell>
          <cell r="E1133">
            <v>2.3900679527260951</v>
          </cell>
        </row>
        <row r="1134">
          <cell r="D1134">
            <v>1.5272485149230306</v>
          </cell>
          <cell r="E1134">
            <v>2.389003506429062</v>
          </cell>
        </row>
        <row r="1135">
          <cell r="D1135">
            <v>1.5272485149230306</v>
          </cell>
          <cell r="E1135">
            <v>2.389003506429062</v>
          </cell>
        </row>
        <row r="1136">
          <cell r="D1136">
            <v>1.5272612020148699</v>
          </cell>
          <cell r="E1136">
            <v>2.3889690617907702</v>
          </cell>
        </row>
        <row r="1137">
          <cell r="D1137">
            <v>1.5272865761985486</v>
          </cell>
          <cell r="E1137">
            <v>2.3889001311731617</v>
          </cell>
        </row>
        <row r="1138">
          <cell r="D1138">
            <v>1.5274393810252604</v>
          </cell>
          <cell r="E1138">
            <v>2.3884838617329551</v>
          </cell>
        </row>
        <row r="1139">
          <cell r="D1139">
            <v>1.5274903159674977</v>
          </cell>
          <cell r="E1139">
            <v>2.3883446612512609</v>
          </cell>
        </row>
        <row r="1140">
          <cell r="D1140">
            <v>1.5275156901511764</v>
          </cell>
          <cell r="E1140">
            <v>2.3882752331344901</v>
          </cell>
        </row>
        <row r="1141">
          <cell r="D1141">
            <v>1.527579498760133</v>
          </cell>
          <cell r="E1141">
            <v>2.3881003984717974</v>
          </cell>
        </row>
        <row r="1142">
          <cell r="D1142">
            <v>1.5276304337023703</v>
          </cell>
          <cell r="E1142">
            <v>2.3879605875626164</v>
          </cell>
        </row>
        <row r="1143">
          <cell r="D1143">
            <v>1.527936043355794</v>
          </cell>
          <cell r="E1143">
            <v>2.3871170651855889</v>
          </cell>
        </row>
        <row r="1144">
          <cell r="D1144">
            <v>1.5280888481825059</v>
          </cell>
          <cell r="E1144">
            <v>2.3866923120691963</v>
          </cell>
        </row>
        <row r="1145">
          <cell r="D1145">
            <v>1.5281144089410645</v>
          </cell>
          <cell r="E1145">
            <v>2.3866210659499032</v>
          </cell>
        </row>
        <row r="1146">
          <cell r="D1146">
            <v>1.5282800874344957</v>
          </cell>
          <cell r="E1146">
            <v>2.3861579143084226</v>
          </cell>
        </row>
        <row r="1147">
          <cell r="D1147">
            <v>1.5286496922717561</v>
          </cell>
          <cell r="E1147">
            <v>2.3851162534125132</v>
          </cell>
        </row>
        <row r="1148">
          <cell r="D1148">
            <v>1.5292234100277255</v>
          </cell>
          <cell r="E1148">
            <v>2.3834762925575426</v>
          </cell>
        </row>
        <row r="1149">
          <cell r="D1149">
            <v>1.5292362836944449</v>
          </cell>
          <cell r="E1149">
            <v>2.3834391722360104</v>
          </cell>
        </row>
        <row r="1150">
          <cell r="D1150">
            <v>1.5292872186366822</v>
          </cell>
          <cell r="E1150">
            <v>2.3832921667463287</v>
          </cell>
        </row>
        <row r="1151">
          <cell r="D1151">
            <v>1.5293892750960367</v>
          </cell>
          <cell r="E1151">
            <v>2.3829969538286488</v>
          </cell>
        </row>
        <row r="1152">
          <cell r="D1152">
            <v>1.5295042052221106</v>
          </cell>
          <cell r="E1152">
            <v>2.3826634426685205</v>
          </cell>
        </row>
        <row r="1153">
          <cell r="D1153">
            <v>1.5298613095424116</v>
          </cell>
          <cell r="E1153">
            <v>2.3816200207451628</v>
          </cell>
        </row>
        <row r="1154">
          <cell r="D1154">
            <v>1.5300656090360008</v>
          </cell>
          <cell r="E1154">
            <v>2.3810182144492207</v>
          </cell>
        </row>
        <row r="1155">
          <cell r="D1155">
            <v>1.530116730553118</v>
          </cell>
          <cell r="E1155">
            <v>2.3808670721275162</v>
          </cell>
        </row>
        <row r="1156">
          <cell r="D1156">
            <v>1.5301678520702353</v>
          </cell>
          <cell r="E1156">
            <v>2.3807157083911554</v>
          </cell>
        </row>
        <row r="1157">
          <cell r="D1157">
            <v>1.5302316606791919</v>
          </cell>
          <cell r="E1157">
            <v>2.380526469340257</v>
          </cell>
        </row>
        <row r="1158">
          <cell r="D1158">
            <v>1.5302316606791919</v>
          </cell>
          <cell r="E1158">
            <v>2.380526469340257</v>
          </cell>
        </row>
        <row r="1159">
          <cell r="D1159">
            <v>1.5304997687817377</v>
          </cell>
          <cell r="E1159">
            <v>2.3797275662723578</v>
          </cell>
        </row>
        <row r="1160">
          <cell r="D1160">
            <v>1.5311003533204257</v>
          </cell>
          <cell r="E1160">
            <v>2.3779158980190034</v>
          </cell>
        </row>
        <row r="1161">
          <cell r="D1161">
            <v>1.5312410307799382</v>
          </cell>
          <cell r="E1161">
            <v>2.377487140146656</v>
          </cell>
        </row>
        <row r="1162">
          <cell r="D1162">
            <v>1.5312792786303362</v>
          </cell>
          <cell r="E1162">
            <v>2.3773702793770579</v>
          </cell>
        </row>
        <row r="1163">
          <cell r="D1163">
            <v>1.5319188573189422</v>
          </cell>
          <cell r="E1163">
            <v>2.3753978725423237</v>
          </cell>
        </row>
        <row r="1164">
          <cell r="D1164">
            <v>1.5320084132613374</v>
          </cell>
          <cell r="E1164">
            <v>2.3751189410001019</v>
          </cell>
        </row>
        <row r="1165">
          <cell r="D1165">
            <v>1.5321490907208499</v>
          </cell>
          <cell r="E1165">
            <v>2.3746794243228506</v>
          </cell>
        </row>
        <row r="1166">
          <cell r="D1166">
            <v>1.5323155155138011</v>
          </cell>
          <cell r="E1166">
            <v>2.3741573179704045</v>
          </cell>
        </row>
        <row r="1167">
          <cell r="D1167">
            <v>1.5325714962491475</v>
          </cell>
          <cell r="E1167">
            <v>2.3733497174682268</v>
          </cell>
        </row>
        <row r="1168">
          <cell r="D1168">
            <v>1.532635678007864</v>
          </cell>
          <cell r="E1168">
            <v>2.3731463664954329</v>
          </cell>
        </row>
        <row r="1169">
          <cell r="D1169">
            <v>1.5328276635593738</v>
          </cell>
          <cell r="E1169">
            <v>2.3725360248376299</v>
          </cell>
        </row>
        <row r="1170">
          <cell r="D1170">
            <v>1.532955840501927</v>
          </cell>
          <cell r="E1170">
            <v>2.3721268174628443</v>
          </cell>
        </row>
        <row r="1171">
          <cell r="D1171">
            <v>1.5331480126283168</v>
          </cell>
          <cell r="E1171">
            <v>2.3715107261171404</v>
          </cell>
        </row>
        <row r="1172">
          <cell r="D1172">
            <v>1.5331480126283168</v>
          </cell>
          <cell r="E1172">
            <v>2.3715107261171404</v>
          </cell>
        </row>
        <row r="1173">
          <cell r="D1173">
            <v>1.533237568570712</v>
          </cell>
          <cell r="E1173">
            <v>2.3712225595905805</v>
          </cell>
        </row>
        <row r="1174">
          <cell r="D1174">
            <v>1.5332888766627093</v>
          </cell>
          <cell r="E1174">
            <v>2.3710571618270171</v>
          </cell>
        </row>
        <row r="1175">
          <cell r="D1175">
            <v>1.5333528718465459</v>
          </cell>
          <cell r="E1175">
            <v>2.3708505571052876</v>
          </cell>
        </row>
        <row r="1176">
          <cell r="D1176">
            <v>1.5334683616972598</v>
          </cell>
          <cell r="E1176">
            <v>2.3704768382085319</v>
          </cell>
        </row>
        <row r="1177">
          <cell r="D1177">
            <v>1.5337760236743634</v>
          </cell>
          <cell r="E1177">
            <v>2.3694758214755627</v>
          </cell>
        </row>
        <row r="1178">
          <cell r="D1178">
            <v>1.5338273317663607</v>
          </cell>
          <cell r="E1178">
            <v>2.3693081151898117</v>
          </cell>
        </row>
        <row r="1179">
          <cell r="D1179">
            <v>1.5338528925249193</v>
          </cell>
          <cell r="E1179">
            <v>2.3692244849772073</v>
          </cell>
        </row>
        <row r="1180">
          <cell r="D1180">
            <v>1.5340454378010691</v>
          </cell>
          <cell r="E1180">
            <v>2.3685927596592111</v>
          </cell>
        </row>
        <row r="1181">
          <cell r="D1181">
            <v>1.5342506701690581</v>
          </cell>
          <cell r="E1181">
            <v>2.367916005789978</v>
          </cell>
        </row>
        <row r="1182">
          <cell r="D1182">
            <v>1.53440459444505</v>
          </cell>
          <cell r="E1182">
            <v>2.3674061376128508</v>
          </cell>
        </row>
        <row r="1183">
          <cell r="D1183">
            <v>1.5345329579624831</v>
          </cell>
          <cell r="E1183">
            <v>2.366979430156134</v>
          </cell>
        </row>
        <row r="1184">
          <cell r="D1184">
            <v>1.5348409930893467</v>
          </cell>
          <cell r="E1184">
            <v>2.3659498656408586</v>
          </cell>
        </row>
        <row r="1185">
          <cell r="D1185">
            <v>1.5353290729754008</v>
          </cell>
          <cell r="E1185">
            <v>2.3643023883430661</v>
          </cell>
        </row>
        <row r="1186">
          <cell r="D1186">
            <v>1.5354447494009946</v>
          </cell>
          <cell r="E1186">
            <v>2.3639090344425182</v>
          </cell>
        </row>
        <row r="1187">
          <cell r="D1187">
            <v>1.5354833704011526</v>
          </cell>
          <cell r="E1187">
            <v>2.3637774580674056</v>
          </cell>
        </row>
        <row r="1188">
          <cell r="D1188">
            <v>1.5356376678269044</v>
          </cell>
          <cell r="E1188">
            <v>2.3632505553264145</v>
          </cell>
        </row>
        <row r="1189">
          <cell r="D1189">
            <v>1.5356761022521823</v>
          </cell>
          <cell r="E1189">
            <v>2.3631190007881431</v>
          </cell>
        </row>
        <row r="1190">
          <cell r="D1190">
            <v>1.5359589497702473</v>
          </cell>
          <cell r="E1190">
            <v>2.3621471017787723</v>
          </cell>
        </row>
        <row r="1191">
          <cell r="D1191">
            <v>1.536190489196315</v>
          </cell>
          <cell r="E1191">
            <v>2.3613465801919511</v>
          </cell>
        </row>
        <row r="1192">
          <cell r="D1192">
            <v>1.536190489196315</v>
          </cell>
          <cell r="E1192">
            <v>2.3613465801919511</v>
          </cell>
        </row>
        <row r="1193">
          <cell r="D1193">
            <v>1.5362934785300695</v>
          </cell>
          <cell r="E1193">
            <v>2.3609890832128007</v>
          </cell>
        </row>
        <row r="1194">
          <cell r="D1194">
            <v>1.5364220286223826</v>
          </cell>
          <cell r="E1194">
            <v>2.3605416312210217</v>
          </cell>
        </row>
        <row r="1195">
          <cell r="D1195">
            <v>1.5365121442894178</v>
          </cell>
          <cell r="E1195">
            <v>2.3602271473788403</v>
          </cell>
        </row>
        <row r="1196">
          <cell r="D1196">
            <v>1.5365378916228565</v>
          </cell>
          <cell r="E1196">
            <v>2.3601371718414295</v>
          </cell>
        </row>
        <row r="1197">
          <cell r="D1197">
            <v>1.5366923756234883</v>
          </cell>
          <cell r="E1197">
            <v>2.3595961709925009</v>
          </cell>
        </row>
        <row r="1198">
          <cell r="D1198">
            <v>1.5370013436247518</v>
          </cell>
          <cell r="E1198">
            <v>2.3585082716971524</v>
          </cell>
        </row>
        <row r="1199">
          <cell r="D1199">
            <v>1.5378646255944659</v>
          </cell>
          <cell r="E1199">
            <v>2.355426997873252</v>
          </cell>
        </row>
        <row r="1200">
          <cell r="D1200">
            <v>1.5378776858360652</v>
          </cell>
          <cell r="E1200">
            <v>2.3553799129995152</v>
          </cell>
        </row>
        <row r="1201">
          <cell r="D1201">
            <v>1.5378903729279045</v>
          </cell>
          <cell r="E1201">
            <v>2.3553341600257918</v>
          </cell>
        </row>
        <row r="1202">
          <cell r="D1202">
            <v>1.5379806751698197</v>
          </cell>
          <cell r="E1202">
            <v>2.3550081255816235</v>
          </cell>
        </row>
        <row r="1203">
          <cell r="D1203">
            <v>1.5390001203140855</v>
          </cell>
          <cell r="E1203">
            <v>2.3512811850081978</v>
          </cell>
        </row>
        <row r="1204">
          <cell r="D1204">
            <v>1.5390131805556848</v>
          </cell>
          <cell r="E1204">
            <v>2.3512328883788727</v>
          </cell>
        </row>
        <row r="1205">
          <cell r="D1205">
            <v>1.5391422903726379</v>
          </cell>
          <cell r="E1205">
            <v>2.3507546940275792</v>
          </cell>
        </row>
        <row r="1206">
          <cell r="D1206">
            <v>1.5392844604311904</v>
          </cell>
          <cell r="E1206">
            <v>2.3502265571757484</v>
          </cell>
        </row>
        <row r="1207">
          <cell r="D1207">
            <v>1.5395299929732573</v>
          </cell>
          <cell r="E1207">
            <v>2.3493105744504486</v>
          </cell>
        </row>
        <row r="1208">
          <cell r="D1208">
            <v>1.5397755255153243</v>
          </cell>
          <cell r="E1208">
            <v>2.348389692152943</v>
          </cell>
        </row>
        <row r="1209">
          <cell r="D1209">
            <v>1.5397883991820436</v>
          </cell>
          <cell r="E1209">
            <v>2.348341273743638</v>
          </cell>
        </row>
        <row r="1210">
          <cell r="D1210">
            <v>1.5406035448327202</v>
          </cell>
          <cell r="E1210">
            <v>2.3452481214197709</v>
          </cell>
        </row>
        <row r="1211">
          <cell r="D1211">
            <v>1.541134350366292</v>
          </cell>
          <cell r="E1211">
            <v>2.3432050383649345</v>
          </cell>
        </row>
        <row r="1212">
          <cell r="D1212">
            <v>1.5426778843484499</v>
          </cell>
          <cell r="E1212">
            <v>2.3371351231968571</v>
          </cell>
        </row>
        <row r="1213">
          <cell r="D1213">
            <v>1.5427166919234878</v>
          </cell>
          <cell r="E1213">
            <v>2.3369800518900647</v>
          </cell>
        </row>
        <row r="1214">
          <cell r="D1214">
            <v>1.5428857287647588</v>
          </cell>
          <cell r="E1214">
            <v>2.3363031932528893</v>
          </cell>
        </row>
        <row r="1215">
          <cell r="D1215">
            <v>1.5431846217225029</v>
          </cell>
          <cell r="E1215">
            <v>2.3351007805081316</v>
          </cell>
        </row>
        <row r="1216">
          <cell r="D1216">
            <v>1.543314477838976</v>
          </cell>
          <cell r="E1216">
            <v>2.3345761638108558</v>
          </cell>
        </row>
        <row r="1217">
          <cell r="D1217">
            <v>1.5433924661388119</v>
          </cell>
          <cell r="E1217">
            <v>2.3342604465128463</v>
          </cell>
        </row>
        <row r="1218">
          <cell r="D1218">
            <v>1.5435355690717643</v>
          </cell>
          <cell r="E1218">
            <v>2.3336798682678026</v>
          </cell>
        </row>
        <row r="1219">
          <cell r="D1219">
            <v>1.5436786720047166</v>
          </cell>
          <cell r="E1219">
            <v>2.3330976604645772</v>
          </cell>
        </row>
        <row r="1220">
          <cell r="D1220">
            <v>1.5437305398213539</v>
          </cell>
          <cell r="E1220">
            <v>2.3328862364963849</v>
          </cell>
        </row>
        <row r="1221">
          <cell r="D1221">
            <v>1.543821588362789</v>
          </cell>
          <cell r="E1221">
            <v>2.3325145866488186</v>
          </cell>
        </row>
        <row r="1222">
          <cell r="D1222">
            <v>1.5444335539691565</v>
          </cell>
          <cell r="E1222">
            <v>2.3299995387479639</v>
          </cell>
        </row>
        <row r="1223">
          <cell r="D1223">
            <v>1.5445768434769889</v>
          </cell>
          <cell r="E1223">
            <v>2.3294063615074547</v>
          </cell>
        </row>
        <row r="1224">
          <cell r="D1224">
            <v>1.5446548317768247</v>
          </cell>
          <cell r="E1224">
            <v>2.3290828297352033</v>
          </cell>
        </row>
        <row r="1225">
          <cell r="D1225">
            <v>1.544837302009455</v>
          </cell>
          <cell r="E1225">
            <v>2.3283239795475383</v>
          </cell>
        </row>
        <row r="1226">
          <cell r="D1226">
            <v>1.5449936517588867</v>
          </cell>
          <cell r="E1226">
            <v>2.3276716657758585</v>
          </cell>
        </row>
        <row r="1227">
          <cell r="D1227">
            <v>1.545006712000486</v>
          </cell>
          <cell r="E1227">
            <v>2.327617089223875</v>
          </cell>
        </row>
        <row r="1228">
          <cell r="D1228">
            <v>1.5450458927252839</v>
          </cell>
          <cell r="E1228">
            <v>2.3274532788057831</v>
          </cell>
        </row>
        <row r="1229">
          <cell r="D1229">
            <v>1.5450458927252839</v>
          </cell>
          <cell r="E1229">
            <v>2.3274532788057831</v>
          </cell>
        </row>
        <row r="1230">
          <cell r="D1230">
            <v>1.5451501880831984</v>
          </cell>
          <cell r="E1230">
            <v>2.3270166408201121</v>
          </cell>
        </row>
        <row r="1231">
          <cell r="D1231">
            <v>1.5452936641659107</v>
          </cell>
          <cell r="E1231">
            <v>2.3264145691968809</v>
          </cell>
        </row>
        <row r="1232">
          <cell r="D1232">
            <v>1.5455022548817396</v>
          </cell>
          <cell r="E1232">
            <v>2.3255363630606216</v>
          </cell>
        </row>
        <row r="1233">
          <cell r="D1233">
            <v>1.5456067368145341</v>
          </cell>
          <cell r="E1233">
            <v>2.3250951871781211</v>
          </cell>
        </row>
        <row r="1234">
          <cell r="D1234">
            <v>1.5456981585057292</v>
          </cell>
          <cell r="E1234">
            <v>2.3247084540009753</v>
          </cell>
        </row>
        <row r="1235">
          <cell r="D1235">
            <v>1.5460634721207498</v>
          </cell>
          <cell r="E1235">
            <v>2.3231565457266532</v>
          </cell>
        </row>
        <row r="1236">
          <cell r="D1236">
            <v>1.5462593757447394</v>
          </cell>
          <cell r="E1236">
            <v>2.3223200038630125</v>
          </cell>
        </row>
        <row r="1237">
          <cell r="D1237">
            <v>1.5465077069100062</v>
          </cell>
          <cell r="E1237">
            <v>2.3212552664786124</v>
          </cell>
        </row>
        <row r="1238">
          <cell r="D1238">
            <v>1.5468737668245467</v>
          </cell>
          <cell r="E1238">
            <v>2.3196769636615104</v>
          </cell>
        </row>
        <row r="1239">
          <cell r="D1239">
            <v>1.5469261943658239</v>
          </cell>
          <cell r="E1239">
            <v>2.3194500603689296</v>
          </cell>
        </row>
        <row r="1240">
          <cell r="D1240">
            <v>1.5470306762986183</v>
          </cell>
          <cell r="E1240">
            <v>2.3189972291541054</v>
          </cell>
        </row>
        <row r="1241">
          <cell r="D1241">
            <v>1.5473971093629189</v>
          </cell>
          <cell r="E1241">
            <v>2.3174023602710756</v>
          </cell>
        </row>
        <row r="1242">
          <cell r="D1242">
            <v>1.5474625971457954</v>
          </cell>
          <cell r="E1242">
            <v>2.3171162290582972</v>
          </cell>
        </row>
        <row r="1243">
          <cell r="D1243">
            <v>1.5475280849286719</v>
          </cell>
          <cell r="E1243">
            <v>2.3168297642575868</v>
          </cell>
        </row>
        <row r="1244">
          <cell r="D1244">
            <v>1.5476851809776235</v>
          </cell>
          <cell r="E1244">
            <v>2.3161412160470958</v>
          </cell>
        </row>
        <row r="1245">
          <cell r="D1245">
            <v>1.5479732525923282</v>
          </cell>
          <cell r="E1245">
            <v>2.3148736256331515</v>
          </cell>
        </row>
        <row r="1246">
          <cell r="D1246">
            <v>1.5479995596504068</v>
          </cell>
          <cell r="E1246">
            <v>2.3147575468774018</v>
          </cell>
        </row>
        <row r="1247">
          <cell r="D1247">
            <v>1.5479995596504068</v>
          </cell>
          <cell r="E1247">
            <v>2.3147575468774018</v>
          </cell>
        </row>
        <row r="1248">
          <cell r="D1248">
            <v>1.5484189799806245</v>
          </cell>
          <cell r="E1248">
            <v>2.3128996316744881</v>
          </cell>
        </row>
        <row r="1249">
          <cell r="D1249">
            <v>1.5486680574454113</v>
          </cell>
          <cell r="E1249">
            <v>2.3117898476652781</v>
          </cell>
        </row>
        <row r="1250">
          <cell r="D1250">
            <v>1.5488650805186808</v>
          </cell>
          <cell r="E1250">
            <v>2.310908602603361</v>
          </cell>
        </row>
        <row r="1251">
          <cell r="D1251">
            <v>1.5489305683015573</v>
          </cell>
          <cell r="E1251">
            <v>2.3106150257268969</v>
          </cell>
        </row>
        <row r="1252">
          <cell r="D1252">
            <v>1.5489305683015573</v>
          </cell>
          <cell r="E1252">
            <v>2.3106150257268969</v>
          </cell>
        </row>
        <row r="1253">
          <cell r="D1253">
            <v>1.5494033490474521</v>
          </cell>
          <cell r="E1253">
            <v>2.3084857848116598</v>
          </cell>
        </row>
        <row r="1254">
          <cell r="D1254">
            <v>1.5495610048210438</v>
          </cell>
          <cell r="E1254">
            <v>2.3077719358571813</v>
          </cell>
        </row>
        <row r="1255">
          <cell r="D1255">
            <v>1.5496266791788003</v>
          </cell>
          <cell r="E1255">
            <v>2.307474006030608</v>
          </cell>
        </row>
        <row r="1256">
          <cell r="D1256">
            <v>1.550271108814286</v>
          </cell>
          <cell r="E1256">
            <v>2.3045330313231807</v>
          </cell>
        </row>
        <row r="1257">
          <cell r="D1257">
            <v>1.5503104761139639</v>
          </cell>
          <cell r="E1257">
            <v>2.3043523412678706</v>
          </cell>
        </row>
        <row r="1258">
          <cell r="D1258">
            <v>1.5503104761139639</v>
          </cell>
          <cell r="E1258">
            <v>2.3043523412678706</v>
          </cell>
        </row>
        <row r="1259">
          <cell r="D1259">
            <v>1.5503763370466004</v>
          </cell>
          <cell r="E1259">
            <v>2.3040497846116335</v>
          </cell>
        </row>
        <row r="1260">
          <cell r="D1260">
            <v>1.550402644104679</v>
          </cell>
          <cell r="E1260">
            <v>2.3039288407661056</v>
          </cell>
        </row>
        <row r="1261">
          <cell r="D1261">
            <v>1.5504552582208362</v>
          </cell>
          <cell r="E1261">
            <v>2.3036867945367963</v>
          </cell>
        </row>
        <row r="1262">
          <cell r="D1262">
            <v>1.5505474262115513</v>
          </cell>
          <cell r="E1262">
            <v>2.3032622751763916</v>
          </cell>
        </row>
        <row r="1263">
          <cell r="D1263">
            <v>1.5506922083184236</v>
          </cell>
          <cell r="E1263">
            <v>2.3025941103405945</v>
          </cell>
        </row>
        <row r="1264">
          <cell r="D1264">
            <v>1.5510478200396847</v>
          </cell>
          <cell r="E1264">
            <v>2.3009461949769925</v>
          </cell>
        </row>
        <row r="1265">
          <cell r="D1265">
            <v>1.5512323425959949</v>
          </cell>
          <cell r="E1265">
            <v>2.3000873209480259</v>
          </cell>
        </row>
        <row r="1266">
          <cell r="D1266">
            <v>1.5513774978526271</v>
          </cell>
          <cell r="E1266">
            <v>2.2994098674704881</v>
          </cell>
        </row>
        <row r="1267">
          <cell r="D1267">
            <v>1.5514829126598215</v>
          </cell>
          <cell r="E1267">
            <v>2.2989168842514047</v>
          </cell>
        </row>
        <row r="1268">
          <cell r="D1268">
            <v>1.5515224665343794</v>
          </cell>
          <cell r="E1268">
            <v>2.2987316890472522</v>
          </cell>
        </row>
        <row r="1269">
          <cell r="D1269">
            <v>1.5515357133508587</v>
          </cell>
          <cell r="E1269">
            <v>2.2986696396123083</v>
          </cell>
        </row>
        <row r="1270">
          <cell r="D1270">
            <v>1.5516543749745324</v>
          </cell>
          <cell r="E1270">
            <v>2.2981132234119377</v>
          </cell>
        </row>
        <row r="1271">
          <cell r="D1271">
            <v>1.5516543749745324</v>
          </cell>
          <cell r="E1271">
            <v>2.2981132234119377</v>
          </cell>
        </row>
        <row r="1272">
          <cell r="D1272">
            <v>1.5521163343773878</v>
          </cell>
          <cell r="E1272">
            <v>2.2959368996802212</v>
          </cell>
        </row>
        <row r="1273">
          <cell r="D1273">
            <v>1.5524465719149703</v>
          </cell>
          <cell r="E1273">
            <v>2.2943712472986255</v>
          </cell>
        </row>
        <row r="1274">
          <cell r="D1274">
            <v>1.5525654201135239</v>
          </cell>
          <cell r="E1274">
            <v>2.2938057778412713</v>
          </cell>
        </row>
        <row r="1275">
          <cell r="D1275">
            <v>1.5531074201398951</v>
          </cell>
          <cell r="E1275">
            <v>2.2912135197333257</v>
          </cell>
        </row>
        <row r="1276">
          <cell r="D1276">
            <v>1.5533059358122046</v>
          </cell>
          <cell r="E1276">
            <v>2.290258549074037</v>
          </cell>
        </row>
        <row r="1277">
          <cell r="D1277">
            <v>1.5533854167110803</v>
          </cell>
          <cell r="E1277">
            <v>2.2898753741050006</v>
          </cell>
        </row>
        <row r="1278">
          <cell r="D1278">
            <v>1.5536236728328277</v>
          </cell>
          <cell r="E1278">
            <v>2.2887239162040505</v>
          </cell>
        </row>
        <row r="1279">
          <cell r="D1279">
            <v>1.5536899069152241</v>
          </cell>
          <cell r="E1279">
            <v>2.2884030624006426</v>
          </cell>
        </row>
        <row r="1280">
          <cell r="D1280">
            <v>1.5539680900612893</v>
          </cell>
          <cell r="E1280">
            <v>2.2870518995850935</v>
          </cell>
        </row>
        <row r="1281">
          <cell r="D1281">
            <v>1.5543791145219075</v>
          </cell>
          <cell r="E1281">
            <v>2.2850449564982602</v>
          </cell>
        </row>
        <row r="1282">
          <cell r="D1282">
            <v>1.5543923613383868</v>
          </cell>
          <cell r="E1282">
            <v>2.2849800660676021</v>
          </cell>
        </row>
        <row r="1283">
          <cell r="D1283">
            <v>1.5545117692615804</v>
          </cell>
          <cell r="E1283">
            <v>2.284394549651442</v>
          </cell>
        </row>
        <row r="1284">
          <cell r="D1284">
            <v>1.5545914367353362</v>
          </cell>
          <cell r="E1284">
            <v>2.2840033113849523</v>
          </cell>
        </row>
        <row r="1285">
          <cell r="D1285">
            <v>1.5546444240012534</v>
          </cell>
          <cell r="E1285">
            <v>2.2837428358045537</v>
          </cell>
        </row>
        <row r="1286">
          <cell r="D1286">
            <v>1.5548434993982028</v>
          </cell>
          <cell r="E1286">
            <v>2.2827623569440698</v>
          </cell>
        </row>
        <row r="1287">
          <cell r="D1287">
            <v>1.5548832398476407</v>
          </cell>
          <cell r="E1287">
            <v>2.2825662769820658</v>
          </cell>
        </row>
        <row r="1288">
          <cell r="D1288">
            <v>1.5550425747951522</v>
          </cell>
          <cell r="E1288">
            <v>2.281778941480741</v>
          </cell>
        </row>
        <row r="1289">
          <cell r="D1289">
            <v>1.5550560081865115</v>
          </cell>
          <cell r="E1289">
            <v>2.2817124760124079</v>
          </cell>
        </row>
        <row r="1290">
          <cell r="D1290">
            <v>1.5550692550029908</v>
          </cell>
          <cell r="E1290">
            <v>2.2816469206011112</v>
          </cell>
        </row>
        <row r="1291">
          <cell r="D1291">
            <v>1.5553216908156173</v>
          </cell>
          <cell r="E1291">
            <v>2.2803951951114563</v>
          </cell>
        </row>
        <row r="1292">
          <cell r="D1292">
            <v>1.5554013582893731</v>
          </cell>
          <cell r="E1292">
            <v>2.2799991795309174</v>
          </cell>
        </row>
        <row r="1293">
          <cell r="D1293">
            <v>1.5556140536525618</v>
          </cell>
          <cell r="E1293">
            <v>2.2789396074139305</v>
          </cell>
        </row>
        <row r="1294">
          <cell r="D1294">
            <v>1.5562926264910857</v>
          </cell>
          <cell r="E1294">
            <v>2.2755369418432352</v>
          </cell>
        </row>
        <row r="1295">
          <cell r="D1295">
            <v>1.5564258409553986</v>
          </cell>
          <cell r="E1295">
            <v>2.274864975162791</v>
          </cell>
        </row>
        <row r="1296">
          <cell r="D1296">
            <v>1.5566790230675451</v>
          </cell>
          <cell r="E1296">
            <v>2.2735842797595507</v>
          </cell>
        </row>
        <row r="1297">
          <cell r="D1297">
            <v>1.5567989907153787</v>
          </cell>
          <cell r="E1297">
            <v>2.2729757986915979</v>
          </cell>
        </row>
        <row r="1298">
          <cell r="D1298">
            <v>1.5568922781553738</v>
          </cell>
          <cell r="E1298">
            <v>2.2725019140505598</v>
          </cell>
        </row>
        <row r="1299">
          <cell r="D1299">
            <v>1.5577061177818905</v>
          </cell>
          <cell r="E1299">
            <v>2.2683408441888777</v>
          </cell>
        </row>
        <row r="1300">
          <cell r="D1300">
            <v>1.5577061177818905</v>
          </cell>
          <cell r="E1300">
            <v>2.2683408441888777</v>
          </cell>
        </row>
        <row r="1301">
          <cell r="D1301">
            <v>1.557866572178682</v>
          </cell>
          <cell r="E1301">
            <v>2.2675147778725626</v>
          </cell>
        </row>
        <row r="1302">
          <cell r="D1302">
            <v>1.5578932523865205</v>
          </cell>
          <cell r="E1302">
            <v>2.2673772393462115</v>
          </cell>
        </row>
        <row r="1303">
          <cell r="D1303">
            <v>1.5582540882044214</v>
          </cell>
          <cell r="E1303">
            <v>2.2655120411108109</v>
          </cell>
        </row>
        <row r="1304">
          <cell r="D1304">
            <v>1.55865541077128</v>
          </cell>
          <cell r="E1304">
            <v>2.2634265122427943</v>
          </cell>
        </row>
        <row r="1305">
          <cell r="D1305">
            <v>1.5586688441626393</v>
          </cell>
          <cell r="E1305">
            <v>2.2633565028545006</v>
          </cell>
        </row>
        <row r="1306">
          <cell r="D1306">
            <v>1.5591507670776537</v>
          </cell>
          <cell r="E1306">
            <v>2.2608363282867918</v>
          </cell>
        </row>
        <row r="1307">
          <cell r="D1307">
            <v>1.5597405302733023</v>
          </cell>
          <cell r="E1307">
            <v>2.2577295388792447</v>
          </cell>
        </row>
        <row r="1308">
          <cell r="D1308">
            <v>1.559821130621458</v>
          </cell>
          <cell r="E1308">
            <v>2.2573030151032496</v>
          </cell>
        </row>
        <row r="1309">
          <cell r="D1309">
            <v>1.5601162920816023</v>
          </cell>
          <cell r="E1309">
            <v>2.2557371123931382</v>
          </cell>
        </row>
        <row r="1310">
          <cell r="D1310">
            <v>1.5602103258211173</v>
          </cell>
          <cell r="E1310">
            <v>2.2552369366891014</v>
          </cell>
        </row>
        <row r="1311">
          <cell r="D1311">
            <v>1.5611917096898651</v>
          </cell>
          <cell r="E1311">
            <v>2.2499793789587983</v>
          </cell>
        </row>
        <row r="1312">
          <cell r="D1312">
            <v>1.5612320098639429</v>
          </cell>
          <cell r="E1312">
            <v>2.2497620217740923</v>
          </cell>
        </row>
        <row r="1313">
          <cell r="D1313">
            <v>1.56147455720793</v>
          </cell>
          <cell r="E1313">
            <v>2.248451433315481</v>
          </cell>
        </row>
        <row r="1314">
          <cell r="D1314">
            <v>1.5615956443050436</v>
          </cell>
          <cell r="E1314">
            <v>2.2477955955766955</v>
          </cell>
        </row>
        <row r="1315">
          <cell r="D1315">
            <v>1.56166299783672</v>
          </cell>
          <cell r="E1315">
            <v>2.2474303454042497</v>
          </cell>
        </row>
        <row r="1316">
          <cell r="D1316">
            <v>1.5617977049000729</v>
          </cell>
          <cell r="E1316">
            <v>2.2466988878272796</v>
          </cell>
        </row>
        <row r="1317">
          <cell r="D1317">
            <v>1.5619325985383057</v>
          </cell>
          <cell r="E1317">
            <v>2.2459651393596438</v>
          </cell>
        </row>
        <row r="1318">
          <cell r="D1318">
            <v>1.5620538722102992</v>
          </cell>
          <cell r="E1318">
            <v>2.2453043857717088</v>
          </cell>
        </row>
        <row r="1319">
          <cell r="D1319">
            <v>1.5621887658485321</v>
          </cell>
          <cell r="E1319">
            <v>2.2445682129367852</v>
          </cell>
        </row>
        <row r="1320">
          <cell r="D1320">
            <v>1.562472173091237</v>
          </cell>
          <cell r="E1320">
            <v>2.2430173869342962</v>
          </cell>
        </row>
        <row r="1321">
          <cell r="D1321">
            <v>1.5628637937643362</v>
          </cell>
          <cell r="E1321">
            <v>2.2408651746168289</v>
          </cell>
        </row>
        <row r="1322">
          <cell r="D1322">
            <v>1.5630123073688083</v>
          </cell>
          <cell r="E1322">
            <v>2.24004619930699</v>
          </cell>
        </row>
        <row r="1323">
          <cell r="D1323">
            <v>1.5631070874078432</v>
          </cell>
          <cell r="E1323">
            <v>2.2395227344326494</v>
          </cell>
        </row>
        <row r="1324">
          <cell r="D1324">
            <v>1.563431541124146</v>
          </cell>
          <cell r="E1324">
            <v>2.2377260699012278</v>
          </cell>
        </row>
        <row r="1325">
          <cell r="D1325">
            <v>1.5636209146273359</v>
          </cell>
          <cell r="E1325">
            <v>2.2366740387624295</v>
          </cell>
        </row>
        <row r="1326">
          <cell r="D1326">
            <v>1.56391887471068</v>
          </cell>
          <cell r="E1326">
            <v>2.2350137503336365</v>
          </cell>
        </row>
        <row r="1327">
          <cell r="D1327">
            <v>1.5639459280682786</v>
          </cell>
          <cell r="E1327">
            <v>2.2348627002870121</v>
          </cell>
        </row>
        <row r="1328">
          <cell r="D1328">
            <v>1.5641086213636299</v>
          </cell>
          <cell r="E1328">
            <v>2.2339532515583898</v>
          </cell>
        </row>
        <row r="1329">
          <cell r="D1329">
            <v>1.5641761614701863</v>
          </cell>
          <cell r="E1329">
            <v>2.2335751691162189</v>
          </cell>
        </row>
        <row r="1330">
          <cell r="D1330">
            <v>1.5643931480556148</v>
          </cell>
          <cell r="E1330">
            <v>2.2323583752904224</v>
          </cell>
        </row>
        <row r="1331">
          <cell r="D1331">
            <v>1.5648000678688732</v>
          </cell>
          <cell r="E1331">
            <v>2.230067770723402</v>
          </cell>
        </row>
        <row r="1332">
          <cell r="D1332">
            <v>1.564840741192711</v>
          </cell>
          <cell r="E1332">
            <v>2.2298381909215848</v>
          </cell>
        </row>
        <row r="1333">
          <cell r="D1333">
            <v>1.5649222744152667</v>
          </cell>
          <cell r="E1333">
            <v>2.2293776369935343</v>
          </cell>
        </row>
        <row r="1334">
          <cell r="D1334">
            <v>1.5649631343139845</v>
          </cell>
          <cell r="E1334">
            <v>2.2291466619060389</v>
          </cell>
        </row>
        <row r="1335">
          <cell r="D1335">
            <v>1.5651123942179765</v>
          </cell>
          <cell r="E1335">
            <v>2.2283019467557832</v>
          </cell>
        </row>
        <row r="1336">
          <cell r="D1336">
            <v>1.5653840472432421</v>
          </cell>
          <cell r="E1336">
            <v>2.2267606597609793</v>
          </cell>
        </row>
        <row r="1337">
          <cell r="D1337">
            <v>1.5654112871757206</v>
          </cell>
          <cell r="E1337">
            <v>2.2266058299044866</v>
          </cell>
        </row>
        <row r="1338">
          <cell r="D1338">
            <v>1.5654385271081992</v>
          </cell>
          <cell r="E1338">
            <v>2.2264509494742346</v>
          </cell>
        </row>
        <row r="1339">
          <cell r="D1339">
            <v>1.5656424534520283</v>
          </cell>
          <cell r="E1339">
            <v>2.2252898626071378</v>
          </cell>
        </row>
        <row r="1340">
          <cell r="D1340">
            <v>1.5656833133507462</v>
          </cell>
          <cell r="E1340">
            <v>2.225056879990666</v>
          </cell>
        </row>
        <row r="1341">
          <cell r="D1341">
            <v>1.5657512266070626</v>
          </cell>
          <cell r="E1341">
            <v>2.2246693883529827</v>
          </cell>
        </row>
        <row r="1342">
          <cell r="D1342">
            <v>1.5668682504135631</v>
          </cell>
          <cell r="E1342">
            <v>2.2182511690489939</v>
          </cell>
        </row>
        <row r="1343">
          <cell r="D1343">
            <v>1.5668956769209217</v>
          </cell>
          <cell r="E1343">
            <v>2.2180925218572374</v>
          </cell>
        </row>
        <row r="1344">
          <cell r="D1344">
            <v>1.567359688647457</v>
          </cell>
          <cell r="E1344">
            <v>2.2154008110181267</v>
          </cell>
        </row>
        <row r="1345">
          <cell r="D1345">
            <v>1.5674688349522512</v>
          </cell>
          <cell r="E1345">
            <v>2.2147655608315095</v>
          </cell>
        </row>
        <row r="1346">
          <cell r="D1346">
            <v>1.5675371213583276</v>
          </cell>
          <cell r="E1346">
            <v>2.2143677168051026</v>
          </cell>
        </row>
        <row r="1347">
          <cell r="D1347">
            <v>1.5679199730120672</v>
          </cell>
          <cell r="E1347">
            <v>2.2121314115396258</v>
          </cell>
        </row>
        <row r="1348">
          <cell r="D1348">
            <v>1.568262151341969</v>
          </cell>
          <cell r="E1348">
            <v>2.2101244187253832</v>
          </cell>
        </row>
        <row r="1349">
          <cell r="D1349">
            <v>1.5684673837099581</v>
          </cell>
          <cell r="E1349">
            <v>2.2089169274104767</v>
          </cell>
        </row>
        <row r="1350">
          <cell r="D1350">
            <v>1.5686043296718708</v>
          </cell>
          <cell r="E1350">
            <v>2.2081096474741533</v>
          </cell>
        </row>
        <row r="1351">
          <cell r="D1351">
            <v>1.5686867957688264</v>
          </cell>
          <cell r="E1351">
            <v>2.2076229205474114</v>
          </cell>
        </row>
        <row r="1352">
          <cell r="D1352">
            <v>1.5688375482718584</v>
          </cell>
          <cell r="E1352">
            <v>2.2067319942829569</v>
          </cell>
        </row>
        <row r="1353">
          <cell r="D1353">
            <v>1.5691390532779224</v>
          </cell>
          <cell r="E1353">
            <v>2.2049456386100328</v>
          </cell>
        </row>
        <row r="1354">
          <cell r="D1354">
            <v>1.5692351393411172</v>
          </cell>
          <cell r="E1354">
            <v>2.2043750888041651</v>
          </cell>
        </row>
        <row r="1355">
          <cell r="D1355">
            <v>1.5696883297246131</v>
          </cell>
          <cell r="E1355">
            <v>2.2016759030778421</v>
          </cell>
        </row>
        <row r="1356">
          <cell r="D1356">
            <v>1.5699219214743607</v>
          </cell>
          <cell r="E1356">
            <v>2.200279377062814</v>
          </cell>
        </row>
        <row r="1357">
          <cell r="D1357">
            <v>1.5699905810301971</v>
          </cell>
          <cell r="E1357">
            <v>2.1998682175278579</v>
          </cell>
        </row>
        <row r="1358">
          <cell r="D1358">
            <v>1.5703346251088988</v>
          </cell>
          <cell r="E1358">
            <v>2.1978033142265101</v>
          </cell>
        </row>
        <row r="1359">
          <cell r="D1359">
            <v>1.5705271703850485</v>
          </cell>
          <cell r="E1359">
            <v>2.1966443178001449</v>
          </cell>
        </row>
        <row r="1360">
          <cell r="D1360">
            <v>1.5707477018931968</v>
          </cell>
          <cell r="E1360">
            <v>2.1953139008365112</v>
          </cell>
        </row>
        <row r="1361">
          <cell r="D1361">
            <v>1.5709406203191065</v>
          </cell>
          <cell r="E1361">
            <v>2.194147479181852</v>
          </cell>
        </row>
        <row r="1362">
          <cell r="D1362">
            <v>1.5710232729909421</v>
          </cell>
          <cell r="E1362">
            <v>2.1936470074397674</v>
          </cell>
        </row>
        <row r="1363">
          <cell r="D1363">
            <v>1.5712854106973282</v>
          </cell>
          <cell r="E1363">
            <v>2.1920568094546811</v>
          </cell>
        </row>
        <row r="1364">
          <cell r="D1364">
            <v>1.5713956764514023</v>
          </cell>
          <cell r="E1364">
            <v>2.1913865816059768</v>
          </cell>
        </row>
        <row r="1365">
          <cell r="D1365">
            <v>1.571741026554264</v>
          </cell>
          <cell r="E1365">
            <v>2.1892823722366743</v>
          </cell>
        </row>
        <row r="1366">
          <cell r="D1366">
            <v>1.5718514788832181</v>
          </cell>
          <cell r="E1366">
            <v>2.1886077700313979</v>
          </cell>
        </row>
        <row r="1367">
          <cell r="D1367">
            <v>1.5718514788832181</v>
          </cell>
          <cell r="E1367">
            <v>2.1886077700313979</v>
          </cell>
        </row>
        <row r="1368">
          <cell r="D1368">
            <v>1.5725429253884613</v>
          </cell>
          <cell r="E1368">
            <v>2.1843669054885519</v>
          </cell>
        </row>
        <row r="1369">
          <cell r="D1369">
            <v>1.5728198025103666</v>
          </cell>
          <cell r="E1369">
            <v>2.1826601700289832</v>
          </cell>
        </row>
        <row r="1370">
          <cell r="D1370">
            <v>1.5729862273033177</v>
          </cell>
          <cell r="E1370">
            <v>2.181631942339668</v>
          </cell>
        </row>
        <row r="1371">
          <cell r="D1371">
            <v>1.5729862273033177</v>
          </cell>
          <cell r="E1371">
            <v>2.181631942339668</v>
          </cell>
        </row>
        <row r="1372">
          <cell r="D1372">
            <v>1.573582520619766</v>
          </cell>
          <cell r="E1372">
            <v>2.1779334305378288</v>
          </cell>
        </row>
        <row r="1373">
          <cell r="D1373">
            <v>1.5736103202768845</v>
          </cell>
          <cell r="E1373">
            <v>2.1777604546748695</v>
          </cell>
        </row>
        <row r="1374">
          <cell r="D1374">
            <v>1.5736659195911216</v>
          </cell>
          <cell r="E1374">
            <v>2.1774143567253326</v>
          </cell>
        </row>
        <row r="1375">
          <cell r="D1375">
            <v>1.5739853357856646</v>
          </cell>
          <cell r="E1375">
            <v>2.1754222633842035</v>
          </cell>
        </row>
        <row r="1376">
          <cell r="D1376">
            <v>1.5745556951937942</v>
          </cell>
          <cell r="E1376">
            <v>2.1718491899292252</v>
          </cell>
        </row>
        <row r="1377">
          <cell r="D1377">
            <v>1.5746530872811491</v>
          </cell>
          <cell r="E1377">
            <v>2.1712370329759905</v>
          </cell>
        </row>
        <row r="1378">
          <cell r="D1378">
            <v>1.5748480580307387</v>
          </cell>
          <cell r="E1378">
            <v>2.1700097684149493</v>
          </cell>
        </row>
        <row r="1379">
          <cell r="D1379">
            <v>1.5748758576878572</v>
          </cell>
          <cell r="E1379">
            <v>2.1698345875054597</v>
          </cell>
        </row>
        <row r="1380">
          <cell r="D1380">
            <v>1.5750570218963276</v>
          </cell>
          <cell r="E1380">
            <v>2.1686917944991317</v>
          </cell>
        </row>
        <row r="1381">
          <cell r="D1381">
            <v>1.5758105978366075</v>
          </cell>
          <cell r="E1381">
            <v>2.1639163572094162</v>
          </cell>
        </row>
        <row r="1382">
          <cell r="D1382">
            <v>1.5759781420788386</v>
          </cell>
          <cell r="E1382">
            <v>2.1628498564778407</v>
          </cell>
        </row>
        <row r="1383">
          <cell r="D1383">
            <v>1.5760061283108371</v>
          </cell>
          <cell r="E1383">
            <v>2.1626715420146039</v>
          </cell>
        </row>
        <row r="1384">
          <cell r="D1384">
            <v>1.576495700795931</v>
          </cell>
          <cell r="E1384">
            <v>2.1595444461973972</v>
          </cell>
        </row>
        <row r="1385">
          <cell r="D1385">
            <v>1.5767617565747969</v>
          </cell>
          <cell r="E1385">
            <v>2.1578388844601508</v>
          </cell>
        </row>
        <row r="1386">
          <cell r="D1386">
            <v>1.5768035493479147</v>
          </cell>
          <cell r="E1386">
            <v>2.1575705772445524</v>
          </cell>
        </row>
        <row r="1387">
          <cell r="D1387">
            <v>1.5769998261216642</v>
          </cell>
          <cell r="E1387">
            <v>2.1563090672184435</v>
          </cell>
        </row>
        <row r="1388">
          <cell r="D1388">
            <v>1.577041805469662</v>
          </cell>
          <cell r="E1388">
            <v>2.15603895299519</v>
          </cell>
        </row>
        <row r="1389">
          <cell r="D1389">
            <v>1.5770557985856613</v>
          </cell>
          <cell r="E1389">
            <v>2.1559488910920956</v>
          </cell>
        </row>
        <row r="1390">
          <cell r="D1390">
            <v>1.577210096011413</v>
          </cell>
          <cell r="E1390">
            <v>2.1549550191033466</v>
          </cell>
        </row>
        <row r="1391">
          <cell r="D1391">
            <v>1.5773222275142871</v>
          </cell>
          <cell r="E1391">
            <v>2.1542318420791173</v>
          </cell>
        </row>
        <row r="1392">
          <cell r="D1392">
            <v>1.5773783865531641</v>
          </cell>
          <cell r="E1392">
            <v>2.1538693652330765</v>
          </cell>
        </row>
        <row r="1393">
          <cell r="D1393">
            <v>1.5773923796691633</v>
          </cell>
          <cell r="E1393">
            <v>2.1537790173243412</v>
          </cell>
        </row>
        <row r="1394">
          <cell r="D1394">
            <v>1.5777854929413024</v>
          </cell>
          <cell r="E1394">
            <v>2.1512360001509649</v>
          </cell>
        </row>
        <row r="1395">
          <cell r="D1395">
            <v>1.5779681497488127</v>
          </cell>
          <cell r="E1395">
            <v>2.1500512325412848</v>
          </cell>
        </row>
        <row r="1396">
          <cell r="D1396">
            <v>1.5780524815945682</v>
          </cell>
          <cell r="E1396">
            <v>2.1495035522572374</v>
          </cell>
        </row>
        <row r="1397">
          <cell r="D1397">
            <v>1.5792777188314631</v>
          </cell>
          <cell r="E1397">
            <v>2.1414983653256869</v>
          </cell>
        </row>
        <row r="1398">
          <cell r="D1398">
            <v>1.5796023591226458</v>
          </cell>
          <cell r="E1398">
            <v>2.1393623189165853</v>
          </cell>
        </row>
        <row r="1399">
          <cell r="D1399">
            <v>1.5798850200658308</v>
          </cell>
          <cell r="E1399">
            <v>2.1374974088680281</v>
          </cell>
        </row>
        <row r="1400">
          <cell r="D1400">
            <v>1.580125328511258</v>
          </cell>
          <cell r="E1400">
            <v>2.1359082229412576</v>
          </cell>
        </row>
        <row r="1401">
          <cell r="D1401">
            <v>1.5803658235315652</v>
          </cell>
          <cell r="E1401">
            <v>2.1343144044885656</v>
          </cell>
        </row>
        <row r="1402">
          <cell r="D1402">
            <v>1.5803658235315652</v>
          </cell>
          <cell r="E1402">
            <v>2.1343144044885656</v>
          </cell>
        </row>
        <row r="1403">
          <cell r="D1403">
            <v>1.5808048342241818</v>
          </cell>
          <cell r="E1403">
            <v>2.1313962375856037</v>
          </cell>
        </row>
        <row r="1404">
          <cell r="D1404">
            <v>1.5811309671144045</v>
          </cell>
          <cell r="E1404">
            <v>2.1292211050913981</v>
          </cell>
        </row>
        <row r="1405">
          <cell r="D1405">
            <v>1.5814149340817494</v>
          </cell>
          <cell r="E1405">
            <v>2.127322162675847</v>
          </cell>
        </row>
        <row r="1406">
          <cell r="D1406">
            <v>1.5815709106814211</v>
          </cell>
          <cell r="E1406">
            <v>2.1262771287760165</v>
          </cell>
        </row>
        <row r="1407">
          <cell r="D1407">
            <v>1.5817699860783705</v>
          </cell>
          <cell r="E1407">
            <v>2.1249412929107678</v>
          </cell>
        </row>
        <row r="1408">
          <cell r="D1408">
            <v>1.5822821341239433</v>
          </cell>
          <cell r="E1408">
            <v>2.1214941863105978</v>
          </cell>
        </row>
        <row r="1409">
          <cell r="D1409">
            <v>1.582324673196581</v>
          </cell>
          <cell r="E1409">
            <v>2.1212071917208117</v>
          </cell>
        </row>
        <row r="1410">
          <cell r="D1410">
            <v>1.582381765109858</v>
          </cell>
          <cell r="E1410">
            <v>2.1208218518369155</v>
          </cell>
        </row>
        <row r="1411">
          <cell r="D1411">
            <v>1.5828661134983122</v>
          </cell>
          <cell r="E1411">
            <v>2.1175452647400128</v>
          </cell>
        </row>
        <row r="1412">
          <cell r="D1412">
            <v>1.5829802973248661</v>
          </cell>
          <cell r="E1412">
            <v>2.1167708701749</v>
          </cell>
        </row>
        <row r="1413">
          <cell r="D1413">
            <v>1.583508677384998</v>
          </cell>
          <cell r="E1413">
            <v>2.1131777636416875</v>
          </cell>
        </row>
        <row r="1414">
          <cell r="D1414">
            <v>1.5836945059654681</v>
          </cell>
          <cell r="E1414">
            <v>2.1119103330657247</v>
          </cell>
        </row>
        <row r="1415">
          <cell r="D1415">
            <v>1.5838803345459382</v>
          </cell>
          <cell r="E1415">
            <v>2.1106409565036808</v>
          </cell>
        </row>
        <row r="1416">
          <cell r="D1416">
            <v>1.5838803345459382</v>
          </cell>
          <cell r="E1416">
            <v>2.1106409565036808</v>
          </cell>
        </row>
        <row r="1417">
          <cell r="D1417">
            <v>1.5839948915222521</v>
          </cell>
          <cell r="E1417">
            <v>2.109857461523744</v>
          </cell>
        </row>
        <row r="1418">
          <cell r="D1418">
            <v>1.5850412034492365</v>
          </cell>
          <cell r="E1418">
            <v>2.1026674028842796</v>
          </cell>
        </row>
        <row r="1419">
          <cell r="D1419">
            <v>1.5858175415248752</v>
          </cell>
          <cell r="E1419">
            <v>2.0972932994289075</v>
          </cell>
        </row>
        <row r="1420">
          <cell r="D1420">
            <v>1.5867256014657869</v>
          </cell>
          <cell r="E1420">
            <v>2.0909654201919241</v>
          </cell>
        </row>
        <row r="1421">
          <cell r="D1421">
            <v>1.5867547071470653</v>
          </cell>
          <cell r="E1421">
            <v>2.090761852585588</v>
          </cell>
        </row>
        <row r="1422">
          <cell r="D1422">
            <v>1.5868700104228992</v>
          </cell>
          <cell r="E1422">
            <v>2.0899549603987086</v>
          </cell>
        </row>
        <row r="1423">
          <cell r="D1423">
            <v>1.5880275209783576</v>
          </cell>
          <cell r="E1423">
            <v>2.0818149968516906</v>
          </cell>
        </row>
        <row r="1424">
          <cell r="D1424">
            <v>1.5880857323409145</v>
          </cell>
          <cell r="E1424">
            <v>2.0814037407685779</v>
          </cell>
        </row>
        <row r="1425">
          <cell r="D1425">
            <v>1.5885935891642475</v>
          </cell>
          <cell r="E1425">
            <v>2.0778081503672956</v>
          </cell>
        </row>
        <row r="1426">
          <cell r="D1426">
            <v>1.5890150618181451</v>
          </cell>
          <cell r="E1426">
            <v>2.0748137836203826</v>
          </cell>
        </row>
        <row r="1427">
          <cell r="D1427">
            <v>1.5896992319030687</v>
          </cell>
          <cell r="E1427">
            <v>2.0699331907376481</v>
          </cell>
        </row>
        <row r="1428">
          <cell r="D1428">
            <v>1.5897578164153856</v>
          </cell>
          <cell r="E1428">
            <v>2.0695141347264032</v>
          </cell>
        </row>
        <row r="1429">
          <cell r="D1429">
            <v>1.5902830247025577</v>
          </cell>
          <cell r="E1429">
            <v>2.0657493398765117</v>
          </cell>
        </row>
        <row r="1430">
          <cell r="D1430">
            <v>1.590370528321273</v>
          </cell>
          <cell r="E1430">
            <v>2.0651207074182154</v>
          </cell>
        </row>
        <row r="1431">
          <cell r="D1431">
            <v>1.5904876973459068</v>
          </cell>
          <cell r="E1431">
            <v>2.0642783370393989</v>
          </cell>
        </row>
        <row r="1432">
          <cell r="D1432">
            <v>1.590502250186546</v>
          </cell>
          <cell r="E1432">
            <v>2.0641736619534852</v>
          </cell>
        </row>
        <row r="1433">
          <cell r="D1433">
            <v>1.5909556271449219</v>
          </cell>
          <cell r="E1433">
            <v>2.0609071707870652</v>
          </cell>
        </row>
        <row r="1434">
          <cell r="D1434">
            <v>1.5909849194010803</v>
          </cell>
          <cell r="E1434">
            <v>2.060695762868316</v>
          </cell>
        </row>
        <row r="1435">
          <cell r="D1435">
            <v>1.5916884932735229</v>
          </cell>
          <cell r="E1435">
            <v>2.0556047670400588</v>
          </cell>
        </row>
        <row r="1436">
          <cell r="D1436">
            <v>1.5920261938063049</v>
          </cell>
          <cell r="E1436">
            <v>2.0531522631639429</v>
          </cell>
        </row>
        <row r="1437">
          <cell r="D1437">
            <v>1.5920261938063049</v>
          </cell>
          <cell r="E1437">
            <v>2.0531522631639429</v>
          </cell>
        </row>
        <row r="1438">
          <cell r="D1438">
            <v>1.5920849648935018</v>
          </cell>
          <cell r="E1438">
            <v>2.0527248572605368</v>
          </cell>
        </row>
        <row r="1439">
          <cell r="D1439">
            <v>1.5921582888213379</v>
          </cell>
          <cell r="E1439">
            <v>2.0521913732543058</v>
          </cell>
        </row>
        <row r="1440">
          <cell r="D1440">
            <v>1.5922760175706117</v>
          </cell>
          <cell r="E1440">
            <v>2.05133424586744</v>
          </cell>
        </row>
        <row r="1441">
          <cell r="D1441">
            <v>1.5924377779915631</v>
          </cell>
          <cell r="E1441">
            <v>2.0501554078151671</v>
          </cell>
        </row>
        <row r="1442">
          <cell r="D1442">
            <v>1.5927616719832258</v>
          </cell>
          <cell r="E1442">
            <v>2.0477910682177662</v>
          </cell>
        </row>
        <row r="1443">
          <cell r="D1443">
            <v>1.5927911508142643</v>
          </cell>
          <cell r="E1443">
            <v>2.0475756200763295</v>
          </cell>
        </row>
        <row r="1444">
          <cell r="D1444">
            <v>1.5933072169323168</v>
          </cell>
          <cell r="E1444">
            <v>2.0437969015900572</v>
          </cell>
        </row>
        <row r="1445">
          <cell r="D1445">
            <v>1.5936173043828603</v>
          </cell>
          <cell r="E1445">
            <v>2.0415200373367868</v>
          </cell>
        </row>
        <row r="1446">
          <cell r="D1446">
            <v>1.5937798111033317</v>
          </cell>
          <cell r="E1446">
            <v>2.0403249111902979</v>
          </cell>
        </row>
        <row r="1447">
          <cell r="D1447">
            <v>1.5941792679213904</v>
          </cell>
          <cell r="E1447">
            <v>2.0373816608062341</v>
          </cell>
        </row>
        <row r="1448">
          <cell r="D1448">
            <v>1.5942087467524289</v>
          </cell>
          <cell r="E1448">
            <v>2.0371641469973181</v>
          </cell>
        </row>
        <row r="1449">
          <cell r="D1449">
            <v>1.5945345064928915</v>
          </cell>
          <cell r="E1449">
            <v>2.0347576560609357</v>
          </cell>
        </row>
        <row r="1450">
          <cell r="D1450">
            <v>1.594638242126166</v>
          </cell>
          <cell r="E1450">
            <v>2.0339902424702503</v>
          </cell>
        </row>
        <row r="1451">
          <cell r="D1451">
            <v>1.5946680941069644</v>
          </cell>
          <cell r="E1451">
            <v>2.0337693070954619</v>
          </cell>
        </row>
        <row r="1452">
          <cell r="D1452">
            <v>1.5952169974038952</v>
          </cell>
          <cell r="E1452">
            <v>2.0296991623951732</v>
          </cell>
        </row>
        <row r="1453">
          <cell r="D1453">
            <v>1.595558989158917</v>
          </cell>
          <cell r="E1453">
            <v>2.0271559303342856</v>
          </cell>
        </row>
        <row r="1454">
          <cell r="D1454">
            <v>1.595558989158917</v>
          </cell>
          <cell r="E1454">
            <v>2.0271559303342856</v>
          </cell>
        </row>
        <row r="1455">
          <cell r="D1455">
            <v>1.5956483585264323</v>
          </cell>
          <cell r="E1455">
            <v>2.0264904073638159</v>
          </cell>
        </row>
        <row r="1456">
          <cell r="D1456">
            <v>1.5965424253513447</v>
          </cell>
          <cell r="E1456">
            <v>2.0198114441117796</v>
          </cell>
        </row>
        <row r="1457">
          <cell r="D1457">
            <v>1.5966469072841392</v>
          </cell>
          <cell r="E1457">
            <v>2.0190284582586751</v>
          </cell>
        </row>
        <row r="1458">
          <cell r="D1458">
            <v>1.5970652081650769</v>
          </cell>
          <cell r="E1458">
            <v>2.0158885735210244</v>
          </cell>
        </row>
        <row r="1459">
          <cell r="D1459">
            <v>1.5973794002629802</v>
          </cell>
          <cell r="E1459">
            <v>2.0135247676290025</v>
          </cell>
        </row>
        <row r="1460">
          <cell r="D1460">
            <v>1.5980689810194235</v>
          </cell>
          <cell r="E1460">
            <v>2.0083206529662343</v>
          </cell>
        </row>
        <row r="1461">
          <cell r="D1461">
            <v>1.5980839070098227</v>
          </cell>
          <cell r="E1461">
            <v>2.0082077666044524</v>
          </cell>
        </row>
        <row r="1462">
          <cell r="D1462">
            <v>1.5980990195751019</v>
          </cell>
          <cell r="E1462">
            <v>2.0080934587045935</v>
          </cell>
        </row>
        <row r="1463">
          <cell r="D1463">
            <v>1.5984596688181227</v>
          </cell>
          <cell r="E1463">
            <v>2.0053624767542431</v>
          </cell>
        </row>
        <row r="1464">
          <cell r="D1464">
            <v>1.5987302023941083</v>
          </cell>
          <cell r="E1464">
            <v>2.0033099748288872</v>
          </cell>
        </row>
        <row r="1465">
          <cell r="D1465">
            <v>1.5987302023941083</v>
          </cell>
          <cell r="E1465">
            <v>2.0033099748288872</v>
          </cell>
        </row>
        <row r="1466">
          <cell r="D1466">
            <v>1.5989257328683379</v>
          </cell>
          <cell r="E1466">
            <v>2.0018244327063548</v>
          </cell>
        </row>
        <row r="1467">
          <cell r="D1467">
            <v>1.5993779903774339</v>
          </cell>
          <cell r="E1467">
            <v>1.9983817582900429</v>
          </cell>
        </row>
        <row r="1468">
          <cell r="D1468">
            <v>1.5993929163678331</v>
          </cell>
          <cell r="E1468">
            <v>1.9982679809693689</v>
          </cell>
        </row>
        <row r="1469">
          <cell r="D1469">
            <v>1.5998761453070074</v>
          </cell>
          <cell r="E1469">
            <v>1.9945790242535613</v>
          </cell>
        </row>
        <row r="1470">
          <cell r="D1470">
            <v>1.6001783966125913</v>
          </cell>
          <cell r="E1470">
            <v>1.9922663278440769</v>
          </cell>
        </row>
        <row r="1471">
          <cell r="D1471">
            <v>1.6002843711444257</v>
          </cell>
          <cell r="E1471">
            <v>1.9914544921969604</v>
          </cell>
        </row>
        <row r="1472">
          <cell r="D1472">
            <v>1.6003599339708217</v>
          </cell>
          <cell r="E1472">
            <v>1.9908753255634264</v>
          </cell>
        </row>
        <row r="1473">
          <cell r="D1473">
            <v>1.6003599339708217</v>
          </cell>
          <cell r="E1473">
            <v>1.9908753255634264</v>
          </cell>
        </row>
        <row r="1474">
          <cell r="D1474">
            <v>1.6005112461984936</v>
          </cell>
          <cell r="E1474">
            <v>1.9897148005092995</v>
          </cell>
        </row>
        <row r="1475">
          <cell r="D1475">
            <v>1.6011026885680621</v>
          </cell>
          <cell r="E1475">
            <v>1.9851688894020325</v>
          </cell>
        </row>
        <row r="1476">
          <cell r="D1476">
            <v>1.6014215450379652</v>
          </cell>
          <cell r="E1476">
            <v>1.9827117394755118</v>
          </cell>
        </row>
        <row r="1477">
          <cell r="D1477">
            <v>1.6014519567434036</v>
          </cell>
          <cell r="E1477">
            <v>1.9824771508776042</v>
          </cell>
        </row>
        <row r="1478">
          <cell r="D1478">
            <v>1.6014974810141211</v>
          </cell>
          <cell r="E1478">
            <v>1.9821259122433066</v>
          </cell>
        </row>
        <row r="1479">
          <cell r="D1479">
            <v>1.6018168972086642</v>
          </cell>
          <cell r="E1479">
            <v>1.9796589492176855</v>
          </cell>
        </row>
        <row r="1480">
          <cell r="D1480">
            <v>1.6019997405910544</v>
          </cell>
          <cell r="E1480">
            <v>1.978244795236535</v>
          </cell>
        </row>
        <row r="1481">
          <cell r="D1481">
            <v>1.6021366865529671</v>
          </cell>
          <cell r="E1481">
            <v>1.977184676978482</v>
          </cell>
        </row>
        <row r="1482">
          <cell r="D1482">
            <v>1.6023807264959942</v>
          </cell>
          <cell r="E1482">
            <v>1.9752935274734769</v>
          </cell>
        </row>
        <row r="1483">
          <cell r="D1483">
            <v>1.6028232821113306</v>
          </cell>
          <cell r="E1483">
            <v>1.9718575017873732</v>
          </cell>
        </row>
        <row r="1484">
          <cell r="D1484">
            <v>1.6036035382594491</v>
          </cell>
          <cell r="E1484">
            <v>1.9657792836270638</v>
          </cell>
        </row>
        <row r="1485">
          <cell r="D1485">
            <v>1.603680220535125</v>
          </cell>
          <cell r="E1485">
            <v>1.9651805412068388</v>
          </cell>
        </row>
        <row r="1486">
          <cell r="D1486">
            <v>1.6036955196752842</v>
          </cell>
          <cell r="E1486">
            <v>1.9650610545687384</v>
          </cell>
        </row>
        <row r="1487">
          <cell r="D1487">
            <v>1.6037722019509602</v>
          </cell>
          <cell r="E1487">
            <v>1.9644620164477384</v>
          </cell>
        </row>
        <row r="1488">
          <cell r="D1488">
            <v>1.6038180993714377</v>
          </cell>
          <cell r="E1488">
            <v>1.9641033503062246</v>
          </cell>
        </row>
        <row r="1489">
          <cell r="D1489">
            <v>1.6038949682219936</v>
          </cell>
          <cell r="E1489">
            <v>1.9635024601000981</v>
          </cell>
        </row>
        <row r="1490">
          <cell r="D1490">
            <v>1.6042938653154124</v>
          </cell>
          <cell r="E1490">
            <v>1.9603802924327873</v>
          </cell>
        </row>
        <row r="1491">
          <cell r="D1491">
            <v>1.6048476195592229</v>
          </cell>
          <cell r="E1491">
            <v>1.9560351293591147</v>
          </cell>
        </row>
        <row r="1492">
          <cell r="D1492">
            <v>1.6048938901294605</v>
          </cell>
          <cell r="E1492">
            <v>1.9556714847404235</v>
          </cell>
        </row>
        <row r="1493">
          <cell r="D1493">
            <v>1.6050480009803323</v>
          </cell>
          <cell r="E1493">
            <v>1.9544596805686301</v>
          </cell>
        </row>
        <row r="1494">
          <cell r="D1494">
            <v>1.6053254378268775</v>
          </cell>
          <cell r="E1494">
            <v>1.9522756926751785</v>
          </cell>
        </row>
        <row r="1495">
          <cell r="D1495">
            <v>1.6053409235419167</v>
          </cell>
          <cell r="E1495">
            <v>1.9521536963898125</v>
          </cell>
        </row>
        <row r="1496">
          <cell r="D1496">
            <v>1.6053717083971151</v>
          </cell>
          <cell r="E1496">
            <v>1.9519111446785307</v>
          </cell>
        </row>
        <row r="1497">
          <cell r="D1497">
            <v>1.6054644361124701</v>
          </cell>
          <cell r="E1497">
            <v>1.9511803167490462</v>
          </cell>
        </row>
        <row r="1498">
          <cell r="D1498">
            <v>1.6056650041084595</v>
          </cell>
          <cell r="E1498">
            <v>1.949598358902628</v>
          </cell>
        </row>
        <row r="1499">
          <cell r="D1499">
            <v>1.6058040023940521</v>
          </cell>
          <cell r="E1499">
            <v>1.9485010704960228</v>
          </cell>
        </row>
        <row r="1500">
          <cell r="D1500">
            <v>1.6059894578247622</v>
          </cell>
          <cell r="E1500">
            <v>1.9470358240596035</v>
          </cell>
        </row>
        <row r="1501">
          <cell r="D1501">
            <v>1.6062062578353107</v>
          </cell>
          <cell r="E1501">
            <v>1.9453211777399526</v>
          </cell>
        </row>
        <row r="1502">
          <cell r="D1502">
            <v>1.6062834998356266</v>
          </cell>
          <cell r="E1502">
            <v>1.9447098245751109</v>
          </cell>
        </row>
        <row r="1503">
          <cell r="D1503">
            <v>1.6066245587162484</v>
          </cell>
          <cell r="E1503">
            <v>1.9420075725922143</v>
          </cell>
        </row>
        <row r="1504">
          <cell r="D1504">
            <v>1.607121221046782</v>
          </cell>
          <cell r="E1504">
            <v>1.9380641992946077</v>
          </cell>
        </row>
        <row r="1505">
          <cell r="D1505">
            <v>1.6071521924768604</v>
          </cell>
          <cell r="E1505">
            <v>1.9378179714907398</v>
          </cell>
        </row>
        <row r="1506">
          <cell r="D1506">
            <v>1.6073542530718896</v>
          </cell>
          <cell r="E1506">
            <v>1.9362106326711372</v>
          </cell>
        </row>
        <row r="1507">
          <cell r="D1507">
            <v>1.6078990517214606</v>
          </cell>
          <cell r="E1507">
            <v>1.9318689502983131</v>
          </cell>
        </row>
        <row r="1508">
          <cell r="D1508">
            <v>1.6080861863260907</v>
          </cell>
          <cell r="E1508">
            <v>1.9303749511139239</v>
          </cell>
        </row>
        <row r="1509">
          <cell r="D1509">
            <v>1.6083514958054366</v>
          </cell>
          <cell r="E1509">
            <v>1.9282545215602516</v>
          </cell>
        </row>
        <row r="1510">
          <cell r="D1510">
            <v>1.6085544892748658</v>
          </cell>
          <cell r="E1510">
            <v>1.9266303123138755</v>
          </cell>
        </row>
        <row r="1511">
          <cell r="D1511">
            <v>1.6088828610636483</v>
          </cell>
          <cell r="E1511">
            <v>1.9239995787747224</v>
          </cell>
        </row>
        <row r="1512">
          <cell r="D1512">
            <v>1.6090548831029992</v>
          </cell>
          <cell r="E1512">
            <v>1.9226197948817896</v>
          </cell>
        </row>
        <row r="1513">
          <cell r="D1513">
            <v>1.609321312031625</v>
          </cell>
          <cell r="E1513">
            <v>1.9204805640187286</v>
          </cell>
        </row>
        <row r="1514">
          <cell r="D1514">
            <v>1.6095563963804125</v>
          </cell>
          <cell r="E1514">
            <v>1.9185907848776911</v>
          </cell>
        </row>
        <row r="1515">
          <cell r="D1515">
            <v>1.6097291647192833</v>
          </cell>
          <cell r="E1515">
            <v>1.9172006248459283</v>
          </cell>
        </row>
        <row r="1516">
          <cell r="D1516">
            <v>1.6097448370092025</v>
          </cell>
          <cell r="E1516">
            <v>1.9170744643512774</v>
          </cell>
        </row>
        <row r="1517">
          <cell r="D1517">
            <v>1.6100903736869441</v>
          </cell>
          <cell r="E1517">
            <v>1.9142905986247016</v>
          </cell>
        </row>
        <row r="1518">
          <cell r="D1518">
            <v>1.6103420632000507</v>
          </cell>
          <cell r="E1518">
            <v>1.9122600348554664</v>
          </cell>
        </row>
        <row r="1519">
          <cell r="D1519">
            <v>1.6108461885257839</v>
          </cell>
          <cell r="E1519">
            <v>1.9081858640485108</v>
          </cell>
        </row>
        <row r="1520">
          <cell r="D1520">
            <v>1.610862047390583</v>
          </cell>
          <cell r="E1520">
            <v>1.9080575468737877</v>
          </cell>
        </row>
        <row r="1521">
          <cell r="D1521">
            <v>1.6111460143579279</v>
          </cell>
          <cell r="E1521">
            <v>1.9057583623858596</v>
          </cell>
        </row>
        <row r="1522">
          <cell r="D1522">
            <v>1.611351433300797</v>
          </cell>
          <cell r="E1522">
            <v>1.9040933282727384</v>
          </cell>
        </row>
        <row r="1523">
          <cell r="D1523">
            <v>1.6118893286798084</v>
          </cell>
          <cell r="E1523">
            <v>1.8997261765518041</v>
          </cell>
        </row>
        <row r="1524">
          <cell r="D1524">
            <v>1.6119844818686033</v>
          </cell>
          <cell r="E1524">
            <v>1.8989525512901619</v>
          </cell>
        </row>
        <row r="1525">
          <cell r="D1525">
            <v>1.6122380371305098</v>
          </cell>
          <cell r="E1525">
            <v>1.8968894918255441</v>
          </cell>
        </row>
        <row r="1526">
          <cell r="D1526">
            <v>1.6124124846433006</v>
          </cell>
          <cell r="E1526">
            <v>1.895468769106633</v>
          </cell>
        </row>
        <row r="1527">
          <cell r="D1527">
            <v>1.6125080109818555</v>
          </cell>
          <cell r="E1527">
            <v>1.8946903342702637</v>
          </cell>
        </row>
        <row r="1528">
          <cell r="D1528">
            <v>1.61317576247734</v>
          </cell>
          <cell r="E1528">
            <v>1.889239936898331</v>
          </cell>
        </row>
        <row r="1529">
          <cell r="D1529">
            <v>1.6142931594336005</v>
          </cell>
          <cell r="E1529">
            <v>1.8800848170860114</v>
          </cell>
        </row>
        <row r="1530">
          <cell r="D1530">
            <v>1.6145651856086261</v>
          </cell>
          <cell r="E1530">
            <v>1.8778495837932563</v>
          </cell>
        </row>
        <row r="1531">
          <cell r="D1531">
            <v>1.6152551395148294</v>
          </cell>
          <cell r="E1531">
            <v>1.8721690895569301</v>
          </cell>
        </row>
        <row r="1532">
          <cell r="D1532">
            <v>1.6153353667132251</v>
          </cell>
          <cell r="E1532">
            <v>1.8715075363823024</v>
          </cell>
        </row>
        <row r="1533">
          <cell r="D1533">
            <v>1.6153353667132251</v>
          </cell>
          <cell r="E1533">
            <v>1.8715075363823024</v>
          </cell>
        </row>
        <row r="1534">
          <cell r="D1534">
            <v>1.6161887602142997</v>
          </cell>
          <cell r="E1534">
            <v>1.8644573313699864</v>
          </cell>
        </row>
        <row r="1535">
          <cell r="D1535">
            <v>1.6162048056539788</v>
          </cell>
          <cell r="E1535">
            <v>1.864324545808608</v>
          </cell>
        </row>
        <row r="1536">
          <cell r="D1536">
            <v>1.6164954893170034</v>
          </cell>
          <cell r="E1536">
            <v>1.8619175204852976</v>
          </cell>
        </row>
        <row r="1537">
          <cell r="D1537">
            <v>1.6169318879613002</v>
          </cell>
          <cell r="E1537">
            <v>1.858298779976316</v>
          </cell>
        </row>
        <row r="1538">
          <cell r="D1538">
            <v>1.6169966294446567</v>
          </cell>
          <cell r="E1538">
            <v>1.8577614058247158</v>
          </cell>
        </row>
        <row r="1539">
          <cell r="D1539">
            <v>1.6173205234363195</v>
          </cell>
          <cell r="E1539">
            <v>1.8550709839226887</v>
          </cell>
        </row>
        <row r="1540">
          <cell r="D1540">
            <v>1.6175962811089448</v>
          </cell>
          <cell r="E1540">
            <v>1.8527777891109878</v>
          </cell>
        </row>
        <row r="1541">
          <cell r="D1541">
            <v>1.6177100917857388</v>
          </cell>
          <cell r="E1541">
            <v>1.851830644386091</v>
          </cell>
        </row>
        <row r="1542">
          <cell r="D1542">
            <v>1.6178724119313301</v>
          </cell>
          <cell r="E1542">
            <v>1.8504790965254034</v>
          </cell>
        </row>
        <row r="1543">
          <cell r="D1543">
            <v>1.6180186866372424</v>
          </cell>
          <cell r="E1543">
            <v>1.8492604452722927</v>
          </cell>
        </row>
        <row r="1544">
          <cell r="D1544">
            <v>1.6181976119471528</v>
          </cell>
          <cell r="E1544">
            <v>1.8477688688882552</v>
          </cell>
        </row>
        <row r="1545">
          <cell r="D1545">
            <v>1.6186049049101712</v>
          </cell>
          <cell r="E1545">
            <v>1.8443698590726312</v>
          </cell>
        </row>
        <row r="1546">
          <cell r="D1546">
            <v>1.6187515527658434</v>
          </cell>
          <cell r="E1546">
            <v>1.8431447806144883</v>
          </cell>
        </row>
        <row r="1547">
          <cell r="D1547">
            <v>1.6188168539738399</v>
          </cell>
          <cell r="E1547">
            <v>1.8425990506558458</v>
          </cell>
        </row>
        <row r="1548">
          <cell r="D1548">
            <v>1.6188657365923973</v>
          </cell>
          <cell r="E1548">
            <v>1.8421904476669073</v>
          </cell>
        </row>
        <row r="1549">
          <cell r="D1549">
            <v>1.6191269414243834</v>
          </cell>
          <cell r="E1549">
            <v>1.8400058413554081</v>
          </cell>
        </row>
        <row r="1550">
          <cell r="D1550">
            <v>1.619830701871706</v>
          </cell>
          <cell r="E1550">
            <v>1.8341096489902182</v>
          </cell>
        </row>
        <row r="1551">
          <cell r="D1551">
            <v>1.6198799576400233</v>
          </cell>
          <cell r="E1551">
            <v>1.8336964236008519</v>
          </cell>
        </row>
        <row r="1552">
          <cell r="D1552">
            <v>1.6202572120473633</v>
          </cell>
          <cell r="E1552">
            <v>1.8305291105075481</v>
          </cell>
        </row>
        <row r="1553">
          <cell r="D1553">
            <v>1.6203228864051198</v>
          </cell>
          <cell r="E1553">
            <v>1.8299772997325729</v>
          </cell>
        </row>
        <row r="1554">
          <cell r="D1554">
            <v>1.6206516313436623</v>
          </cell>
          <cell r="E1554">
            <v>1.8272132115458322</v>
          </cell>
        </row>
        <row r="1555">
          <cell r="D1555">
            <v>1.6209973545962839</v>
          </cell>
          <cell r="E1555">
            <v>1.8243029763834056</v>
          </cell>
        </row>
        <row r="1556">
          <cell r="D1556">
            <v>1.621013959760603</v>
          </cell>
          <cell r="E1556">
            <v>1.8241631101167499</v>
          </cell>
        </row>
        <row r="1557">
          <cell r="D1557">
            <v>1.6212941952303481</v>
          </cell>
          <cell r="E1557">
            <v>1.8218014739246473</v>
          </cell>
        </row>
        <row r="1558">
          <cell r="D1558">
            <v>1.6213434509986655</v>
          </cell>
          <cell r="E1558">
            <v>1.8213861466885022</v>
          </cell>
        </row>
        <row r="1559">
          <cell r="D1559">
            <v>1.6215748038498532</v>
          </cell>
          <cell r="E1559">
            <v>1.8194344409144381</v>
          </cell>
        </row>
        <row r="1560">
          <cell r="D1560">
            <v>1.621690480275447</v>
          </cell>
          <cell r="E1560">
            <v>1.8184580172403337</v>
          </cell>
        </row>
        <row r="1561">
          <cell r="D1561">
            <v>1.6217565277829635</v>
          </cell>
          <cell r="E1561">
            <v>1.8179003407866952</v>
          </cell>
        </row>
        <row r="1562">
          <cell r="D1562">
            <v>1.6221867694562206</v>
          </cell>
          <cell r="E1562">
            <v>1.8142645586570294</v>
          </cell>
        </row>
        <row r="1563">
          <cell r="D1563">
            <v>1.6227838090721889</v>
          </cell>
          <cell r="E1563">
            <v>1.8092106842944236</v>
          </cell>
        </row>
        <row r="1564">
          <cell r="D1564">
            <v>1.623232708233445</v>
          </cell>
          <cell r="E1564">
            <v>1.8054043397586996</v>
          </cell>
        </row>
        <row r="1565">
          <cell r="D1565">
            <v>1.6232494999726441</v>
          </cell>
          <cell r="E1565">
            <v>1.8052618512077285</v>
          </cell>
        </row>
        <row r="1566">
          <cell r="D1566">
            <v>1.6234491350942335</v>
          </cell>
          <cell r="E1566">
            <v>1.8035672353708436</v>
          </cell>
        </row>
        <row r="1567">
          <cell r="D1567">
            <v>1.6241667020826753</v>
          </cell>
          <cell r="E1567">
            <v>1.797467282945898</v>
          </cell>
        </row>
        <row r="1568">
          <cell r="D1568">
            <v>1.6242170773002726</v>
          </cell>
          <cell r="E1568">
            <v>1.7970385344017523</v>
          </cell>
        </row>
        <row r="1569">
          <cell r="D1569">
            <v>1.624417645296262</v>
          </cell>
          <cell r="E1569">
            <v>1.7953308164473301</v>
          </cell>
        </row>
        <row r="1570">
          <cell r="D1570">
            <v>1.6254240301989284</v>
          </cell>
          <cell r="E1570">
            <v>1.7867462223624806</v>
          </cell>
        </row>
        <row r="1571">
          <cell r="D1571">
            <v>1.6254408219381276</v>
          </cell>
          <cell r="E1571">
            <v>1.7866027655073131</v>
          </cell>
        </row>
        <row r="1572">
          <cell r="D1572">
            <v>1.6256089259049986</v>
          </cell>
          <cell r="E1572">
            <v>1.7851662076047703</v>
          </cell>
        </row>
        <row r="1573">
          <cell r="D1573">
            <v>1.6257100494899532</v>
          </cell>
          <cell r="E1573">
            <v>1.7843016953506809</v>
          </cell>
        </row>
        <row r="1574">
          <cell r="D1574">
            <v>1.6259794636166589</v>
          </cell>
          <cell r="E1574">
            <v>1.7819971965369314</v>
          </cell>
        </row>
        <row r="1575">
          <cell r="D1575">
            <v>1.6260470037232153</v>
          </cell>
          <cell r="E1575">
            <v>1.7814191900411103</v>
          </cell>
        </row>
        <row r="1576">
          <cell r="D1576">
            <v>1.6260637954624144</v>
          </cell>
          <cell r="E1576">
            <v>1.7812754690433692</v>
          </cell>
        </row>
        <row r="1577">
          <cell r="D1577">
            <v>1.6261313355689708</v>
          </cell>
          <cell r="E1577">
            <v>1.7806973200663252</v>
          </cell>
        </row>
        <row r="1578">
          <cell r="D1578">
            <v>1.6262664157820836</v>
          </cell>
          <cell r="E1578">
            <v>1.7795406807972065</v>
          </cell>
        </row>
        <row r="1579">
          <cell r="D1579">
            <v>1.6266716564214221</v>
          </cell>
          <cell r="E1579">
            <v>1.7760680492304084</v>
          </cell>
        </row>
        <row r="1580">
          <cell r="D1580">
            <v>1.6268746498908513</v>
          </cell>
          <cell r="E1580">
            <v>1.7743270171267793</v>
          </cell>
        </row>
        <row r="1581">
          <cell r="D1581">
            <v>1.6269765197753259</v>
          </cell>
          <cell r="E1581">
            <v>1.7734529214217907</v>
          </cell>
        </row>
        <row r="1582">
          <cell r="D1582">
            <v>1.6272645913900305</v>
          </cell>
          <cell r="E1582">
            <v>1.7709797563653249</v>
          </cell>
        </row>
        <row r="1583">
          <cell r="D1583">
            <v>1.6274172096418624</v>
          </cell>
          <cell r="E1583">
            <v>1.7696686797946493</v>
          </cell>
        </row>
        <row r="1584">
          <cell r="D1584">
            <v>1.6274172096418624</v>
          </cell>
          <cell r="E1584">
            <v>1.7696686797946493</v>
          </cell>
        </row>
        <row r="1585">
          <cell r="D1585">
            <v>1.6276549060389698</v>
          </cell>
          <cell r="E1585">
            <v>1.7676256224199385</v>
          </cell>
        </row>
        <row r="1586">
          <cell r="D1586">
            <v>1.6279439105280744</v>
          </cell>
          <cell r="E1586">
            <v>1.7651397487293981</v>
          </cell>
        </row>
        <row r="1587">
          <cell r="D1587">
            <v>1.6279780537311126</v>
          </cell>
          <cell r="E1587">
            <v>1.7648459352933601</v>
          </cell>
        </row>
        <row r="1588">
          <cell r="D1588">
            <v>1.6281993315387808</v>
          </cell>
          <cell r="E1588">
            <v>1.762941102768866</v>
          </cell>
        </row>
        <row r="1589">
          <cell r="D1589">
            <v>1.6284377742354081</v>
          </cell>
          <cell r="E1589">
            <v>1.7608872270861475</v>
          </cell>
        </row>
        <row r="1590">
          <cell r="D1590">
            <v>1.6289157790779427</v>
          </cell>
          <cell r="E1590">
            <v>1.7567658678455438</v>
          </cell>
        </row>
        <row r="1591">
          <cell r="D1591">
            <v>1.6293949033697572</v>
          </cell>
          <cell r="E1591">
            <v>1.7526296157742396</v>
          </cell>
        </row>
        <row r="1592">
          <cell r="D1592">
            <v>1.6299609715556471</v>
          </cell>
          <cell r="E1592">
            <v>1.747736133489016</v>
          </cell>
        </row>
        <row r="1593">
          <cell r="D1593">
            <v>1.6301844882618752</v>
          </cell>
          <cell r="E1593">
            <v>1.7458019463435615</v>
          </cell>
        </row>
        <row r="1594">
          <cell r="D1594">
            <v>1.6307009275296878</v>
          </cell>
          <cell r="E1594">
            <v>1.7413288020138071</v>
          </cell>
        </row>
        <row r="1595">
          <cell r="D1595">
            <v>1.6308046631629622</v>
          </cell>
          <cell r="E1595">
            <v>1.7404295992950591</v>
          </cell>
        </row>
        <row r="1596">
          <cell r="D1596">
            <v>1.6313054301408556</v>
          </cell>
          <cell r="E1596">
            <v>1.7360856140583236</v>
          </cell>
        </row>
        <row r="1597">
          <cell r="D1597">
            <v>1.6314091657741301</v>
          </cell>
          <cell r="E1597">
            <v>1.7351850788192746</v>
          </cell>
        </row>
        <row r="1598">
          <cell r="D1598">
            <v>1.6315823072627609</v>
          </cell>
          <cell r="E1598">
            <v>1.7336815246413708</v>
          </cell>
        </row>
        <row r="1599">
          <cell r="D1599">
            <v>1.6320155341340978</v>
          </cell>
          <cell r="E1599">
            <v>1.7299166681799509</v>
          </cell>
        </row>
        <row r="1600">
          <cell r="D1600">
            <v>1.6323106955942421</v>
          </cell>
          <cell r="E1600">
            <v>1.7273494262263616</v>
          </cell>
        </row>
        <row r="1601">
          <cell r="D1601">
            <v>1.6323976394883175</v>
          </cell>
          <cell r="E1601">
            <v>1.726592871364476</v>
          </cell>
        </row>
        <row r="1602">
          <cell r="D1602">
            <v>1.6327629531033381</v>
          </cell>
          <cell r="E1602">
            <v>1.7234123756001603</v>
          </cell>
        </row>
        <row r="1603">
          <cell r="D1603">
            <v>1.6339506887893549</v>
          </cell>
          <cell r="E1603">
            <v>1.7130534737132241</v>
          </cell>
        </row>
        <row r="1604">
          <cell r="D1604">
            <v>1.6342133862203809</v>
          </cell>
          <cell r="E1604">
            <v>1.710758664223599</v>
          </cell>
        </row>
        <row r="1605">
          <cell r="D1605">
            <v>1.6349339384069026</v>
          </cell>
          <cell r="E1605">
            <v>1.704457586057734</v>
          </cell>
        </row>
        <row r="1606">
          <cell r="D1606">
            <v>1.635057077827696</v>
          </cell>
          <cell r="E1606">
            <v>1.7033797966284008</v>
          </cell>
        </row>
        <row r="1607">
          <cell r="D1607">
            <v>1.6351630523595304</v>
          </cell>
          <cell r="E1607">
            <v>1.702452022792772</v>
          </cell>
        </row>
        <row r="1608">
          <cell r="D1608">
            <v>1.6354802296555135</v>
          </cell>
          <cell r="E1608">
            <v>1.6996740183845895</v>
          </cell>
        </row>
        <row r="1609">
          <cell r="D1609">
            <v>1.6356921787191823</v>
          </cell>
          <cell r="E1609">
            <v>1.6978166501056431</v>
          </cell>
        </row>
        <row r="1610">
          <cell r="D1610">
            <v>1.6358865897441319</v>
          </cell>
          <cell r="E1610">
            <v>1.6961122697401347</v>
          </cell>
        </row>
        <row r="1611">
          <cell r="D1611">
            <v>1.635904500932611</v>
          </cell>
          <cell r="E1611">
            <v>1.6959552106634841</v>
          </cell>
        </row>
        <row r="1612">
          <cell r="D1612">
            <v>1.637182165710783</v>
          </cell>
          <cell r="E1612">
            <v>1.6847373298261112</v>
          </cell>
        </row>
        <row r="1613">
          <cell r="D1613">
            <v>1.6374672521274078</v>
          </cell>
          <cell r="E1613">
            <v>1.6822305038486955</v>
          </cell>
        </row>
        <row r="1614">
          <cell r="D1614">
            <v>1.6376635289011574</v>
          </cell>
          <cell r="E1614">
            <v>1.6805038209350385</v>
          </cell>
        </row>
        <row r="1615">
          <cell r="D1615">
            <v>1.6376993512781155</v>
          </cell>
          <cell r="E1615">
            <v>1.6801886168526674</v>
          </cell>
        </row>
        <row r="1616">
          <cell r="D1616">
            <v>1.6380206332214584</v>
          </cell>
          <cell r="E1616">
            <v>1.677360699196994</v>
          </cell>
        </row>
        <row r="1617">
          <cell r="D1617">
            <v>1.6382713898601651</v>
          </cell>
          <cell r="E1617">
            <v>1.675152390649608</v>
          </cell>
        </row>
        <row r="1618">
          <cell r="D1618">
            <v>1.6385758800643089</v>
          </cell>
          <cell r="E1618">
            <v>1.6724695320206018</v>
          </cell>
        </row>
        <row r="1619">
          <cell r="D1619">
            <v>1.6387732762873384</v>
          </cell>
          <cell r="E1619">
            <v>1.6707295001525662</v>
          </cell>
        </row>
        <row r="1620">
          <cell r="D1620">
            <v>1.6391684418831574</v>
          </cell>
          <cell r="E1620">
            <v>1.6672443371302859</v>
          </cell>
        </row>
        <row r="1621">
          <cell r="D1621">
            <v>1.6392766553135516</v>
          </cell>
          <cell r="E1621">
            <v>1.6662895323923552</v>
          </cell>
        </row>
        <row r="1622">
          <cell r="D1622">
            <v>1.6405946202658015</v>
          </cell>
          <cell r="E1622">
            <v>1.6546467209104392</v>
          </cell>
        </row>
        <row r="1623">
          <cell r="D1623">
            <v>1.6407759710491518</v>
          </cell>
          <cell r="E1623">
            <v>1.6530427163709374</v>
          </cell>
        </row>
        <row r="1624">
          <cell r="D1624">
            <v>1.6410118016974593</v>
          </cell>
          <cell r="E1624">
            <v>1.6509561605064116</v>
          </cell>
        </row>
        <row r="1625">
          <cell r="D1625">
            <v>1.6416666795262245</v>
          </cell>
          <cell r="E1625">
            <v>1.6451579922102513</v>
          </cell>
        </row>
        <row r="1626">
          <cell r="D1626">
            <v>1.6423424537415485</v>
          </cell>
          <cell r="E1626">
            <v>1.639168794715923</v>
          </cell>
        </row>
        <row r="1627">
          <cell r="D1627">
            <v>1.6432771938902988</v>
          </cell>
          <cell r="E1627">
            <v>1.630874796731411</v>
          </cell>
        </row>
        <row r="1628">
          <cell r="D1628">
            <v>1.6440324490044986</v>
          </cell>
          <cell r="E1628">
            <v>1.6241655560415142</v>
          </cell>
        </row>
        <row r="1629">
          <cell r="D1629">
            <v>1.6448459154812554</v>
          </cell>
          <cell r="E1629">
            <v>1.6169317648667796</v>
          </cell>
        </row>
        <row r="1630">
          <cell r="D1630">
            <v>1.6450869702262025</v>
          </cell>
          <cell r="E1630">
            <v>1.6147867479210305</v>
          </cell>
        </row>
        <row r="1631">
          <cell r="D1631">
            <v>1.6453283981209097</v>
          </cell>
          <cell r="E1631">
            <v>1.6126377753914982</v>
          </cell>
        </row>
        <row r="1632">
          <cell r="D1632">
            <v>1.6457564008956069</v>
          </cell>
          <cell r="E1632">
            <v>1.6088265513143987</v>
          </cell>
        </row>
        <row r="1633">
          <cell r="D1633">
            <v>1.6461291775058271</v>
          </cell>
          <cell r="E1633">
            <v>1.6055055404256606</v>
          </cell>
        </row>
        <row r="1634">
          <cell r="D1634">
            <v>1.6465403885413252</v>
          </cell>
          <cell r="E1634">
            <v>1.6018404875754668</v>
          </cell>
        </row>
        <row r="1635">
          <cell r="D1635">
            <v>1.6472900464091254</v>
          </cell>
          <cell r="E1635">
            <v>1.5951546614304239</v>
          </cell>
        </row>
        <row r="1636">
          <cell r="D1636">
            <v>1.6480613469630043</v>
          </cell>
          <cell r="E1636">
            <v>1.5882703491447152</v>
          </cell>
        </row>
        <row r="1637">
          <cell r="D1637">
            <v>1.6482124726157963</v>
          </cell>
          <cell r="E1637">
            <v>1.5869208418086018</v>
          </cell>
        </row>
        <row r="1638">
          <cell r="D1638">
            <v>1.6485147239213802</v>
          </cell>
          <cell r="E1638">
            <v>1.5842212358643009</v>
          </cell>
        </row>
        <row r="1639">
          <cell r="D1639">
            <v>1.6495196162250068</v>
          </cell>
          <cell r="E1639">
            <v>1.5752404385887835</v>
          </cell>
        </row>
        <row r="1640">
          <cell r="D1640">
            <v>1.6506256321135879</v>
          </cell>
          <cell r="E1640">
            <v>1.5653468874790206</v>
          </cell>
        </row>
        <row r="1641">
          <cell r="D1641">
            <v>1.6506640665388659</v>
          </cell>
          <cell r="E1641">
            <v>1.5650029247248998</v>
          </cell>
        </row>
        <row r="1642">
          <cell r="D1642">
            <v>1.6507789966649398</v>
          </cell>
          <cell r="E1642">
            <v>1.5639743149949856</v>
          </cell>
        </row>
        <row r="1643">
          <cell r="D1643">
            <v>1.6508170579404577</v>
          </cell>
          <cell r="E1643">
            <v>1.5636336515207945</v>
          </cell>
        </row>
        <row r="1644">
          <cell r="D1644">
            <v>1.6509894531295686</v>
          </cell>
          <cell r="E1644">
            <v>1.5620905231921036</v>
          </cell>
        </row>
        <row r="1645">
          <cell r="D1645">
            <v>1.6512390903189953</v>
          </cell>
          <cell r="E1645">
            <v>1.5598556411976203</v>
          </cell>
        </row>
        <row r="1646">
          <cell r="D1646">
            <v>1.6512771515945133</v>
          </cell>
          <cell r="E1646">
            <v>1.5595148608611042</v>
          </cell>
        </row>
        <row r="1647">
          <cell r="D1647">
            <v>1.6517193340600897</v>
          </cell>
          <cell r="E1647">
            <v>1.555555115246618</v>
          </cell>
        </row>
        <row r="1648">
          <cell r="D1648">
            <v>1.6520275557618334</v>
          </cell>
          <cell r="E1648">
            <v>1.5527942695110586</v>
          </cell>
        </row>
        <row r="1649">
          <cell r="D1649">
            <v>1.6520853939746303</v>
          </cell>
          <cell r="E1649">
            <v>1.5522761292896285</v>
          </cell>
        </row>
        <row r="1650">
          <cell r="D1650">
            <v>1.6521626359749462</v>
          </cell>
          <cell r="E1650">
            <v>1.5515841304583418</v>
          </cell>
        </row>
        <row r="1651">
          <cell r="D1651">
            <v>1.6533436549652833</v>
          </cell>
          <cell r="E1651">
            <v>1.5409993921463332</v>
          </cell>
        </row>
        <row r="1652">
          <cell r="D1652">
            <v>1.6534798546276761</v>
          </cell>
          <cell r="E1652">
            <v>1.5397782441768562</v>
          </cell>
        </row>
        <row r="1653">
          <cell r="D1653">
            <v>1.6539276343396523</v>
          </cell>
          <cell r="E1653">
            <v>1.5357628720739835</v>
          </cell>
        </row>
        <row r="1654">
          <cell r="D1654">
            <v>1.6547481906618486</v>
          </cell>
          <cell r="E1654">
            <v>1.5284023281872023</v>
          </cell>
        </row>
        <row r="1655">
          <cell r="D1655">
            <v>1.6555332977568469</v>
          </cell>
          <cell r="E1655">
            <v>1.5213571926156322</v>
          </cell>
        </row>
        <row r="1656">
          <cell r="D1656">
            <v>1.6557299476803564</v>
          </cell>
          <cell r="E1656">
            <v>1.5195922054495772</v>
          </cell>
        </row>
        <row r="1657">
          <cell r="D1657">
            <v>1.6560057053529817</v>
          </cell>
          <cell r="E1657">
            <v>1.5171169838203065</v>
          </cell>
        </row>
        <row r="1658">
          <cell r="D1658">
            <v>1.6572729219378743</v>
          </cell>
          <cell r="E1658">
            <v>1.5057394289120904</v>
          </cell>
        </row>
        <row r="1659">
          <cell r="D1659">
            <v>1.6575315147215406</v>
          </cell>
          <cell r="E1659">
            <v>1.5034171750659151</v>
          </cell>
        </row>
        <row r="1660">
          <cell r="D1660">
            <v>1.6576706995820132</v>
          </cell>
          <cell r="E1660">
            <v>1.5021671852773903</v>
          </cell>
        </row>
        <row r="1661">
          <cell r="D1661">
            <v>1.6578901116408815</v>
          </cell>
          <cell r="E1661">
            <v>1.5001966108731355</v>
          </cell>
        </row>
        <row r="1662">
          <cell r="D1662">
            <v>1.6580296696511141</v>
          </cell>
          <cell r="E1662">
            <v>1.4989431694844058</v>
          </cell>
        </row>
        <row r="1663">
          <cell r="D1663">
            <v>1.6583494589954171</v>
          </cell>
          <cell r="E1663">
            <v>1.496070847025937</v>
          </cell>
        </row>
        <row r="1664">
          <cell r="D1664">
            <v>1.6584893901554096</v>
          </cell>
          <cell r="E1664">
            <v>1.4948139430660696</v>
          </cell>
        </row>
        <row r="1665">
          <cell r="D1665">
            <v>1.6591711347668934</v>
          </cell>
          <cell r="E1665">
            <v>1.488689913942971</v>
          </cell>
        </row>
        <row r="1666">
          <cell r="D1666">
            <v>1.6591912848539323</v>
          </cell>
          <cell r="E1666">
            <v>1.4885088995722253</v>
          </cell>
        </row>
        <row r="1667">
          <cell r="D1667">
            <v>1.6593319623134448</v>
          </cell>
          <cell r="E1667">
            <v>1.4872451395048867</v>
          </cell>
        </row>
        <row r="1668">
          <cell r="D1668">
            <v>1.6600375885095673</v>
          </cell>
          <cell r="E1668">
            <v>1.4809059783515706</v>
          </cell>
        </row>
        <row r="1669">
          <cell r="D1669">
            <v>1.6601383389447619</v>
          </cell>
          <cell r="E1669">
            <v>1.4800008376804101</v>
          </cell>
        </row>
        <row r="1670">
          <cell r="D1670">
            <v>1.6601588621815608</v>
          </cell>
          <cell r="E1670">
            <v>1.4798164566338288</v>
          </cell>
        </row>
        <row r="1671">
          <cell r="D1671">
            <v>1.6612335334903037</v>
          </cell>
          <cell r="E1671">
            <v>1.4701614963017982</v>
          </cell>
        </row>
        <row r="1672">
          <cell r="D1672">
            <v>1.6616813132022799</v>
          </cell>
          <cell r="E1672">
            <v>1.4661386561799503</v>
          </cell>
        </row>
        <row r="1673">
          <cell r="D1673">
            <v>1.6620488657158603</v>
          </cell>
          <cell r="E1673">
            <v>1.4628366640722876</v>
          </cell>
        </row>
        <row r="1674">
          <cell r="D1674">
            <v>1.6621309586630559</v>
          </cell>
          <cell r="E1674">
            <v>1.4620991779395103</v>
          </cell>
        </row>
        <row r="1675">
          <cell r="D1675">
            <v>1.662355967968324</v>
          </cell>
          <cell r="E1675">
            <v>1.46007782804696</v>
          </cell>
        </row>
        <row r="1676">
          <cell r="D1676">
            <v>1.6623970144419218</v>
          </cell>
          <cell r="E1676">
            <v>1.4597090964825536</v>
          </cell>
        </row>
        <row r="1677">
          <cell r="D1677">
            <v>1.6625608271865531</v>
          </cell>
          <cell r="E1677">
            <v>1.4582375410147888</v>
          </cell>
        </row>
        <row r="1678">
          <cell r="D1678">
            <v>1.6627660595545422</v>
          </cell>
          <cell r="E1678">
            <v>1.4563939521883886</v>
          </cell>
        </row>
        <row r="1679">
          <cell r="D1679">
            <v>1.6630537580194868</v>
          </cell>
          <cell r="E1679">
            <v>1.4538096714395645</v>
          </cell>
        </row>
        <row r="1680">
          <cell r="D1680">
            <v>1.6632798867740348</v>
          </cell>
          <cell r="E1680">
            <v>1.4517785343638168</v>
          </cell>
        </row>
        <row r="1681">
          <cell r="D1681">
            <v>1.6633623528709904</v>
          </cell>
          <cell r="E1681">
            <v>1.4510378269794642</v>
          </cell>
        </row>
        <row r="1682">
          <cell r="D1682">
            <v>1.663444818967946</v>
          </cell>
          <cell r="E1682">
            <v>1.4502971313063966</v>
          </cell>
        </row>
        <row r="1683">
          <cell r="D1683">
            <v>1.6637955797423274</v>
          </cell>
          <cell r="E1683">
            <v>1.4471468004315871</v>
          </cell>
        </row>
        <row r="1684">
          <cell r="D1684">
            <v>1.6643959777061355</v>
          </cell>
          <cell r="E1684">
            <v>1.4417549606850102</v>
          </cell>
        </row>
        <row r="1685">
          <cell r="D1685">
            <v>1.664478816952851</v>
          </cell>
          <cell r="E1685">
            <v>1.441011092225492</v>
          </cell>
        </row>
        <row r="1686">
          <cell r="D1686">
            <v>1.6645825525861255</v>
          </cell>
          <cell r="E1686">
            <v>1.4400796050457991</v>
          </cell>
        </row>
        <row r="1687">
          <cell r="D1687">
            <v>1.6663986724679489</v>
          </cell>
          <cell r="E1687">
            <v>1.4237769167180085</v>
          </cell>
        </row>
        <row r="1688">
          <cell r="D1688">
            <v>1.6666927144788133</v>
          </cell>
          <cell r="E1688">
            <v>1.4211384467057409</v>
          </cell>
        </row>
        <row r="1689">
          <cell r="D1689">
            <v>1.6674517010906129</v>
          </cell>
          <cell r="E1689">
            <v>1.4143295714231674</v>
          </cell>
        </row>
        <row r="1690">
          <cell r="D1690">
            <v>1.6675785720090062</v>
          </cell>
          <cell r="E1690">
            <v>1.4131916493279575</v>
          </cell>
        </row>
        <row r="1691">
          <cell r="D1691">
            <v>1.6676629038547617</v>
          </cell>
          <cell r="E1691">
            <v>1.412435305371929</v>
          </cell>
        </row>
        <row r="1692">
          <cell r="D1692">
            <v>1.6680229933731425</v>
          </cell>
          <cell r="E1692">
            <v>1.4092061487160779</v>
          </cell>
        </row>
        <row r="1693">
          <cell r="D1693">
            <v>1.6683629328044844</v>
          </cell>
          <cell r="E1693">
            <v>1.406158253685458</v>
          </cell>
        </row>
        <row r="1694">
          <cell r="D1694">
            <v>1.6684054718771222</v>
          </cell>
          <cell r="E1694">
            <v>1.4057768883517046</v>
          </cell>
        </row>
        <row r="1695">
          <cell r="D1695">
            <v>1.6684689073363188</v>
          </cell>
          <cell r="E1695">
            <v>1.4052082024028449</v>
          </cell>
        </row>
        <row r="1696">
          <cell r="D1696">
            <v>1.6687032453855863</v>
          </cell>
          <cell r="E1696">
            <v>1.403107585890581</v>
          </cell>
        </row>
        <row r="1697">
          <cell r="D1697">
            <v>1.6690443042662082</v>
          </cell>
          <cell r="E1697">
            <v>1.4000508281853568</v>
          </cell>
        </row>
        <row r="1698">
          <cell r="D1698">
            <v>1.6691081128751648</v>
          </cell>
          <cell r="E1698">
            <v>1.3994790090014602</v>
          </cell>
        </row>
        <row r="1699">
          <cell r="D1699">
            <v>1.6691935641702003</v>
          </cell>
          <cell r="E1699">
            <v>1.3987132740491992</v>
          </cell>
        </row>
        <row r="1700">
          <cell r="D1700">
            <v>1.6698999366658427</v>
          </cell>
          <cell r="E1700">
            <v>1.392384988833882</v>
          </cell>
        </row>
        <row r="1701">
          <cell r="D1701">
            <v>1.6708469907566723</v>
          </cell>
          <cell r="E1701">
            <v>1.3839051464668113</v>
          </cell>
        </row>
        <row r="1702">
          <cell r="D1702">
            <v>1.671886212838217</v>
          </cell>
          <cell r="E1702">
            <v>1.3746067783674505</v>
          </cell>
        </row>
        <row r="1703">
          <cell r="D1703">
            <v>1.6727358748416918</v>
          </cell>
          <cell r="E1703">
            <v>1.3670101958541696</v>
          </cell>
        </row>
        <row r="1704">
          <cell r="D1704">
            <v>1.6735463561203687</v>
          </cell>
          <cell r="E1704">
            <v>1.3597690766219863</v>
          </cell>
        </row>
        <row r="1705">
          <cell r="D1705">
            <v>1.673766141328997</v>
          </cell>
          <cell r="E1705">
            <v>1.3578063515511691</v>
          </cell>
        </row>
        <row r="1706">
          <cell r="D1706">
            <v>1.674162426374096</v>
          </cell>
          <cell r="E1706">
            <v>1.3542684667149016</v>
          </cell>
        </row>
        <row r="1707">
          <cell r="D1707">
            <v>1.6741844422099348</v>
          </cell>
          <cell r="E1707">
            <v>1.3540719565690456</v>
          </cell>
        </row>
        <row r="1708">
          <cell r="D1708">
            <v>1.6752688154124371</v>
          </cell>
          <cell r="E1708">
            <v>1.3443982634421547</v>
          </cell>
        </row>
        <row r="1709">
          <cell r="D1709">
            <v>1.6753800140409112</v>
          </cell>
          <cell r="E1709">
            <v>1.3434068601246985</v>
          </cell>
        </row>
        <row r="1710">
          <cell r="D1710">
            <v>1.67540202987675</v>
          </cell>
          <cell r="E1710">
            <v>1.3432105891614872</v>
          </cell>
        </row>
        <row r="1711">
          <cell r="D1711">
            <v>1.6766740974085224</v>
          </cell>
          <cell r="E1711">
            <v>1.3318779761303092</v>
          </cell>
        </row>
        <row r="1712">
          <cell r="D1712">
            <v>1.6768983604142704</v>
          </cell>
          <cell r="E1712">
            <v>1.3298817110030341</v>
          </cell>
        </row>
        <row r="1713">
          <cell r="D1713">
            <v>1.6769207493998692</v>
          </cell>
          <cell r="E1713">
            <v>1.3296824446695779</v>
          </cell>
        </row>
        <row r="1714">
          <cell r="D1714">
            <v>1.6771229965697785</v>
          </cell>
          <cell r="E1714">
            <v>1.3278826380099233</v>
          </cell>
        </row>
        <row r="1715">
          <cell r="D1715">
            <v>1.6771681476907361</v>
          </cell>
          <cell r="E1715">
            <v>1.3274808936289293</v>
          </cell>
        </row>
        <row r="1716">
          <cell r="D1716">
            <v>1.6772804657684901</v>
          </cell>
          <cell r="E1716">
            <v>1.3264816046092964</v>
          </cell>
        </row>
        <row r="1717">
          <cell r="D1717">
            <v>1.6775957773156733</v>
          </cell>
          <cell r="E1717">
            <v>1.3236769964157415</v>
          </cell>
        </row>
        <row r="1718">
          <cell r="D1718">
            <v>1.6776633174222297</v>
          </cell>
          <cell r="E1718">
            <v>1.3230763824481715</v>
          </cell>
        </row>
        <row r="1719">
          <cell r="D1719">
            <v>1.6779118351623765</v>
          </cell>
          <cell r="E1719">
            <v>1.3208668077914489</v>
          </cell>
        </row>
        <row r="1720">
          <cell r="D1720">
            <v>1.6782510282941985</v>
          </cell>
          <cell r="E1720">
            <v>1.3178521138921899</v>
          </cell>
        </row>
        <row r="1721">
          <cell r="D1721">
            <v>1.6789092644708035</v>
          </cell>
          <cell r="E1721">
            <v>1.3120054435165811</v>
          </cell>
        </row>
        <row r="1722">
          <cell r="D1722">
            <v>1.6793421181923804</v>
          </cell>
          <cell r="E1722">
            <v>1.3081633688824994</v>
          </cell>
        </row>
        <row r="1723">
          <cell r="D1723">
            <v>1.6804638063708808</v>
          </cell>
          <cell r="E1723">
            <v>1.2982173444046134</v>
          </cell>
        </row>
        <row r="1724">
          <cell r="D1724">
            <v>1.6807858346137436</v>
          </cell>
          <cell r="E1724">
            <v>1.2953647319386448</v>
          </cell>
        </row>
        <row r="1725">
          <cell r="D1725">
            <v>1.6810395764505301</v>
          </cell>
          <cell r="E1725">
            <v>1.2931179275297182</v>
          </cell>
        </row>
        <row r="1726">
          <cell r="D1726">
            <v>1.6810627117356489</v>
          </cell>
          <cell r="E1726">
            <v>1.2929131120447475</v>
          </cell>
        </row>
        <row r="1727">
          <cell r="D1727">
            <v>1.6822441038757461</v>
          </cell>
          <cell r="E1727">
            <v>1.2824634384558642</v>
          </cell>
        </row>
        <row r="1728">
          <cell r="D1728">
            <v>1.6823836618859787</v>
          </cell>
          <cell r="E1728">
            <v>1.2812302233525357</v>
          </cell>
        </row>
        <row r="1729">
          <cell r="D1729">
            <v>1.6825232198962112</v>
          </cell>
          <cell r="E1729">
            <v>1.2799972684879437</v>
          </cell>
        </row>
        <row r="1730">
          <cell r="D1730">
            <v>1.683693044393749</v>
          </cell>
          <cell r="E1730">
            <v>1.2696726470073507</v>
          </cell>
        </row>
        <row r="1731">
          <cell r="D1731">
            <v>1.6839516371774153</v>
          </cell>
          <cell r="E1731">
            <v>1.2673929342211847</v>
          </cell>
        </row>
        <row r="1732">
          <cell r="D1732">
            <v>1.6844468069089089</v>
          </cell>
          <cell r="E1732">
            <v>1.2630302622664</v>
          </cell>
        </row>
        <row r="1733">
          <cell r="D1733">
            <v>1.6848248076157688</v>
          </cell>
          <cell r="E1733">
            <v>1.2597022946657073</v>
          </cell>
        </row>
        <row r="1734">
          <cell r="D1734">
            <v>1.6850143676938387</v>
          </cell>
          <cell r="E1734">
            <v>1.258034173077996</v>
          </cell>
        </row>
        <row r="1735">
          <cell r="D1735">
            <v>1.6854655057536547</v>
          </cell>
          <cell r="E1735">
            <v>1.2540663247326493</v>
          </cell>
        </row>
        <row r="1736">
          <cell r="D1736">
            <v>1.6855128957731722</v>
          </cell>
          <cell r="E1736">
            <v>1.2536496973436475</v>
          </cell>
        </row>
        <row r="1737">
          <cell r="D1737">
            <v>1.6857509653200395</v>
          </cell>
          <cell r="E1737">
            <v>1.2515572330783979</v>
          </cell>
        </row>
        <row r="1738">
          <cell r="D1738">
            <v>1.6865151760284789</v>
          </cell>
          <cell r="E1738">
            <v>1.2448462264998346</v>
          </cell>
        </row>
        <row r="1739">
          <cell r="D1739">
            <v>1.6872596097996393</v>
          </cell>
          <cell r="E1739">
            <v>1.238317676821769</v>
          </cell>
        </row>
        <row r="1740">
          <cell r="D1740">
            <v>1.6878383650773685</v>
          </cell>
          <cell r="E1740">
            <v>1.233248230510523</v>
          </cell>
        </row>
        <row r="1741">
          <cell r="D1741">
            <v>1.6878626198117672</v>
          </cell>
          <cell r="E1741">
            <v>1.2330358967859989</v>
          </cell>
        </row>
        <row r="1742">
          <cell r="D1742">
            <v>1.6882742039970253</v>
          </cell>
          <cell r="E1742">
            <v>1.2294342312302149</v>
          </cell>
        </row>
        <row r="1743">
          <cell r="D1743">
            <v>1.688298458731424</v>
          </cell>
          <cell r="E1743">
            <v>1.2292220717127009</v>
          </cell>
        </row>
        <row r="1744">
          <cell r="D1744">
            <v>1.6884197324034176</v>
          </cell>
          <cell r="E1744">
            <v>1.2281614207782678</v>
          </cell>
        </row>
        <row r="1745">
          <cell r="D1745">
            <v>1.6885898886939685</v>
          </cell>
          <cell r="E1745">
            <v>1.2266736593726077</v>
          </cell>
        </row>
        <row r="1746">
          <cell r="D1746">
            <v>1.6886141434283672</v>
          </cell>
          <cell r="E1746">
            <v>1.2264616275656015</v>
          </cell>
        </row>
        <row r="1747">
          <cell r="D1747">
            <v>1.6890033386280265</v>
          </cell>
          <cell r="E1747">
            <v>1.2230606869511953</v>
          </cell>
        </row>
        <row r="1748">
          <cell r="D1748">
            <v>1.6914612760970158</v>
          </cell>
          <cell r="E1748">
            <v>1.2016429236626269</v>
          </cell>
        </row>
        <row r="1749">
          <cell r="D1749">
            <v>1.6917840506393986</v>
          </cell>
          <cell r="E1749">
            <v>1.1988383855838136</v>
          </cell>
        </row>
        <row r="1750">
          <cell r="D1750">
            <v>1.6923568355209682</v>
          </cell>
          <cell r="E1750">
            <v>1.1938662815379193</v>
          </cell>
        </row>
        <row r="1751">
          <cell r="D1751">
            <v>1.6924064644390455</v>
          </cell>
          <cell r="E1751">
            <v>1.1934357614545392</v>
          </cell>
        </row>
        <row r="1752">
          <cell r="D1752">
            <v>1.6924064644390455</v>
          </cell>
          <cell r="E1752">
            <v>1.1934357614545392</v>
          </cell>
        </row>
        <row r="1753">
          <cell r="D1753">
            <v>1.6927564789139069</v>
          </cell>
          <cell r="E1753">
            <v>1.1904007759427759</v>
          </cell>
        </row>
        <row r="1754">
          <cell r="D1754">
            <v>1.6933583694767549</v>
          </cell>
          <cell r="E1754">
            <v>1.1851871962302079</v>
          </cell>
        </row>
        <row r="1755">
          <cell r="D1755">
            <v>1.6933833705106736</v>
          </cell>
          <cell r="E1755">
            <v>1.1849707869639698</v>
          </cell>
        </row>
        <row r="1756">
          <cell r="D1756">
            <v>1.6933833705106736</v>
          </cell>
          <cell r="E1756">
            <v>1.1849707869639698</v>
          </cell>
        </row>
        <row r="1757">
          <cell r="D1757">
            <v>1.6935094951295468</v>
          </cell>
          <cell r="E1757">
            <v>1.1838792340989388</v>
          </cell>
        </row>
        <row r="1758">
          <cell r="D1758">
            <v>1.6938117464351308</v>
          </cell>
          <cell r="E1758">
            <v>1.1812646335091705</v>
          </cell>
        </row>
        <row r="1759">
          <cell r="D1759">
            <v>1.6944938641963745</v>
          </cell>
          <cell r="E1759">
            <v>1.175370578146506</v>
          </cell>
        </row>
        <row r="1760">
          <cell r="D1760">
            <v>1.6949509726523502</v>
          </cell>
          <cell r="E1760">
            <v>1.1714259288998872</v>
          </cell>
        </row>
        <row r="1761">
          <cell r="D1761">
            <v>1.6953073306731312</v>
          </cell>
          <cell r="E1761">
            <v>1.168353610528051</v>
          </cell>
        </row>
        <row r="1762">
          <cell r="D1762">
            <v>1.6966905968333776</v>
          </cell>
          <cell r="E1762">
            <v>1.1564523566379683</v>
          </cell>
        </row>
        <row r="1763">
          <cell r="D1763">
            <v>1.6967163441668163</v>
          </cell>
          <cell r="E1763">
            <v>1.1562312078291657</v>
          </cell>
        </row>
        <row r="1764">
          <cell r="D1764">
            <v>1.6995522823426654</v>
          </cell>
          <cell r="E1764">
            <v>1.1319593014787934</v>
          </cell>
        </row>
        <row r="1765">
          <cell r="D1765">
            <v>1.6996052696085826</v>
          </cell>
          <cell r="E1765">
            <v>1.1315074671567671</v>
          </cell>
        </row>
        <row r="1766">
          <cell r="D1766">
            <v>1.6996313900917812</v>
          </cell>
          <cell r="E1766">
            <v>1.1312847549028717</v>
          </cell>
        </row>
        <row r="1767">
          <cell r="D1767">
            <v>1.7000000620546416</v>
          </cell>
          <cell r="E1767">
            <v>1.1281429539090029</v>
          </cell>
        </row>
        <row r="1768">
          <cell r="D1768">
            <v>1.7004228407326991</v>
          </cell>
          <cell r="E1768">
            <v>1.1245438118605762</v>
          </cell>
        </row>
        <row r="1769">
          <cell r="D1769">
            <v>1.7006347897963678</v>
          </cell>
          <cell r="E1769">
            <v>1.1227409952517189</v>
          </cell>
        </row>
        <row r="1770">
          <cell r="D1770">
            <v>1.7007941247438794</v>
          </cell>
          <cell r="E1770">
            <v>1.1213863805658426</v>
          </cell>
        </row>
        <row r="1771">
          <cell r="D1771">
            <v>1.7009799533243495</v>
          </cell>
          <cell r="E1771">
            <v>1.1198072565547452</v>
          </cell>
        </row>
        <row r="1772">
          <cell r="D1772">
            <v>1.7014859443988826</v>
          </cell>
          <cell r="E1772">
            <v>1.1155114855934778</v>
          </cell>
        </row>
        <row r="1773">
          <cell r="D1773">
            <v>1.7016993860615912</v>
          </cell>
          <cell r="E1773">
            <v>1.1137011759182163</v>
          </cell>
        </row>
        <row r="1774">
          <cell r="D1774">
            <v>1.702906898684887</v>
          </cell>
          <cell r="E1774">
            <v>1.1034796686780197</v>
          </cell>
        </row>
        <row r="1775">
          <cell r="D1775">
            <v>1.7029337654676056</v>
          </cell>
          <cell r="E1775">
            <v>1.1032526341383937</v>
          </cell>
        </row>
        <row r="1776">
          <cell r="D1776">
            <v>1.7030419788979998</v>
          </cell>
          <cell r="E1776">
            <v>1.1023383631960384</v>
          </cell>
        </row>
        <row r="1777">
          <cell r="D1777">
            <v>1.7032039258938312</v>
          </cell>
          <cell r="E1777">
            <v>1.1009706303999889</v>
          </cell>
        </row>
        <row r="1778">
          <cell r="D1778">
            <v>1.7036640195478867</v>
          </cell>
          <cell r="E1778">
            <v>1.0970883058767216</v>
          </cell>
        </row>
        <row r="1779">
          <cell r="D1779">
            <v>1.7039897792883494</v>
          </cell>
          <cell r="E1779">
            <v>1.0943425867053949</v>
          </cell>
        </row>
        <row r="1780">
          <cell r="D1780">
            <v>1.7040987390182636</v>
          </cell>
          <cell r="E1780">
            <v>1.093424774814707</v>
          </cell>
        </row>
        <row r="1781">
          <cell r="D1781">
            <v>1.7052737876124411</v>
          </cell>
          <cell r="E1781">
            <v>1.083545293439975</v>
          </cell>
        </row>
        <row r="1782">
          <cell r="D1782">
            <v>1.7066533222750877</v>
          </cell>
          <cell r="E1782">
            <v>1.0719902717555521</v>
          </cell>
        </row>
        <row r="1783">
          <cell r="D1783">
            <v>1.7072373016494566</v>
          </cell>
          <cell r="E1783">
            <v>1.0671133263051638</v>
          </cell>
        </row>
        <row r="1784">
          <cell r="D1784">
            <v>1.7077675474583884</v>
          </cell>
          <cell r="E1784">
            <v>1.0626926879690761</v>
          </cell>
        </row>
        <row r="1785">
          <cell r="D1785">
            <v>1.7083004053156401</v>
          </cell>
          <cell r="E1785">
            <v>1.058257592291753</v>
          </cell>
        </row>
        <row r="1786">
          <cell r="D1786">
            <v>1.7085817602346651</v>
          </cell>
          <cell r="E1786">
            <v>1.0559187932185492</v>
          </cell>
        </row>
        <row r="1787">
          <cell r="D1787">
            <v>1.7086660920804206</v>
          </cell>
          <cell r="E1787">
            <v>1.0552181770927511</v>
          </cell>
        </row>
        <row r="1788">
          <cell r="D1788">
            <v>1.7090612576762396</v>
          </cell>
          <cell r="E1788">
            <v>1.0519376888862861</v>
          </cell>
        </row>
        <row r="1789">
          <cell r="D1789">
            <v>1.7092310408170306</v>
          </cell>
          <cell r="E1789">
            <v>1.0505294885080965</v>
          </cell>
        </row>
        <row r="1790">
          <cell r="D1790">
            <v>1.7095142614848555</v>
          </cell>
          <cell r="E1790">
            <v>1.0481821218780381</v>
          </cell>
        </row>
        <row r="1791">
          <cell r="D1791">
            <v>1.7097131503069249</v>
          </cell>
          <cell r="E1791">
            <v>1.0465349803519093</v>
          </cell>
        </row>
        <row r="1792">
          <cell r="D1792">
            <v>1.7106251283203164</v>
          </cell>
          <cell r="E1792">
            <v>1.0389957758126847</v>
          </cell>
        </row>
        <row r="1793">
          <cell r="D1793">
            <v>1.7114285197535537</v>
          </cell>
          <cell r="E1793">
            <v>1.0323728398283829</v>
          </cell>
        </row>
        <row r="1794">
          <cell r="D1794">
            <v>1.7139581019764591</v>
          </cell>
          <cell r="E1794">
            <v>1.0116357877281581</v>
          </cell>
        </row>
        <row r="1795">
          <cell r="D1795">
            <v>1.7145469322977078</v>
          </cell>
          <cell r="E1795">
            <v>1.0068344181958997</v>
          </cell>
        </row>
        <row r="1796">
          <cell r="D1796">
            <v>1.7150495650244011</v>
          </cell>
          <cell r="E1796">
            <v>1.0027437306735003</v>
          </cell>
        </row>
        <row r="1797">
          <cell r="D1797">
            <v>1.7153760710643837</v>
          </cell>
          <cell r="E1797">
            <v>1.0000903368180805</v>
          </cell>
        </row>
        <row r="1798">
          <cell r="D1798">
            <v>1.7159712449315521</v>
          </cell>
          <cell r="E1798">
            <v>0.99526149468173419</v>
          </cell>
        </row>
        <row r="1799">
          <cell r="D1799">
            <v>1.7163895458124898</v>
          </cell>
          <cell r="E1799">
            <v>0.99187383372643312</v>
          </cell>
        </row>
        <row r="1800">
          <cell r="D1800">
            <v>1.7164197709430482</v>
          </cell>
          <cell r="E1800">
            <v>0.99162924939976904</v>
          </cell>
        </row>
        <row r="1801">
          <cell r="D1801">
            <v>1.7166597062387154</v>
          </cell>
          <cell r="E1801">
            <v>0.98968862008871883</v>
          </cell>
        </row>
        <row r="1802">
          <cell r="D1802">
            <v>1.7168097124422275</v>
          </cell>
          <cell r="E1802">
            <v>0.98847620600524233</v>
          </cell>
        </row>
        <row r="1803">
          <cell r="D1803">
            <v>1.7168697895535843</v>
          </cell>
          <cell r="E1803">
            <v>0.98799082232901125</v>
          </cell>
        </row>
        <row r="1804">
          <cell r="D1804">
            <v>1.7169000146841427</v>
          </cell>
          <cell r="E1804">
            <v>0.98774666316676962</v>
          </cell>
        </row>
        <row r="1805">
          <cell r="D1805">
            <v>1.7170806191679731</v>
          </cell>
          <cell r="E1805">
            <v>0.98628829655371331</v>
          </cell>
        </row>
        <row r="1806">
          <cell r="D1806">
            <v>1.7172612236518034</v>
          </cell>
          <cell r="E1806">
            <v>0.98483089045409866</v>
          </cell>
        </row>
        <row r="1807">
          <cell r="D1807">
            <v>1.7173515258937186</v>
          </cell>
          <cell r="E1807">
            <v>0.98410254825587906</v>
          </cell>
        </row>
        <row r="1808">
          <cell r="D1808">
            <v>1.7174724264159522</v>
          </cell>
          <cell r="E1808">
            <v>0.98312778966579195</v>
          </cell>
        </row>
        <row r="1809">
          <cell r="D1809">
            <v>1.7179869999349648</v>
          </cell>
          <cell r="E1809">
            <v>0.9789838937498575</v>
          </cell>
        </row>
        <row r="1810">
          <cell r="D1810">
            <v>1.7182299204287119</v>
          </cell>
          <cell r="E1810">
            <v>0.97703037434139395</v>
          </cell>
        </row>
        <row r="1811">
          <cell r="D1811">
            <v>1.7187784505758827</v>
          </cell>
          <cell r="E1811">
            <v>0.97262568981366893</v>
          </cell>
        </row>
        <row r="1812">
          <cell r="D1812">
            <v>1.7188392739867595</v>
          </cell>
          <cell r="E1812">
            <v>0.97213783498037187</v>
          </cell>
        </row>
        <row r="1813">
          <cell r="D1813">
            <v>1.7189918922385914</v>
          </cell>
          <cell r="E1813">
            <v>0.97091419834413695</v>
          </cell>
        </row>
        <row r="1814">
          <cell r="D1814">
            <v>1.7208718207293714</v>
          </cell>
          <cell r="E1814">
            <v>0.9558995526472962</v>
          </cell>
        </row>
        <row r="1815">
          <cell r="D1815">
            <v>1.7209031653092097</v>
          </cell>
          <cell r="E1815">
            <v>0.95565012440748109</v>
          </cell>
        </row>
        <row r="1816">
          <cell r="D1816">
            <v>1.7209651081693664</v>
          </cell>
          <cell r="E1816">
            <v>0.95515729561330998</v>
          </cell>
        </row>
        <row r="1817">
          <cell r="D1817">
            <v>1.721744244868205</v>
          </cell>
          <cell r="E1817">
            <v>0.94896845624303128</v>
          </cell>
        </row>
        <row r="1818">
          <cell r="D1818">
            <v>1.7218696231875583</v>
          </cell>
          <cell r="E1818">
            <v>0.94797430768289326</v>
          </cell>
        </row>
        <row r="1819">
          <cell r="D1819">
            <v>1.7224345719241683</v>
          </cell>
          <cell r="E1819">
            <v>0.94350079401838394</v>
          </cell>
        </row>
        <row r="1820">
          <cell r="D1820">
            <v>1.7226233857027182</v>
          </cell>
          <cell r="E1820">
            <v>0.94200790590217942</v>
          </cell>
        </row>
        <row r="1821">
          <cell r="D1821">
            <v>1.7228756349404648</v>
          </cell>
          <cell r="E1821">
            <v>0.94001519829326885</v>
          </cell>
        </row>
        <row r="1822">
          <cell r="D1822">
            <v>1.7230338504386964</v>
          </cell>
          <cell r="E1822">
            <v>0.93876635425941923</v>
          </cell>
        </row>
        <row r="1823">
          <cell r="D1823">
            <v>1.7240495640853624</v>
          </cell>
          <cell r="E1823">
            <v>0.93076782832123828</v>
          </cell>
        </row>
        <row r="1824">
          <cell r="D1824">
            <v>1.72465705189461</v>
          </cell>
          <cell r="E1824">
            <v>0.92599964725316108</v>
          </cell>
        </row>
        <row r="1825">
          <cell r="D1825">
            <v>1.7254929073569656</v>
          </cell>
          <cell r="E1825">
            <v>0.91945831263196509</v>
          </cell>
        </row>
        <row r="1826">
          <cell r="D1826">
            <v>1.7256220171739187</v>
          </cell>
          <cell r="E1826">
            <v>0.91844991403876919</v>
          </cell>
        </row>
        <row r="1827">
          <cell r="D1827">
            <v>1.7258809831073449</v>
          </cell>
          <cell r="E1827">
            <v>0.91642891077294708</v>
          </cell>
        </row>
        <row r="1828">
          <cell r="D1828">
            <v>1.7260750209825346</v>
          </cell>
          <cell r="E1828">
            <v>0.91491603635219076</v>
          </cell>
        </row>
        <row r="1829">
          <cell r="D1829">
            <v>1.7260750209825346</v>
          </cell>
          <cell r="E1829">
            <v>0.91491603635219076</v>
          </cell>
        </row>
        <row r="1830">
          <cell r="D1830">
            <v>1.7263671972445991</v>
          </cell>
          <cell r="E1830">
            <v>0.91264030008457786</v>
          </cell>
        </row>
        <row r="1831">
          <cell r="D1831">
            <v>1.7284661646444874</v>
          </cell>
          <cell r="E1831">
            <v>0.89637364722475721</v>
          </cell>
        </row>
        <row r="1832">
          <cell r="D1832">
            <v>1.7284990018233657</v>
          </cell>
          <cell r="E1832">
            <v>0.89612031690079508</v>
          </cell>
        </row>
        <row r="1833">
          <cell r="D1833">
            <v>1.7287975216313498</v>
          </cell>
          <cell r="E1833">
            <v>0.89381895401997258</v>
          </cell>
        </row>
        <row r="1834">
          <cell r="D1834">
            <v>1.7302662390866317</v>
          </cell>
          <cell r="E1834">
            <v>0.88253950544928694</v>
          </cell>
        </row>
        <row r="1835">
          <cell r="D1835">
            <v>1.7318222735857489</v>
          </cell>
          <cell r="E1835">
            <v>0.87066864670336586</v>
          </cell>
        </row>
        <row r="1836">
          <cell r="D1836">
            <v>1.7327446997924199</v>
          </cell>
          <cell r="E1836">
            <v>0.86367039813484936</v>
          </cell>
        </row>
        <row r="1837">
          <cell r="D1837">
            <v>1.733813773854763</v>
          </cell>
          <cell r="E1837">
            <v>0.8555960911824958</v>
          </cell>
        </row>
        <row r="1838">
          <cell r="D1838">
            <v>1.734508951857606</v>
          </cell>
          <cell r="E1838">
            <v>0.85036686192013966</v>
          </cell>
        </row>
        <row r="1839">
          <cell r="D1839">
            <v>1.7345432816355242</v>
          </cell>
          <cell r="E1839">
            <v>0.85010906285141219</v>
          </cell>
        </row>
        <row r="1840">
          <cell r="D1840">
            <v>1.7346134337904004</v>
          </cell>
          <cell r="E1840">
            <v>0.84958238346331483</v>
          </cell>
        </row>
        <row r="1841">
          <cell r="D1841">
            <v>1.7352776403631651</v>
          </cell>
          <cell r="E1841">
            <v>0.84460423217984826</v>
          </cell>
        </row>
        <row r="1842">
          <cell r="D1842">
            <v>1.7356642235145046</v>
          </cell>
          <cell r="E1842">
            <v>0.84171392895665464</v>
          </cell>
        </row>
        <row r="1843">
          <cell r="D1843">
            <v>1.7363351467829489</v>
          </cell>
          <cell r="E1843">
            <v>0.83671018439867006</v>
          </cell>
        </row>
        <row r="1844">
          <cell r="D1844">
            <v>1.7372239895112216</v>
          </cell>
          <cell r="E1844">
            <v>0.83010560945103928</v>
          </cell>
        </row>
        <row r="1845">
          <cell r="D1845">
            <v>1.7374023550964921</v>
          </cell>
          <cell r="E1845">
            <v>0.82878362313429843</v>
          </cell>
        </row>
        <row r="1846">
          <cell r="D1846">
            <v>1.7376531117351988</v>
          </cell>
          <cell r="E1846">
            <v>0.82692700619255255</v>
          </cell>
        </row>
        <row r="1847">
          <cell r="D1847">
            <v>1.7379758862775816</v>
          </cell>
          <cell r="E1847">
            <v>0.82454045188395131</v>
          </cell>
        </row>
        <row r="1848">
          <cell r="D1848">
            <v>1.7380120818042997</v>
          </cell>
          <cell r="E1848">
            <v>0.82427305775938886</v>
          </cell>
        </row>
        <row r="1849">
          <cell r="D1849">
            <v>1.7382277623655682</v>
          </cell>
          <cell r="E1849">
            <v>0.82268068676100792</v>
          </cell>
        </row>
        <row r="1850">
          <cell r="D1850">
            <v>1.7383359757959624</v>
          </cell>
          <cell r="E1850">
            <v>0.82188237079326842</v>
          </cell>
        </row>
        <row r="1851">
          <cell r="D1851">
            <v>1.7387688295175394</v>
          </cell>
          <cell r="E1851">
            <v>0.81869328656216578</v>
          </cell>
        </row>
        <row r="1852">
          <cell r="D1852">
            <v>1.7395315476269388</v>
          </cell>
          <cell r="E1852">
            <v>0.81309021855586572</v>
          </cell>
        </row>
        <row r="1853">
          <cell r="D1853">
            <v>1.7407763752262326</v>
          </cell>
          <cell r="E1853">
            <v>0.80399043134691228</v>
          </cell>
        </row>
        <row r="1854">
          <cell r="D1854">
            <v>1.7412562458175671</v>
          </cell>
          <cell r="E1854">
            <v>0.80049749944887838</v>
          </cell>
        </row>
        <row r="1855">
          <cell r="D1855">
            <v>1.7416637253554654</v>
          </cell>
          <cell r="E1855">
            <v>0.79753805802482325</v>
          </cell>
        </row>
        <row r="1856">
          <cell r="D1856">
            <v>1.7423339023243898</v>
          </cell>
          <cell r="E1856">
            <v>0.79268384640292633</v>
          </cell>
        </row>
        <row r="1857">
          <cell r="D1857">
            <v>1.7429712421144359</v>
          </cell>
          <cell r="E1857">
            <v>0.7880827001415045</v>
          </cell>
        </row>
        <row r="1858">
          <cell r="D1858">
            <v>1.7430458720664319</v>
          </cell>
          <cell r="E1858">
            <v>0.78754489714662002</v>
          </cell>
        </row>
        <row r="1859">
          <cell r="D1859">
            <v>1.7433093157969779</v>
          </cell>
          <cell r="E1859">
            <v>0.78564808626805904</v>
          </cell>
        </row>
        <row r="1860">
          <cell r="D1860">
            <v>1.7438765034321477</v>
          </cell>
          <cell r="E1860">
            <v>0.78157295672529803</v>
          </cell>
        </row>
        <row r="1861">
          <cell r="D1861">
            <v>1.7444078686903595</v>
          </cell>
          <cell r="E1861">
            <v>0.77776595461553533</v>
          </cell>
        </row>
        <row r="1862">
          <cell r="D1862">
            <v>1.7462885434806594</v>
          </cell>
          <cell r="E1862">
            <v>0.76437571023239326</v>
          </cell>
        </row>
        <row r="1863">
          <cell r="D1863">
            <v>1.746598257781443</v>
          </cell>
          <cell r="E1863">
            <v>0.76218318674617969</v>
          </cell>
        </row>
        <row r="1864">
          <cell r="D1864">
            <v>1.7477692017282607</v>
          </cell>
          <cell r="E1864">
            <v>0.75392628095775782</v>
          </cell>
        </row>
        <row r="1865">
          <cell r="D1865">
            <v>1.7480841401256839</v>
          </cell>
          <cell r="E1865">
            <v>0.7517142687908337</v>
          </cell>
        </row>
        <row r="1866">
          <cell r="D1866">
            <v>1.749869288577429</v>
          </cell>
          <cell r="E1866">
            <v>0.73924668104914404</v>
          </cell>
        </row>
        <row r="1867">
          <cell r="D1867">
            <v>1.7503103515937255</v>
          </cell>
          <cell r="E1867">
            <v>0.73618484012330576</v>
          </cell>
        </row>
        <row r="1868">
          <cell r="D1868">
            <v>1.7511574015488804</v>
          </cell>
          <cell r="E1868">
            <v>0.73032538009965098</v>
          </cell>
        </row>
        <row r="1869">
          <cell r="D1869">
            <v>1.751279048370634</v>
          </cell>
          <cell r="E1869">
            <v>0.72948613199363577</v>
          </cell>
        </row>
        <row r="1870">
          <cell r="D1870">
            <v>1.7520925148473907</v>
          </cell>
          <cell r="E1870">
            <v>0.72388849326251647</v>
          </cell>
        </row>
        <row r="1871">
          <cell r="D1871">
            <v>1.7522156542681842</v>
          </cell>
          <cell r="E1871">
            <v>0.7230433474731498</v>
          </cell>
        </row>
        <row r="1872">
          <cell r="D1872">
            <v>1.7526253727046424</v>
          </cell>
          <cell r="E1872">
            <v>0.72023549472704074</v>
          </cell>
        </row>
        <row r="1873">
          <cell r="D1873">
            <v>1.7539052763813743</v>
          </cell>
          <cell r="E1873">
            <v>0.71150562779755455</v>
          </cell>
        </row>
        <row r="1874">
          <cell r="D1874">
            <v>1.7539470691544921</v>
          </cell>
          <cell r="E1874">
            <v>0.71122163258270832</v>
          </cell>
        </row>
        <row r="1875">
          <cell r="D1875">
            <v>1.754155286720561</v>
          </cell>
          <cell r="E1875">
            <v>0.70980773021687638</v>
          </cell>
        </row>
        <row r="1876">
          <cell r="D1876">
            <v>1.7552015986475453</v>
          </cell>
          <cell r="E1876">
            <v>0.70272805743564559</v>
          </cell>
        </row>
        <row r="1877">
          <cell r="D1877">
            <v>1.7553277232664186</v>
          </cell>
          <cell r="E1877">
            <v>0.70187751509869256</v>
          </cell>
        </row>
        <row r="1878">
          <cell r="D1878">
            <v>1.7560464097041404</v>
          </cell>
          <cell r="E1878">
            <v>0.69704268562973404</v>
          </cell>
        </row>
        <row r="1879">
          <cell r="D1879">
            <v>1.7566837494941865</v>
          </cell>
          <cell r="E1879">
            <v>0.69277185590833057</v>
          </cell>
        </row>
        <row r="1880">
          <cell r="D1880">
            <v>1.7568971911568951</v>
          </cell>
          <cell r="E1880">
            <v>0.69134510447462538</v>
          </cell>
        </row>
        <row r="1881">
          <cell r="D1881">
            <v>1.7569830156016906</v>
          </cell>
          <cell r="E1881">
            <v>0.69077190998225335</v>
          </cell>
        </row>
        <row r="1882">
          <cell r="D1882">
            <v>1.7577128965322117</v>
          </cell>
          <cell r="E1882">
            <v>0.68590884991595025</v>
          </cell>
        </row>
        <row r="1883">
          <cell r="D1883">
            <v>1.7586211430480034</v>
          </cell>
          <cell r="E1883">
            <v>0.6798863748199957</v>
          </cell>
        </row>
        <row r="1884">
          <cell r="D1884">
            <v>1.760772724564049</v>
          </cell>
          <cell r="E1884">
            <v>0.66574828481336779</v>
          </cell>
        </row>
        <row r="1885">
          <cell r="D1885">
            <v>1.7610839314638724</v>
          </cell>
          <cell r="E1885">
            <v>0.66371837674888945</v>
          </cell>
        </row>
        <row r="1886">
          <cell r="D1886">
            <v>1.7621578564730953</v>
          </cell>
          <cell r="E1886">
            <v>0.65674276680698318</v>
          </cell>
        </row>
        <row r="1887">
          <cell r="D1887">
            <v>1.7622026344442929</v>
          </cell>
          <cell r="E1887">
            <v>0.65645290145366597</v>
          </cell>
        </row>
        <row r="1888">
          <cell r="D1888">
            <v>1.7625183191412361</v>
          </cell>
          <cell r="E1888">
            <v>0.65441159541684812</v>
          </cell>
        </row>
        <row r="1889">
          <cell r="D1889">
            <v>1.7631064031629649</v>
          </cell>
          <cell r="E1889">
            <v>0.65061937067067477</v>
          </cell>
        </row>
        <row r="1890">
          <cell r="D1890">
            <v>1.7651229044658976</v>
          </cell>
          <cell r="E1890">
            <v>0.63771998304414701</v>
          </cell>
        </row>
        <row r="1891">
          <cell r="D1891">
            <v>1.7660527936677681</v>
          </cell>
          <cell r="E1891">
            <v>0.63182589235738995</v>
          </cell>
        </row>
        <row r="1892">
          <cell r="D1892">
            <v>1.7666155035058182</v>
          </cell>
          <cell r="E1892">
            <v>0.62827585613829173</v>
          </cell>
        </row>
        <row r="1893">
          <cell r="D1893">
            <v>1.7682252715703726</v>
          </cell>
          <cell r="E1893">
            <v>0.61818974696937168</v>
          </cell>
        </row>
        <row r="1894">
          <cell r="D1894">
            <v>1.7685125968855573</v>
          </cell>
          <cell r="E1894">
            <v>0.61640035849030939</v>
          </cell>
        </row>
        <row r="1895">
          <cell r="D1895">
            <v>1.7698619064176455</v>
          </cell>
          <cell r="E1895">
            <v>0.60804130407591639</v>
          </cell>
        </row>
        <row r="1896">
          <cell r="D1896">
            <v>1.7716239195842718</v>
          </cell>
          <cell r="E1896">
            <v>0.59723517097619749</v>
          </cell>
        </row>
        <row r="1897">
          <cell r="D1897">
            <v>1.7717231774204265</v>
          </cell>
          <cell r="E1897">
            <v>0.5966301390688894</v>
          </cell>
        </row>
        <row r="1898">
          <cell r="D1898">
            <v>1.7721687182338428</v>
          </cell>
          <cell r="E1898">
            <v>0.59391918444960889</v>
          </cell>
        </row>
        <row r="1899">
          <cell r="D1899">
            <v>1.7740740209083015</v>
          </cell>
          <cell r="E1899">
            <v>0.58241595870996266</v>
          </cell>
        </row>
        <row r="1900">
          <cell r="D1900">
            <v>1.7741247692756588</v>
          </cell>
          <cell r="E1900">
            <v>0.5821115592623245</v>
          </cell>
        </row>
        <row r="1901">
          <cell r="D1901">
            <v>1.7742262660103734</v>
          </cell>
          <cell r="E1901">
            <v>0.58150307075314611</v>
          </cell>
        </row>
        <row r="1902">
          <cell r="D1902">
            <v>1.7760173848582781</v>
          </cell>
          <cell r="E1902">
            <v>0.57083316185251309</v>
          </cell>
        </row>
        <row r="1903">
          <cell r="D1903">
            <v>1.7774741615212406</v>
          </cell>
          <cell r="E1903">
            <v>0.5622501192341276</v>
          </cell>
        </row>
        <row r="1904">
          <cell r="D1904">
            <v>1.7779995563832927</v>
          </cell>
          <cell r="E1904">
            <v>0.55917555219660664</v>
          </cell>
        </row>
        <row r="1905">
          <cell r="D1905">
            <v>1.7792205023979477</v>
          </cell>
          <cell r="E1905">
            <v>0.55207360037270947</v>
          </cell>
        </row>
        <row r="1906">
          <cell r="D1906">
            <v>1.7797548528542393</v>
          </cell>
          <cell r="E1906">
            <v>0.54898429647181357</v>
          </cell>
        </row>
        <row r="1907">
          <cell r="D1907">
            <v>1.7809437079895361</v>
          </cell>
          <cell r="E1907">
            <v>0.54215228216313904</v>
          </cell>
        </row>
        <row r="1908">
          <cell r="D1908">
            <v>1.7816526925334983</v>
          </cell>
          <cell r="E1908">
            <v>0.53810504607106913</v>
          </cell>
        </row>
        <row r="1909">
          <cell r="D1909">
            <v>1.7818168784278896</v>
          </cell>
          <cell r="E1909">
            <v>0.53717067851756262</v>
          </cell>
        </row>
        <row r="1910">
          <cell r="D1910">
            <v>1.7820370367862779</v>
          </cell>
          <cell r="E1910">
            <v>0.53591948058450234</v>
          </cell>
        </row>
        <row r="1911">
          <cell r="D1911">
            <v>1.7823116750096233</v>
          </cell>
          <cell r="E1911">
            <v>0.53436140067090465</v>
          </cell>
        </row>
        <row r="1912">
          <cell r="D1912">
            <v>1.7823116750096233</v>
          </cell>
          <cell r="E1912">
            <v>0.53436140067090465</v>
          </cell>
        </row>
        <row r="1913">
          <cell r="D1913">
            <v>1.7875827885191029</v>
          </cell>
          <cell r="E1913">
            <v>0.50504562600581993</v>
          </cell>
        </row>
        <row r="1914">
          <cell r="D1914">
            <v>1.7884022253920193</v>
          </cell>
          <cell r="E1914">
            <v>0.50058860586174092</v>
          </cell>
        </row>
        <row r="1915">
          <cell r="D1915">
            <v>1.7889925483123079</v>
          </cell>
          <cell r="E1915">
            <v>0.49739447509214141</v>
          </cell>
        </row>
        <row r="1916">
          <cell r="D1916">
            <v>1.790664259237019</v>
          </cell>
          <cell r="E1916">
            <v>0.48842500927497273</v>
          </cell>
        </row>
        <row r="1917">
          <cell r="D1917">
            <v>1.790965764243083</v>
          </cell>
          <cell r="E1917">
            <v>0.48681922744951012</v>
          </cell>
        </row>
        <row r="1918">
          <cell r="D1918">
            <v>1.7938509581872495</v>
          </cell>
          <cell r="E1918">
            <v>0.47163698359364409</v>
          </cell>
        </row>
        <row r="1919">
          <cell r="D1919">
            <v>1.7946659172630461</v>
          </cell>
          <cell r="E1919">
            <v>0.46740880988268918</v>
          </cell>
        </row>
        <row r="1920">
          <cell r="D1920">
            <v>1.7949808556604694</v>
          </cell>
          <cell r="E1920">
            <v>0.46578194152178887</v>
          </cell>
        </row>
        <row r="1921">
          <cell r="D1921">
            <v>1.7974779738542566</v>
          </cell>
          <cell r="E1921">
            <v>0.45302242806131188</v>
          </cell>
        </row>
        <row r="1922">
          <cell r="D1922">
            <v>1.7981287470356619</v>
          </cell>
          <cell r="E1922">
            <v>0.44973787869575216</v>
          </cell>
        </row>
        <row r="1923">
          <cell r="D1923">
            <v>1.7985877212404375</v>
          </cell>
          <cell r="E1923">
            <v>0.44743146718722476</v>
          </cell>
        </row>
        <row r="1924">
          <cell r="D1924">
            <v>1.7992467037165625</v>
          </cell>
          <cell r="E1924">
            <v>0.44413457818740121</v>
          </cell>
        </row>
        <row r="1925">
          <cell r="D1925">
            <v>1.8026886371026194</v>
          </cell>
          <cell r="E1925">
            <v>0.42719336955733805</v>
          </cell>
        </row>
        <row r="1926">
          <cell r="D1926">
            <v>1.8035871817246516</v>
          </cell>
          <cell r="E1926">
            <v>0.4228474984891018</v>
          </cell>
        </row>
        <row r="1927">
          <cell r="D1927">
            <v>1.8048469353143446</v>
          </cell>
          <cell r="E1927">
            <v>0.41680791718550658</v>
          </cell>
        </row>
        <row r="1928">
          <cell r="D1928">
            <v>1.8049872396240971</v>
          </cell>
          <cell r="E1928">
            <v>0.416139106422594</v>
          </cell>
        </row>
        <row r="1929">
          <cell r="D1929">
            <v>1.8088844157173298</v>
          </cell>
          <cell r="E1929">
            <v>0.39786840574203347</v>
          </cell>
        </row>
        <row r="1930">
          <cell r="D1930">
            <v>1.809032183022282</v>
          </cell>
          <cell r="E1930">
            <v>0.39718724902429664</v>
          </cell>
        </row>
        <row r="1931">
          <cell r="D1931">
            <v>1.8146040552383056</v>
          </cell>
          <cell r="E1931">
            <v>0.3721160611392863</v>
          </cell>
        </row>
        <row r="1932">
          <cell r="D1932">
            <v>1.8147622707365372</v>
          </cell>
          <cell r="E1932">
            <v>0.37142149775543709</v>
          </cell>
        </row>
        <row r="1933">
          <cell r="D1933">
            <v>1.8165175672074838</v>
          </cell>
          <cell r="E1933">
            <v>0.3637795237912983</v>
          </cell>
        </row>
        <row r="1934">
          <cell r="D1934">
            <v>1.8166787679037952</v>
          </cell>
          <cell r="E1934">
            <v>0.36308355997046848</v>
          </cell>
        </row>
        <row r="1935">
          <cell r="D1935">
            <v>1.8166787679037952</v>
          </cell>
          <cell r="E1935">
            <v>0.36308355997046848</v>
          </cell>
        </row>
        <row r="1936">
          <cell r="D1936">
            <v>1.8170832622436137</v>
          </cell>
          <cell r="E1936">
            <v>0.36134152798076724</v>
          </cell>
        </row>
        <row r="1937">
          <cell r="D1937">
            <v>1.8172459555389651</v>
          </cell>
          <cell r="E1937">
            <v>0.36064259966427242</v>
          </cell>
        </row>
        <row r="1938">
          <cell r="D1938">
            <v>1.8174086488343164</v>
          </cell>
          <cell r="E1938">
            <v>0.35994466951272269</v>
          </cell>
        </row>
        <row r="1939">
          <cell r="D1939">
            <v>1.8180638998128416</v>
          </cell>
          <cell r="E1939">
            <v>0.35714383402910072</v>
          </cell>
        </row>
        <row r="1940">
          <cell r="D1940">
            <v>1.8181459927600372</v>
          </cell>
          <cell r="E1940">
            <v>0.35679407092816362</v>
          </cell>
        </row>
        <row r="1941">
          <cell r="D1941">
            <v>1.8182280857072328</v>
          </cell>
          <cell r="E1941">
            <v>0.35644456117187623</v>
          </cell>
        </row>
        <row r="1942">
          <cell r="D1942">
            <v>1.8194714207074867</v>
          </cell>
          <cell r="E1942">
            <v>0.35118200071606226</v>
          </cell>
        </row>
        <row r="1943">
          <cell r="D1943">
            <v>1.8210729794773215</v>
          </cell>
          <cell r="E1943">
            <v>0.34448841367244376</v>
          </cell>
        </row>
        <row r="1944">
          <cell r="D1944">
            <v>1.8225327413383638</v>
          </cell>
          <cell r="E1944">
            <v>0.33847057478865367</v>
          </cell>
        </row>
        <row r="1945">
          <cell r="D1945">
            <v>1.8259791525215405</v>
          </cell>
          <cell r="E1945">
            <v>0.32457469644173842</v>
          </cell>
        </row>
        <row r="1946">
          <cell r="D1946">
            <v>1.8262508055468061</v>
          </cell>
          <cell r="E1946">
            <v>0.32349789758018599</v>
          </cell>
        </row>
        <row r="1947">
          <cell r="D1947">
            <v>1.8270702424197225</v>
          </cell>
          <cell r="E1947">
            <v>0.32026602818739108</v>
          </cell>
        </row>
        <row r="1948">
          <cell r="D1948">
            <v>1.8278971422878385</v>
          </cell>
          <cell r="E1948">
            <v>0.31702944134944055</v>
          </cell>
        </row>
        <row r="1949">
          <cell r="D1949">
            <v>1.8297658762858191</v>
          </cell>
          <cell r="E1949">
            <v>0.30980599006314224</v>
          </cell>
        </row>
        <row r="1950">
          <cell r="D1950">
            <v>1.8319704450677818</v>
          </cell>
          <cell r="E1950">
            <v>0.30144545667196437</v>
          </cell>
        </row>
        <row r="1951">
          <cell r="D1951">
            <v>1.8329480974389298</v>
          </cell>
          <cell r="E1951">
            <v>0.29779321882717197</v>
          </cell>
        </row>
        <row r="1952">
          <cell r="D1952">
            <v>1.8339361980033573</v>
          </cell>
          <cell r="E1952">
            <v>0.29413630250637324</v>
          </cell>
        </row>
        <row r="1953">
          <cell r="D1953">
            <v>1.8362586821094737</v>
          </cell>
          <cell r="E1953">
            <v>0.2856759593392566</v>
          </cell>
        </row>
        <row r="1954">
          <cell r="D1954">
            <v>1.8371855861132644</v>
          </cell>
          <cell r="E1954">
            <v>0.28235198276893447</v>
          </cell>
        </row>
        <row r="1955">
          <cell r="D1955">
            <v>1.8380184563775401</v>
          </cell>
          <cell r="E1955">
            <v>0.27939062169609558</v>
          </cell>
        </row>
        <row r="1956">
          <cell r="D1956">
            <v>1.838754307704221</v>
          </cell>
          <cell r="E1956">
            <v>0.27679414387904822</v>
          </cell>
        </row>
        <row r="1957">
          <cell r="D1957">
            <v>1.8401409322123072</v>
          </cell>
          <cell r="E1957">
            <v>0.27195192743965024</v>
          </cell>
        </row>
        <row r="1958">
          <cell r="D1958">
            <v>1.8403573590730957</v>
          </cell>
          <cell r="E1958">
            <v>0.27120207930585599</v>
          </cell>
        </row>
        <row r="1959">
          <cell r="D1959">
            <v>1.8412230665162497</v>
          </cell>
          <cell r="E1959">
            <v>0.26821864051493416</v>
          </cell>
        </row>
        <row r="1960">
          <cell r="D1960">
            <v>1.8417708503639005</v>
          </cell>
          <cell r="E1960">
            <v>0.26634399225437755</v>
          </cell>
        </row>
        <row r="1961">
          <cell r="D1961">
            <v>1.8424320717385854</v>
          </cell>
          <cell r="E1961">
            <v>0.26409465889293038</v>
          </cell>
        </row>
        <row r="1962">
          <cell r="D1962">
            <v>1.844450065640558</v>
          </cell>
          <cell r="E1962">
            <v>0.25732082447595284</v>
          </cell>
        </row>
        <row r="1963">
          <cell r="D1963">
            <v>1.8452500987259555</v>
          </cell>
          <cell r="E1963">
            <v>0.25467302551155441</v>
          </cell>
        </row>
        <row r="1964">
          <cell r="D1964">
            <v>1.8475800458272715</v>
          </cell>
          <cell r="E1964">
            <v>0.24708255185677816</v>
          </cell>
        </row>
        <row r="1965">
          <cell r="D1965">
            <v>1.8482920155693137</v>
          </cell>
          <cell r="E1965">
            <v>0.24479870564244402</v>
          </cell>
        </row>
        <row r="1966">
          <cell r="D1966">
            <v>1.8502264239250508</v>
          </cell>
          <cell r="E1966">
            <v>0.23867688729354017</v>
          </cell>
        </row>
        <row r="1967">
          <cell r="D1967">
            <v>1.8509637678507715</v>
          </cell>
          <cell r="E1967">
            <v>0.23637528028795277</v>
          </cell>
        </row>
        <row r="1968">
          <cell r="D1968">
            <v>1.8512115392913984</v>
          </cell>
          <cell r="E1968">
            <v>0.23560579105130319</v>
          </cell>
        </row>
        <row r="1969">
          <cell r="D1969">
            <v>1.8539892661046906</v>
          </cell>
          <cell r="E1969">
            <v>0.22711330370025243</v>
          </cell>
        </row>
        <row r="1970">
          <cell r="D1970">
            <v>1.862555291994795</v>
          </cell>
          <cell r="E1970">
            <v>0.20243822030030431</v>
          </cell>
        </row>
        <row r="1971">
          <cell r="D1971">
            <v>1.8648986724874703</v>
          </cell>
          <cell r="E1971">
            <v>0.19607476996246179</v>
          </cell>
        </row>
        <row r="1972">
          <cell r="D1972">
            <v>1.8656449720074306</v>
          </cell>
          <cell r="E1972">
            <v>0.19408218478453484</v>
          </cell>
        </row>
        <row r="1973">
          <cell r="D1973">
            <v>1.8693436324283539</v>
          </cell>
          <cell r="E1973">
            <v>0.18444551498649725</v>
          </cell>
        </row>
        <row r="1974">
          <cell r="D1974">
            <v>1.8698182789230486</v>
          </cell>
          <cell r="E1974">
            <v>0.18323726301777249</v>
          </cell>
        </row>
        <row r="1975">
          <cell r="D1975">
            <v>1.8780633960195701</v>
          </cell>
          <cell r="E1975">
            <v>0.1632494941425498</v>
          </cell>
        </row>
        <row r="1976">
          <cell r="D1976">
            <v>1.8789589554435224</v>
          </cell>
          <cell r="E1976">
            <v>0.16118974445169809</v>
          </cell>
        </row>
        <row r="1977">
          <cell r="D1977">
            <v>1.8804187173045648</v>
          </cell>
          <cell r="E1977">
            <v>0.15787783174969866</v>
          </cell>
        </row>
        <row r="1978">
          <cell r="D1978">
            <v>1.8840099105946138</v>
          </cell>
          <cell r="E1978">
            <v>0.14996634906926179</v>
          </cell>
        </row>
        <row r="1979">
          <cell r="D1979">
            <v>1.8857801330559596</v>
          </cell>
          <cell r="E1979">
            <v>0.14618788702034588</v>
          </cell>
        </row>
        <row r="1980">
          <cell r="D1980">
            <v>1.8857801330559596</v>
          </cell>
          <cell r="E1980">
            <v>0.14618788702034588</v>
          </cell>
        </row>
        <row r="1981">
          <cell r="D1981">
            <v>1.8857801330559596</v>
          </cell>
          <cell r="E1981">
            <v>0.14618788702034588</v>
          </cell>
        </row>
        <row r="1982">
          <cell r="D1982">
            <v>1.8898758248215017</v>
          </cell>
          <cell r="E1982">
            <v>0.13774527833498679</v>
          </cell>
        </row>
        <row r="1983">
          <cell r="D1983">
            <v>1.8924580211605644</v>
          </cell>
          <cell r="E1983">
            <v>0.13263245330163365</v>
          </cell>
        </row>
        <row r="1984">
          <cell r="D1984">
            <v>1.8937834491080139</v>
          </cell>
          <cell r="E1984">
            <v>0.13006971645775936</v>
          </cell>
        </row>
        <row r="1985">
          <cell r="D1985">
            <v>1.9057212562292989</v>
          </cell>
          <cell r="E1985">
            <v>0.10878772463080631</v>
          </cell>
        </row>
        <row r="1986">
          <cell r="D1986">
            <v>1.9067989127361216</v>
          </cell>
          <cell r="E1986">
            <v>0.10701927147388141</v>
          </cell>
        </row>
        <row r="1987">
          <cell r="D1987">
            <v>1.9087213802995393</v>
          </cell>
          <cell r="E1987">
            <v>0.10392442324174957</v>
          </cell>
        </row>
        <row r="1988">
          <cell r="D1988">
            <v>1.9183217773243086</v>
          </cell>
          <cell r="E1988">
            <v>8.9574221257763348E-2</v>
          </cell>
        </row>
        <row r="1989">
          <cell r="D1989">
            <v>1.9193009222944966</v>
          </cell>
          <cell r="E1989">
            <v>8.8209962538414496E-2</v>
          </cell>
        </row>
        <row r="1990">
          <cell r="D1990">
            <v>1.9319701029453427</v>
          </cell>
          <cell r="E1990">
            <v>7.2090778014175808E-2</v>
          </cell>
        </row>
        <row r="1991">
          <cell r="D1991">
            <v>1.933600021096936</v>
          </cell>
          <cell r="E1991">
            <v>7.0212913181136413E-2</v>
          </cell>
        </row>
        <row r="1992">
          <cell r="D1992">
            <v>1.9453557311353507</v>
          </cell>
          <cell r="E1992">
            <v>5.7872728683278828E-2</v>
          </cell>
        </row>
        <row r="1993">
          <cell r="D1993">
            <v>1.9500245809322223</v>
          </cell>
          <cell r="E1993">
            <v>5.3520138288161018E-2</v>
          </cell>
        </row>
        <row r="1994">
          <cell r="D1994">
            <v>1.9937517624057364</v>
          </cell>
          <cell r="E1994">
            <v>2.4741481590884344E-2</v>
          </cell>
        </row>
        <row r="1995">
          <cell r="D1995">
            <v>1.9998893296578899</v>
          </cell>
          <cell r="E1995">
            <v>2.2076214182966358E-2</v>
          </cell>
        </row>
        <row r="1996">
          <cell r="D1996">
            <v>2.0025401855527889</v>
          </cell>
          <cell r="E1996">
            <v>2.1006655568257166E-2</v>
          </cell>
        </row>
        <row r="1997">
          <cell r="D1997">
            <v>2.0183259129989892</v>
          </cell>
          <cell r="E1997">
            <v>1.5544468148053088E-2</v>
          </cell>
        </row>
        <row r="1998">
          <cell r="D1998">
            <v>2.0411089447443374</v>
          </cell>
          <cell r="E1998">
            <v>9.9023711313841224E-3</v>
          </cell>
        </row>
        <row r="1999">
          <cell r="D1999">
            <v>2.0440702612395398</v>
          </cell>
          <cell r="E1999">
            <v>9.3254517283041689E-3</v>
          </cell>
        </row>
        <row r="2000">
          <cell r="D2000">
            <v>2.0722982942825183</v>
          </cell>
          <cell r="E2000">
            <v>5.1769274120021134E-3</v>
          </cell>
        </row>
        <row r="2001">
          <cell r="D2001">
            <v>2.092645404394716</v>
          </cell>
          <cell r="E2001">
            <v>3.3255648031659656E-3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Balance Yr1 (2)"/>
      <sheetName val="Cash Balance Yr2 (2)"/>
      <sheetName val="Cash Balance Yr3 (2)"/>
      <sheetName val="Summary"/>
      <sheetName val="Balance Sheet Yr 1"/>
      <sheetName val="Graphs"/>
      <sheetName val="Quarterly Insights"/>
      <sheetName val="Investment Forecast 4 Years"/>
      <sheetName val="Cash Flow Forecast Summary"/>
      <sheetName val="Cash Flow Forecast Yr1 &gt;4"/>
      <sheetName val="Sales Pipeline NEW"/>
      <sheetName val="Charge Card"/>
      <sheetName val="Menu-Dropdowns"/>
      <sheetName val="Costs Forecast"/>
      <sheetName val="Xero P&amp;L Costs"/>
      <sheetName val="Cost Budget Summary"/>
      <sheetName val="Assumptions"/>
      <sheetName val="Staffing"/>
      <sheetName val="Executive Team"/>
      <sheetName val="Staff Risk Analysis"/>
      <sheetName val="Staff Analysis"/>
      <sheetName val="Technology Estimations"/>
      <sheetName val="Staff Estimation &amp; Availability"/>
      <sheetName val="Requirement Statements"/>
      <sheetName val="Resillience Analysis"/>
      <sheetName val="Model Analysis"/>
      <sheetName val="Graphs_Info_Pull_Shee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R3">
            <v>42737</v>
          </cell>
        </row>
        <row r="4">
          <cell r="R4">
            <v>42839</v>
          </cell>
        </row>
        <row r="5">
          <cell r="R5">
            <v>42842</v>
          </cell>
        </row>
        <row r="6">
          <cell r="R6">
            <v>42856</v>
          </cell>
        </row>
        <row r="7">
          <cell r="R7">
            <v>42884</v>
          </cell>
        </row>
        <row r="8">
          <cell r="R8">
            <v>42975</v>
          </cell>
        </row>
        <row r="9">
          <cell r="R9">
            <v>43094</v>
          </cell>
        </row>
        <row r="10">
          <cell r="R10">
            <v>43095</v>
          </cell>
        </row>
        <row r="11">
          <cell r="R11">
            <v>43101</v>
          </cell>
        </row>
        <row r="12">
          <cell r="R12">
            <v>43189</v>
          </cell>
        </row>
        <row r="13">
          <cell r="R13">
            <v>43192</v>
          </cell>
        </row>
        <row r="14">
          <cell r="R14">
            <v>43227</v>
          </cell>
        </row>
        <row r="15">
          <cell r="R15">
            <v>43248</v>
          </cell>
        </row>
        <row r="16">
          <cell r="R16">
            <v>43339</v>
          </cell>
        </row>
        <row r="17">
          <cell r="R17">
            <v>43459</v>
          </cell>
        </row>
        <row r="18">
          <cell r="R18">
            <v>43460</v>
          </cell>
        </row>
        <row r="19">
          <cell r="R19">
            <v>43466</v>
          </cell>
        </row>
        <row r="20">
          <cell r="R20">
            <v>43574</v>
          </cell>
        </row>
        <row r="21">
          <cell r="R21">
            <v>43577</v>
          </cell>
        </row>
        <row r="22">
          <cell r="R22">
            <v>43591</v>
          </cell>
        </row>
        <row r="23">
          <cell r="R23">
            <v>43612</v>
          </cell>
        </row>
        <row r="24">
          <cell r="R24">
            <v>43705</v>
          </cell>
        </row>
        <row r="25">
          <cell r="R25">
            <v>43824</v>
          </cell>
        </row>
        <row r="26">
          <cell r="R26">
            <v>43825</v>
          </cell>
        </row>
        <row r="27">
          <cell r="R27">
            <v>43831</v>
          </cell>
        </row>
        <row r="28">
          <cell r="R28">
            <v>43931</v>
          </cell>
        </row>
        <row r="29">
          <cell r="R29">
            <v>43934</v>
          </cell>
        </row>
        <row r="30">
          <cell r="R30">
            <v>43955</v>
          </cell>
        </row>
        <row r="31">
          <cell r="R31">
            <v>43976</v>
          </cell>
        </row>
        <row r="32">
          <cell r="R32">
            <v>44074</v>
          </cell>
        </row>
        <row r="33">
          <cell r="R33">
            <v>44190</v>
          </cell>
        </row>
        <row r="34">
          <cell r="R34">
            <v>44193</v>
          </cell>
        </row>
        <row r="35">
          <cell r="R35">
            <v>44193</v>
          </cell>
        </row>
        <row r="36">
          <cell r="R36">
            <v>44193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Week"/>
      <sheetName val="Summary"/>
      <sheetName val="DJM Creditors Ledger"/>
      <sheetName val="Sheet1"/>
      <sheetName val="Sales"/>
      <sheetName val="Subcontractor - Renew"/>
      <sheetName val="Loan &amp; Overdraft Balances"/>
      <sheetName val="DJM Debtors"/>
      <sheetName val="Trueco Debtors"/>
      <sheetName val="Trueco Creditors"/>
      <sheetName val="CID Debtors"/>
      <sheetName val="DJM Sage Creditor Ledger"/>
    </sheetNames>
    <sheetDataSet>
      <sheetData sheetId="0"/>
      <sheetData sheetId="1"/>
      <sheetData sheetId="2">
        <row r="8">
          <cell r="B8" t="str">
            <v>ABACUSDI</v>
          </cell>
        </row>
      </sheetData>
      <sheetData sheetId="3"/>
      <sheetData sheetId="4">
        <row r="79">
          <cell r="B79">
            <v>0</v>
          </cell>
          <cell r="C79">
            <v>0</v>
          </cell>
          <cell r="D79">
            <v>42855</v>
          </cell>
          <cell r="E79">
            <v>42886</v>
          </cell>
          <cell r="F79">
            <v>42916</v>
          </cell>
          <cell r="G79">
            <v>42947</v>
          </cell>
          <cell r="H79">
            <v>42978</v>
          </cell>
          <cell r="I79">
            <v>43008</v>
          </cell>
          <cell r="J79">
            <v>43039</v>
          </cell>
          <cell r="K79">
            <v>43069</v>
          </cell>
          <cell r="L79">
            <v>43100</v>
          </cell>
          <cell r="M79">
            <v>43131</v>
          </cell>
          <cell r="N79">
            <v>43159</v>
          </cell>
          <cell r="O79">
            <v>43190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B81" t="str">
            <v>Total</v>
          </cell>
          <cell r="C81">
            <v>0</v>
          </cell>
          <cell r="D81">
            <v>0</v>
          </cell>
          <cell r="E81">
            <v>0</v>
          </cell>
          <cell r="F81">
            <v>412736</v>
          </cell>
          <cell r="G81">
            <v>600000</v>
          </cell>
          <cell r="H81">
            <v>600000</v>
          </cell>
          <cell r="I81">
            <v>600000</v>
          </cell>
          <cell r="J81">
            <v>600000</v>
          </cell>
          <cell r="K81">
            <v>600000</v>
          </cell>
          <cell r="L81">
            <v>405000</v>
          </cell>
          <cell r="M81">
            <v>600000</v>
          </cell>
          <cell r="N81">
            <v>600000</v>
          </cell>
          <cell r="O81">
            <v>600000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B83" t="str">
            <v>Trueco (EDF)</v>
          </cell>
          <cell r="C83">
            <v>0</v>
          </cell>
          <cell r="D83">
            <v>0</v>
          </cell>
          <cell r="E83">
            <v>0</v>
          </cell>
          <cell r="F83">
            <v>169140</v>
          </cell>
          <cell r="G83">
            <v>300000</v>
          </cell>
          <cell r="H83">
            <v>300000</v>
          </cell>
          <cell r="I83">
            <v>300000</v>
          </cell>
          <cell r="J83">
            <v>300000</v>
          </cell>
          <cell r="K83">
            <v>300000</v>
          </cell>
          <cell r="L83">
            <v>175000</v>
          </cell>
          <cell r="M83">
            <v>300000</v>
          </cell>
          <cell r="N83">
            <v>300000</v>
          </cell>
          <cell r="O83">
            <v>300000</v>
          </cell>
        </row>
        <row r="84">
          <cell r="B84" t="str">
            <v>Trueco (SP)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B85" t="str">
            <v>Commercial</v>
          </cell>
          <cell r="C85">
            <v>0.3</v>
          </cell>
          <cell r="D85">
            <v>0</v>
          </cell>
          <cell r="E85">
            <v>0</v>
          </cell>
          <cell r="F85">
            <v>29000</v>
          </cell>
          <cell r="G85">
            <v>50000</v>
          </cell>
          <cell r="H85">
            <v>50000</v>
          </cell>
          <cell r="I85">
            <v>50000</v>
          </cell>
          <cell r="J85">
            <v>50000</v>
          </cell>
          <cell r="K85">
            <v>50000</v>
          </cell>
          <cell r="L85">
            <v>30000</v>
          </cell>
          <cell r="M85">
            <v>50000</v>
          </cell>
          <cell r="N85">
            <v>50000</v>
          </cell>
          <cell r="O85">
            <v>50000</v>
          </cell>
        </row>
        <row r="86">
          <cell r="B86" t="str">
            <v>DJM</v>
          </cell>
          <cell r="C86">
            <v>0</v>
          </cell>
          <cell r="D86">
            <v>0</v>
          </cell>
          <cell r="E86">
            <v>0</v>
          </cell>
          <cell r="F86">
            <v>214596</v>
          </cell>
          <cell r="G86">
            <v>250000</v>
          </cell>
          <cell r="H86">
            <v>250000</v>
          </cell>
          <cell r="I86">
            <v>250000</v>
          </cell>
          <cell r="J86">
            <v>250000</v>
          </cell>
          <cell r="K86">
            <v>250000</v>
          </cell>
          <cell r="L86">
            <v>200000</v>
          </cell>
          <cell r="M86">
            <v>250000</v>
          </cell>
          <cell r="N86">
            <v>250000</v>
          </cell>
          <cell r="O86">
            <v>250000</v>
          </cell>
        </row>
        <row r="87">
          <cell r="B87" t="str">
            <v>Rebates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B88" t="str">
            <v>TBN</v>
          </cell>
          <cell r="C88">
            <v>0</v>
          </cell>
          <cell r="D88">
            <v>0</v>
          </cell>
          <cell r="E88">
            <v>0</v>
          </cell>
          <cell r="F88">
            <v>177500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590236</v>
          </cell>
          <cell r="G90">
            <v>600000</v>
          </cell>
          <cell r="H90">
            <v>600000</v>
          </cell>
          <cell r="I90">
            <v>600000</v>
          </cell>
          <cell r="J90">
            <v>600000</v>
          </cell>
          <cell r="K90">
            <v>600000</v>
          </cell>
          <cell r="L90">
            <v>405000</v>
          </cell>
          <cell r="M90">
            <v>600000</v>
          </cell>
          <cell r="N90">
            <v>600000</v>
          </cell>
          <cell r="O90">
            <v>600000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18F9-EC65-4A87-8ECB-C040B802C737}">
  <dimension ref="A1:AJ61"/>
  <sheetViews>
    <sheetView zoomScaleNormal="100" workbookViewId="0">
      <pane xSplit="1" topLeftCell="B1" activePane="topRight" state="frozen"/>
      <selection activeCell="A9" sqref="A9:B9"/>
      <selection pane="topRight" activeCell="A9" sqref="A9:B9"/>
    </sheetView>
  </sheetViews>
  <sheetFormatPr defaultColWidth="11.85546875" defaultRowHeight="15"/>
  <cols>
    <col min="1" max="1" width="28.85546875" style="119" customWidth="1"/>
    <col min="2" max="2" width="13.85546875" style="119" bestFit="1" customWidth="1"/>
    <col min="3" max="4" width="12.85546875" style="119" customWidth="1"/>
    <col min="5" max="5" width="2.7109375" style="119" customWidth="1"/>
    <col min="6" max="6" width="13.85546875" style="119" bestFit="1" customWidth="1"/>
    <col min="7" max="8" width="12.85546875" style="119" customWidth="1"/>
    <col min="9" max="9" width="2.7109375" style="119" customWidth="1"/>
    <col min="10" max="10" width="14.42578125" style="119" bestFit="1" customWidth="1"/>
    <col min="11" max="12" width="12.85546875" style="119" customWidth="1"/>
    <col min="13" max="13" width="2.7109375" style="119" customWidth="1"/>
    <col min="14" max="14" width="15.5703125" style="119" bestFit="1" customWidth="1"/>
    <col min="15" max="15" width="14.7109375" style="119" customWidth="1"/>
    <col min="16" max="16" width="12.85546875" style="119" customWidth="1"/>
    <col min="17" max="17" width="2.7109375" style="119" customWidth="1"/>
    <col min="18" max="18" width="15" style="119" bestFit="1" customWidth="1"/>
    <col min="19" max="19" width="16" style="119" bestFit="1" customWidth="1"/>
    <col min="20" max="20" width="12.85546875" style="119" customWidth="1"/>
    <col min="21" max="21" width="2.7109375" style="119" customWidth="1"/>
    <col min="22" max="22" width="16" style="119" bestFit="1" customWidth="1"/>
    <col min="23" max="23" width="17.7109375" style="119" bestFit="1" customWidth="1"/>
    <col min="24" max="24" width="12.85546875" style="119" customWidth="1"/>
    <col min="25" max="25" width="2.7109375" style="119" customWidth="1"/>
    <col min="26" max="26" width="13.42578125" style="119" bestFit="1" customWidth="1"/>
    <col min="27" max="27" width="26.7109375" style="119" customWidth="1"/>
    <col min="28" max="28" width="12.85546875" style="119" customWidth="1"/>
    <col min="29" max="29" width="1" style="119" customWidth="1"/>
    <col min="30" max="30" width="17.7109375" style="119" bestFit="1" customWidth="1"/>
    <col min="31" max="31" width="2.7109375" style="119" customWidth="1"/>
    <col min="32" max="32" width="15" style="119" bestFit="1" customWidth="1"/>
    <col min="33" max="33" width="13.5703125" style="119" customWidth="1"/>
    <col min="34" max="34" width="15.5703125" style="119" bestFit="1" customWidth="1"/>
    <col min="35" max="35" width="14.85546875" style="119" customWidth="1"/>
    <col min="36" max="264" width="8.7109375" style="119" customWidth="1"/>
    <col min="265" max="265" width="28.85546875" style="119" customWidth="1"/>
    <col min="266" max="268" width="12.85546875" style="119" customWidth="1"/>
    <col min="269" max="269" width="2.7109375" style="119" customWidth="1"/>
    <col min="270" max="272" width="12.85546875" style="119" customWidth="1"/>
    <col min="273" max="273" width="2.7109375" style="119" customWidth="1"/>
    <col min="274" max="276" width="12.85546875" style="119" customWidth="1"/>
    <col min="277" max="277" width="2.7109375" style="119" customWidth="1"/>
    <col min="278" max="280" width="12.85546875" style="119" customWidth="1"/>
    <col min="281" max="520" width="8.7109375" style="119" customWidth="1"/>
    <col min="521" max="521" width="28.85546875" style="119" customWidth="1"/>
    <col min="522" max="524" width="12.85546875" style="119" customWidth="1"/>
    <col min="525" max="525" width="2.7109375" style="119" customWidth="1"/>
    <col min="526" max="528" width="12.85546875" style="119" customWidth="1"/>
    <col min="529" max="529" width="2.7109375" style="119" customWidth="1"/>
    <col min="530" max="532" width="12.85546875" style="119" customWidth="1"/>
    <col min="533" max="533" width="2.7109375" style="119" customWidth="1"/>
    <col min="534" max="536" width="12.85546875" style="119" customWidth="1"/>
    <col min="537" max="776" width="8.7109375" style="119" customWidth="1"/>
    <col min="777" max="777" width="28.85546875" style="119" customWidth="1"/>
    <col min="778" max="780" width="12.85546875" style="119" customWidth="1"/>
    <col min="781" max="781" width="2.7109375" style="119" customWidth="1"/>
    <col min="782" max="784" width="12.85546875" style="119" customWidth="1"/>
    <col min="785" max="785" width="2.7109375" style="119" customWidth="1"/>
    <col min="786" max="788" width="12.85546875" style="119" customWidth="1"/>
    <col min="789" max="789" width="2.7109375" style="119" customWidth="1"/>
    <col min="790" max="792" width="12.85546875" style="119" customWidth="1"/>
    <col min="793" max="1032" width="8.7109375" style="119" customWidth="1"/>
    <col min="1033" max="1033" width="28.85546875" style="119" customWidth="1"/>
    <col min="1034" max="1036" width="12.85546875" style="119" customWidth="1"/>
    <col min="1037" max="1037" width="2.7109375" style="119" customWidth="1"/>
    <col min="1038" max="1040" width="12.85546875" style="119" customWidth="1"/>
    <col min="1041" max="1041" width="2.7109375" style="119" customWidth="1"/>
    <col min="1042" max="1044" width="12.85546875" style="119" customWidth="1"/>
    <col min="1045" max="1045" width="2.7109375" style="119" customWidth="1"/>
    <col min="1046" max="1048" width="12.85546875" style="119" customWidth="1"/>
    <col min="1049" max="1288" width="8.7109375" style="119" customWidth="1"/>
    <col min="1289" max="1289" width="28.85546875" style="119" customWidth="1"/>
    <col min="1290" max="1292" width="12.85546875" style="119" customWidth="1"/>
    <col min="1293" max="1293" width="2.7109375" style="119" customWidth="1"/>
    <col min="1294" max="1296" width="12.85546875" style="119" customWidth="1"/>
    <col min="1297" max="1297" width="2.7109375" style="119" customWidth="1"/>
    <col min="1298" max="1300" width="12.85546875" style="119" customWidth="1"/>
    <col min="1301" max="1301" width="2.7109375" style="119" customWidth="1"/>
    <col min="1302" max="1304" width="12.85546875" style="119" customWidth="1"/>
    <col min="1305" max="1544" width="8.7109375" style="119" customWidth="1"/>
    <col min="1545" max="1545" width="28.85546875" style="119" customWidth="1"/>
    <col min="1546" max="1548" width="12.85546875" style="119" customWidth="1"/>
    <col min="1549" max="1549" width="2.7109375" style="119" customWidth="1"/>
    <col min="1550" max="1552" width="12.85546875" style="119" customWidth="1"/>
    <col min="1553" max="1553" width="2.7109375" style="119" customWidth="1"/>
    <col min="1554" max="1556" width="12.85546875" style="119" customWidth="1"/>
    <col min="1557" max="1557" width="2.7109375" style="119" customWidth="1"/>
    <col min="1558" max="1560" width="12.85546875" style="119" customWidth="1"/>
    <col min="1561" max="1800" width="8.7109375" style="119" customWidth="1"/>
    <col min="1801" max="1801" width="28.85546875" style="119" customWidth="1"/>
    <col min="1802" max="1804" width="12.85546875" style="119" customWidth="1"/>
    <col min="1805" max="1805" width="2.7109375" style="119" customWidth="1"/>
    <col min="1806" max="1808" width="12.85546875" style="119" customWidth="1"/>
    <col min="1809" max="1809" width="2.7109375" style="119" customWidth="1"/>
    <col min="1810" max="1812" width="12.85546875" style="119" customWidth="1"/>
    <col min="1813" max="1813" width="2.7109375" style="119" customWidth="1"/>
    <col min="1814" max="1816" width="12.85546875" style="119" customWidth="1"/>
    <col min="1817" max="2056" width="8.7109375" style="119" customWidth="1"/>
    <col min="2057" max="2057" width="28.85546875" style="119" customWidth="1"/>
    <col min="2058" max="2060" width="12.85546875" style="119" customWidth="1"/>
    <col min="2061" max="2061" width="2.7109375" style="119" customWidth="1"/>
    <col min="2062" max="2064" width="12.85546875" style="119" customWidth="1"/>
    <col min="2065" max="2065" width="2.7109375" style="119" customWidth="1"/>
    <col min="2066" max="2068" width="12.85546875" style="119" customWidth="1"/>
    <col min="2069" max="2069" width="2.7109375" style="119" customWidth="1"/>
    <col min="2070" max="2072" width="12.85546875" style="119" customWidth="1"/>
    <col min="2073" max="2312" width="8.7109375" style="119" customWidth="1"/>
    <col min="2313" max="2313" width="28.85546875" style="119" customWidth="1"/>
    <col min="2314" max="2316" width="12.85546875" style="119" customWidth="1"/>
    <col min="2317" max="2317" width="2.7109375" style="119" customWidth="1"/>
    <col min="2318" max="2320" width="12.85546875" style="119" customWidth="1"/>
    <col min="2321" max="2321" width="2.7109375" style="119" customWidth="1"/>
    <col min="2322" max="2324" width="12.85546875" style="119" customWidth="1"/>
    <col min="2325" max="2325" width="2.7109375" style="119" customWidth="1"/>
    <col min="2326" max="2328" width="12.85546875" style="119" customWidth="1"/>
    <col min="2329" max="2568" width="8.7109375" style="119" customWidth="1"/>
    <col min="2569" max="2569" width="28.85546875" style="119" customWidth="1"/>
    <col min="2570" max="2572" width="12.85546875" style="119" customWidth="1"/>
    <col min="2573" max="2573" width="2.7109375" style="119" customWidth="1"/>
    <col min="2574" max="2576" width="12.85546875" style="119" customWidth="1"/>
    <col min="2577" max="2577" width="2.7109375" style="119" customWidth="1"/>
    <col min="2578" max="2580" width="12.85546875" style="119" customWidth="1"/>
    <col min="2581" max="2581" width="2.7109375" style="119" customWidth="1"/>
    <col min="2582" max="2584" width="12.85546875" style="119" customWidth="1"/>
    <col min="2585" max="2824" width="8.7109375" style="119" customWidth="1"/>
    <col min="2825" max="2825" width="28.85546875" style="119" customWidth="1"/>
    <col min="2826" max="2828" width="12.85546875" style="119" customWidth="1"/>
    <col min="2829" max="2829" width="2.7109375" style="119" customWidth="1"/>
    <col min="2830" max="2832" width="12.85546875" style="119" customWidth="1"/>
    <col min="2833" max="2833" width="2.7109375" style="119" customWidth="1"/>
    <col min="2834" max="2836" width="12.85546875" style="119" customWidth="1"/>
    <col min="2837" max="2837" width="2.7109375" style="119" customWidth="1"/>
    <col min="2838" max="2840" width="12.85546875" style="119" customWidth="1"/>
    <col min="2841" max="3080" width="8.7109375" style="119" customWidth="1"/>
    <col min="3081" max="3081" width="28.85546875" style="119" customWidth="1"/>
    <col min="3082" max="3084" width="12.85546875" style="119" customWidth="1"/>
    <col min="3085" max="3085" width="2.7109375" style="119" customWidth="1"/>
    <col min="3086" max="3088" width="12.85546875" style="119" customWidth="1"/>
    <col min="3089" max="3089" width="2.7109375" style="119" customWidth="1"/>
    <col min="3090" max="3092" width="12.85546875" style="119" customWidth="1"/>
    <col min="3093" max="3093" width="2.7109375" style="119" customWidth="1"/>
    <col min="3094" max="3096" width="12.85546875" style="119" customWidth="1"/>
    <col min="3097" max="3336" width="8.7109375" style="119" customWidth="1"/>
    <col min="3337" max="3337" width="28.85546875" style="119" customWidth="1"/>
    <col min="3338" max="3340" width="12.85546875" style="119" customWidth="1"/>
    <col min="3341" max="3341" width="2.7109375" style="119" customWidth="1"/>
    <col min="3342" max="3344" width="12.85546875" style="119" customWidth="1"/>
    <col min="3345" max="3345" width="2.7109375" style="119" customWidth="1"/>
    <col min="3346" max="3348" width="12.85546875" style="119" customWidth="1"/>
    <col min="3349" max="3349" width="2.7109375" style="119" customWidth="1"/>
    <col min="3350" max="3352" width="12.85546875" style="119" customWidth="1"/>
    <col min="3353" max="3592" width="8.7109375" style="119" customWidth="1"/>
    <col min="3593" max="3593" width="28.85546875" style="119" customWidth="1"/>
    <col min="3594" max="3596" width="12.85546875" style="119" customWidth="1"/>
    <col min="3597" max="3597" width="2.7109375" style="119" customWidth="1"/>
    <col min="3598" max="3600" width="12.85546875" style="119" customWidth="1"/>
    <col min="3601" max="3601" width="2.7109375" style="119" customWidth="1"/>
    <col min="3602" max="3604" width="12.85546875" style="119" customWidth="1"/>
    <col min="3605" max="3605" width="2.7109375" style="119" customWidth="1"/>
    <col min="3606" max="3608" width="12.85546875" style="119" customWidth="1"/>
    <col min="3609" max="3848" width="8.7109375" style="119" customWidth="1"/>
    <col min="3849" max="3849" width="28.85546875" style="119" customWidth="1"/>
    <col min="3850" max="3852" width="12.85546875" style="119" customWidth="1"/>
    <col min="3853" max="3853" width="2.7109375" style="119" customWidth="1"/>
    <col min="3854" max="3856" width="12.85546875" style="119" customWidth="1"/>
    <col min="3857" max="3857" width="2.7109375" style="119" customWidth="1"/>
    <col min="3858" max="3860" width="12.85546875" style="119" customWidth="1"/>
    <col min="3861" max="3861" width="2.7109375" style="119" customWidth="1"/>
    <col min="3862" max="3864" width="12.85546875" style="119" customWidth="1"/>
    <col min="3865" max="4104" width="8.7109375" style="119" customWidth="1"/>
    <col min="4105" max="4105" width="28.85546875" style="119" customWidth="1"/>
    <col min="4106" max="4108" width="12.85546875" style="119" customWidth="1"/>
    <col min="4109" max="4109" width="2.7109375" style="119" customWidth="1"/>
    <col min="4110" max="4112" width="12.85546875" style="119" customWidth="1"/>
    <col min="4113" max="4113" width="2.7109375" style="119" customWidth="1"/>
    <col min="4114" max="4116" width="12.85546875" style="119" customWidth="1"/>
    <col min="4117" max="4117" width="2.7109375" style="119" customWidth="1"/>
    <col min="4118" max="4120" width="12.85546875" style="119" customWidth="1"/>
    <col min="4121" max="4360" width="8.7109375" style="119" customWidth="1"/>
    <col min="4361" max="4361" width="28.85546875" style="119" customWidth="1"/>
    <col min="4362" max="4364" width="12.85546875" style="119" customWidth="1"/>
    <col min="4365" max="4365" width="2.7109375" style="119" customWidth="1"/>
    <col min="4366" max="4368" width="12.85546875" style="119" customWidth="1"/>
    <col min="4369" max="4369" width="2.7109375" style="119" customWidth="1"/>
    <col min="4370" max="4372" width="12.85546875" style="119" customWidth="1"/>
    <col min="4373" max="4373" width="2.7109375" style="119" customWidth="1"/>
    <col min="4374" max="4376" width="12.85546875" style="119" customWidth="1"/>
    <col min="4377" max="4616" width="8.7109375" style="119" customWidth="1"/>
    <col min="4617" max="4617" width="28.85546875" style="119" customWidth="1"/>
    <col min="4618" max="4620" width="12.85546875" style="119" customWidth="1"/>
    <col min="4621" max="4621" width="2.7109375" style="119" customWidth="1"/>
    <col min="4622" max="4624" width="12.85546875" style="119" customWidth="1"/>
    <col min="4625" max="4625" width="2.7109375" style="119" customWidth="1"/>
    <col min="4626" max="4628" width="12.85546875" style="119" customWidth="1"/>
    <col min="4629" max="4629" width="2.7109375" style="119" customWidth="1"/>
    <col min="4630" max="4632" width="12.85546875" style="119" customWidth="1"/>
    <col min="4633" max="4872" width="8.7109375" style="119" customWidth="1"/>
    <col min="4873" max="4873" width="28.85546875" style="119" customWidth="1"/>
    <col min="4874" max="4876" width="12.85546875" style="119" customWidth="1"/>
    <col min="4877" max="4877" width="2.7109375" style="119" customWidth="1"/>
    <col min="4878" max="4880" width="12.85546875" style="119" customWidth="1"/>
    <col min="4881" max="4881" width="2.7109375" style="119" customWidth="1"/>
    <col min="4882" max="4884" width="12.85546875" style="119" customWidth="1"/>
    <col min="4885" max="4885" width="2.7109375" style="119" customWidth="1"/>
    <col min="4886" max="4888" width="12.85546875" style="119" customWidth="1"/>
    <col min="4889" max="5128" width="8.7109375" style="119" customWidth="1"/>
    <col min="5129" max="5129" width="28.85546875" style="119" customWidth="1"/>
    <col min="5130" max="5132" width="12.85546875" style="119" customWidth="1"/>
    <col min="5133" max="5133" width="2.7109375" style="119" customWidth="1"/>
    <col min="5134" max="5136" width="12.85546875" style="119" customWidth="1"/>
    <col min="5137" max="5137" width="2.7109375" style="119" customWidth="1"/>
    <col min="5138" max="5140" width="12.85546875" style="119" customWidth="1"/>
    <col min="5141" max="5141" width="2.7109375" style="119" customWidth="1"/>
    <col min="5142" max="5144" width="12.85546875" style="119" customWidth="1"/>
    <col min="5145" max="5384" width="8.7109375" style="119" customWidth="1"/>
    <col min="5385" max="5385" width="28.85546875" style="119" customWidth="1"/>
    <col min="5386" max="5388" width="12.85546875" style="119" customWidth="1"/>
    <col min="5389" max="5389" width="2.7109375" style="119" customWidth="1"/>
    <col min="5390" max="5392" width="12.85546875" style="119" customWidth="1"/>
    <col min="5393" max="5393" width="2.7109375" style="119" customWidth="1"/>
    <col min="5394" max="5396" width="12.85546875" style="119" customWidth="1"/>
    <col min="5397" max="5397" width="2.7109375" style="119" customWidth="1"/>
    <col min="5398" max="5400" width="12.85546875" style="119" customWidth="1"/>
    <col min="5401" max="5640" width="8.7109375" style="119" customWidth="1"/>
    <col min="5641" max="5641" width="28.85546875" style="119" customWidth="1"/>
    <col min="5642" max="5644" width="12.85546875" style="119" customWidth="1"/>
    <col min="5645" max="5645" width="2.7109375" style="119" customWidth="1"/>
    <col min="5646" max="5648" width="12.85546875" style="119" customWidth="1"/>
    <col min="5649" max="5649" width="2.7109375" style="119" customWidth="1"/>
    <col min="5650" max="5652" width="12.85546875" style="119" customWidth="1"/>
    <col min="5653" max="5653" width="2.7109375" style="119" customWidth="1"/>
    <col min="5654" max="5656" width="12.85546875" style="119" customWidth="1"/>
    <col min="5657" max="5896" width="8.7109375" style="119" customWidth="1"/>
    <col min="5897" max="5897" width="28.85546875" style="119" customWidth="1"/>
    <col min="5898" max="5900" width="12.85546875" style="119" customWidth="1"/>
    <col min="5901" max="5901" width="2.7109375" style="119" customWidth="1"/>
    <col min="5902" max="5904" width="12.85546875" style="119" customWidth="1"/>
    <col min="5905" max="5905" width="2.7109375" style="119" customWidth="1"/>
    <col min="5906" max="5908" width="12.85546875" style="119" customWidth="1"/>
    <col min="5909" max="5909" width="2.7109375" style="119" customWidth="1"/>
    <col min="5910" max="5912" width="12.85546875" style="119" customWidth="1"/>
    <col min="5913" max="6152" width="8.7109375" style="119" customWidth="1"/>
    <col min="6153" max="6153" width="28.85546875" style="119" customWidth="1"/>
    <col min="6154" max="6156" width="12.85546875" style="119" customWidth="1"/>
    <col min="6157" max="6157" width="2.7109375" style="119" customWidth="1"/>
    <col min="6158" max="6160" width="12.85546875" style="119" customWidth="1"/>
    <col min="6161" max="6161" width="2.7109375" style="119" customWidth="1"/>
    <col min="6162" max="6164" width="12.85546875" style="119" customWidth="1"/>
    <col min="6165" max="6165" width="2.7109375" style="119" customWidth="1"/>
    <col min="6166" max="6168" width="12.85546875" style="119" customWidth="1"/>
    <col min="6169" max="6408" width="8.7109375" style="119" customWidth="1"/>
    <col min="6409" max="6409" width="28.85546875" style="119" customWidth="1"/>
    <col min="6410" max="6412" width="12.85546875" style="119" customWidth="1"/>
    <col min="6413" max="6413" width="2.7109375" style="119" customWidth="1"/>
    <col min="6414" max="6416" width="12.85546875" style="119" customWidth="1"/>
    <col min="6417" max="6417" width="2.7109375" style="119" customWidth="1"/>
    <col min="6418" max="6420" width="12.85546875" style="119" customWidth="1"/>
    <col min="6421" max="6421" width="2.7109375" style="119" customWidth="1"/>
    <col min="6422" max="6424" width="12.85546875" style="119" customWidth="1"/>
    <col min="6425" max="6664" width="8.7109375" style="119" customWidth="1"/>
    <col min="6665" max="6665" width="28.85546875" style="119" customWidth="1"/>
    <col min="6666" max="6668" width="12.85546875" style="119" customWidth="1"/>
    <col min="6669" max="6669" width="2.7109375" style="119" customWidth="1"/>
    <col min="6670" max="6672" width="12.85546875" style="119" customWidth="1"/>
    <col min="6673" max="6673" width="2.7109375" style="119" customWidth="1"/>
    <col min="6674" max="6676" width="12.85546875" style="119" customWidth="1"/>
    <col min="6677" max="6677" width="2.7109375" style="119" customWidth="1"/>
    <col min="6678" max="6680" width="12.85546875" style="119" customWidth="1"/>
    <col min="6681" max="6920" width="8.7109375" style="119" customWidth="1"/>
    <col min="6921" max="6921" width="28.85546875" style="119" customWidth="1"/>
    <col min="6922" max="6924" width="12.85546875" style="119" customWidth="1"/>
    <col min="6925" max="6925" width="2.7109375" style="119" customWidth="1"/>
    <col min="6926" max="6928" width="12.85546875" style="119" customWidth="1"/>
    <col min="6929" max="6929" width="2.7109375" style="119" customWidth="1"/>
    <col min="6930" max="6932" width="12.85546875" style="119" customWidth="1"/>
    <col min="6933" max="6933" width="2.7109375" style="119" customWidth="1"/>
    <col min="6934" max="6936" width="12.85546875" style="119" customWidth="1"/>
    <col min="6937" max="7176" width="8.7109375" style="119" customWidth="1"/>
    <col min="7177" max="7177" width="28.85546875" style="119" customWidth="1"/>
    <col min="7178" max="7180" width="12.85546875" style="119" customWidth="1"/>
    <col min="7181" max="7181" width="2.7109375" style="119" customWidth="1"/>
    <col min="7182" max="7184" width="12.85546875" style="119" customWidth="1"/>
    <col min="7185" max="7185" width="2.7109375" style="119" customWidth="1"/>
    <col min="7186" max="7188" width="12.85546875" style="119" customWidth="1"/>
    <col min="7189" max="7189" width="2.7109375" style="119" customWidth="1"/>
    <col min="7190" max="7192" width="12.85546875" style="119" customWidth="1"/>
    <col min="7193" max="7432" width="8.7109375" style="119" customWidth="1"/>
    <col min="7433" max="7433" width="28.85546875" style="119" customWidth="1"/>
    <col min="7434" max="7436" width="12.85546875" style="119" customWidth="1"/>
    <col min="7437" max="7437" width="2.7109375" style="119" customWidth="1"/>
    <col min="7438" max="7440" width="12.85546875" style="119" customWidth="1"/>
    <col min="7441" max="7441" width="2.7109375" style="119" customWidth="1"/>
    <col min="7442" max="7444" width="12.85546875" style="119" customWidth="1"/>
    <col min="7445" max="7445" width="2.7109375" style="119" customWidth="1"/>
    <col min="7446" max="7448" width="12.85546875" style="119" customWidth="1"/>
    <col min="7449" max="7688" width="8.7109375" style="119" customWidth="1"/>
    <col min="7689" max="7689" width="28.85546875" style="119" customWidth="1"/>
    <col min="7690" max="7692" width="12.85546875" style="119" customWidth="1"/>
    <col min="7693" max="7693" width="2.7109375" style="119" customWidth="1"/>
    <col min="7694" max="7696" width="12.85546875" style="119" customWidth="1"/>
    <col min="7697" max="7697" width="2.7109375" style="119" customWidth="1"/>
    <col min="7698" max="7700" width="12.85546875" style="119" customWidth="1"/>
    <col min="7701" max="7701" width="2.7109375" style="119" customWidth="1"/>
    <col min="7702" max="7704" width="12.85546875" style="119" customWidth="1"/>
    <col min="7705" max="7944" width="8.7109375" style="119" customWidth="1"/>
    <col min="7945" max="7945" width="28.85546875" style="119" customWidth="1"/>
    <col min="7946" max="7948" width="12.85546875" style="119" customWidth="1"/>
    <col min="7949" max="7949" width="2.7109375" style="119" customWidth="1"/>
    <col min="7950" max="7952" width="12.85546875" style="119" customWidth="1"/>
    <col min="7953" max="7953" width="2.7109375" style="119" customWidth="1"/>
    <col min="7954" max="7956" width="12.85546875" style="119" customWidth="1"/>
    <col min="7957" max="7957" width="2.7109375" style="119" customWidth="1"/>
    <col min="7958" max="7960" width="12.85546875" style="119" customWidth="1"/>
    <col min="7961" max="8200" width="8.7109375" style="119" customWidth="1"/>
    <col min="8201" max="8201" width="28.85546875" style="119" customWidth="1"/>
    <col min="8202" max="8204" width="12.85546875" style="119" customWidth="1"/>
    <col min="8205" max="8205" width="2.7109375" style="119" customWidth="1"/>
    <col min="8206" max="8208" width="12.85546875" style="119" customWidth="1"/>
    <col min="8209" max="8209" width="2.7109375" style="119" customWidth="1"/>
    <col min="8210" max="8212" width="12.85546875" style="119" customWidth="1"/>
    <col min="8213" max="8213" width="2.7109375" style="119" customWidth="1"/>
    <col min="8214" max="8216" width="12.85546875" style="119" customWidth="1"/>
    <col min="8217" max="8456" width="8.7109375" style="119" customWidth="1"/>
    <col min="8457" max="8457" width="28.85546875" style="119" customWidth="1"/>
    <col min="8458" max="8460" width="12.85546875" style="119" customWidth="1"/>
    <col min="8461" max="8461" width="2.7109375" style="119" customWidth="1"/>
    <col min="8462" max="8464" width="12.85546875" style="119" customWidth="1"/>
    <col min="8465" max="8465" width="2.7109375" style="119" customWidth="1"/>
    <col min="8466" max="8468" width="12.85546875" style="119" customWidth="1"/>
    <col min="8469" max="8469" width="2.7109375" style="119" customWidth="1"/>
    <col min="8470" max="8472" width="12.85546875" style="119" customWidth="1"/>
    <col min="8473" max="8712" width="8.7109375" style="119" customWidth="1"/>
    <col min="8713" max="8713" width="28.85546875" style="119" customWidth="1"/>
    <col min="8714" max="8716" width="12.85546875" style="119" customWidth="1"/>
    <col min="8717" max="8717" width="2.7109375" style="119" customWidth="1"/>
    <col min="8718" max="8720" width="12.85546875" style="119" customWidth="1"/>
    <col min="8721" max="8721" width="2.7109375" style="119" customWidth="1"/>
    <col min="8722" max="8724" width="12.85546875" style="119" customWidth="1"/>
    <col min="8725" max="8725" width="2.7109375" style="119" customWidth="1"/>
    <col min="8726" max="8728" width="12.85546875" style="119" customWidth="1"/>
    <col min="8729" max="8968" width="8.7109375" style="119" customWidth="1"/>
    <col min="8969" max="8969" width="28.85546875" style="119" customWidth="1"/>
    <col min="8970" max="8972" width="12.85546875" style="119" customWidth="1"/>
    <col min="8973" max="8973" width="2.7109375" style="119" customWidth="1"/>
    <col min="8974" max="8976" width="12.85546875" style="119" customWidth="1"/>
    <col min="8977" max="8977" width="2.7109375" style="119" customWidth="1"/>
    <col min="8978" max="8980" width="12.85546875" style="119" customWidth="1"/>
    <col min="8981" max="8981" width="2.7109375" style="119" customWidth="1"/>
    <col min="8982" max="8984" width="12.85546875" style="119" customWidth="1"/>
    <col min="8985" max="9224" width="8.7109375" style="119" customWidth="1"/>
    <col min="9225" max="9225" width="28.85546875" style="119" customWidth="1"/>
    <col min="9226" max="9228" width="12.85546875" style="119" customWidth="1"/>
    <col min="9229" max="9229" width="2.7109375" style="119" customWidth="1"/>
    <col min="9230" max="9232" width="12.85546875" style="119" customWidth="1"/>
    <col min="9233" max="9233" width="2.7109375" style="119" customWidth="1"/>
    <col min="9234" max="9236" width="12.85546875" style="119" customWidth="1"/>
    <col min="9237" max="9237" width="2.7109375" style="119" customWidth="1"/>
    <col min="9238" max="9240" width="12.85546875" style="119" customWidth="1"/>
    <col min="9241" max="9480" width="8.7109375" style="119" customWidth="1"/>
    <col min="9481" max="9481" width="28.85546875" style="119" customWidth="1"/>
    <col min="9482" max="9484" width="12.85546875" style="119" customWidth="1"/>
    <col min="9485" max="9485" width="2.7109375" style="119" customWidth="1"/>
    <col min="9486" max="9488" width="12.85546875" style="119" customWidth="1"/>
    <col min="9489" max="9489" width="2.7109375" style="119" customWidth="1"/>
    <col min="9490" max="9492" width="12.85546875" style="119" customWidth="1"/>
    <col min="9493" max="9493" width="2.7109375" style="119" customWidth="1"/>
    <col min="9494" max="9496" width="12.85546875" style="119" customWidth="1"/>
    <col min="9497" max="9736" width="8.7109375" style="119" customWidth="1"/>
    <col min="9737" max="9737" width="28.85546875" style="119" customWidth="1"/>
    <col min="9738" max="9740" width="12.85546875" style="119" customWidth="1"/>
    <col min="9741" max="9741" width="2.7109375" style="119" customWidth="1"/>
    <col min="9742" max="9744" width="12.85546875" style="119" customWidth="1"/>
    <col min="9745" max="9745" width="2.7109375" style="119" customWidth="1"/>
    <col min="9746" max="9748" width="12.85546875" style="119" customWidth="1"/>
    <col min="9749" max="9749" width="2.7109375" style="119" customWidth="1"/>
    <col min="9750" max="9752" width="12.85546875" style="119" customWidth="1"/>
    <col min="9753" max="9992" width="8.7109375" style="119" customWidth="1"/>
    <col min="9993" max="9993" width="28.85546875" style="119" customWidth="1"/>
    <col min="9994" max="9996" width="12.85546875" style="119" customWidth="1"/>
    <col min="9997" max="9997" width="2.7109375" style="119" customWidth="1"/>
    <col min="9998" max="10000" width="12.85546875" style="119" customWidth="1"/>
    <col min="10001" max="10001" width="2.7109375" style="119" customWidth="1"/>
    <col min="10002" max="10004" width="12.85546875" style="119" customWidth="1"/>
    <col min="10005" max="10005" width="2.7109375" style="119" customWidth="1"/>
    <col min="10006" max="10008" width="12.85546875" style="119" customWidth="1"/>
    <col min="10009" max="10248" width="8.7109375" style="119" customWidth="1"/>
    <col min="10249" max="10249" width="28.85546875" style="119" customWidth="1"/>
    <col min="10250" max="10252" width="12.85546875" style="119" customWidth="1"/>
    <col min="10253" max="10253" width="2.7109375" style="119" customWidth="1"/>
    <col min="10254" max="10256" width="12.85546875" style="119" customWidth="1"/>
    <col min="10257" max="10257" width="2.7109375" style="119" customWidth="1"/>
    <col min="10258" max="10260" width="12.85546875" style="119" customWidth="1"/>
    <col min="10261" max="10261" width="2.7109375" style="119" customWidth="1"/>
    <col min="10262" max="10264" width="12.85546875" style="119" customWidth="1"/>
    <col min="10265" max="10504" width="8.7109375" style="119" customWidth="1"/>
    <col min="10505" max="10505" width="28.85546875" style="119" customWidth="1"/>
    <col min="10506" max="10508" width="12.85546875" style="119" customWidth="1"/>
    <col min="10509" max="10509" width="2.7109375" style="119" customWidth="1"/>
    <col min="10510" max="10512" width="12.85546875" style="119" customWidth="1"/>
    <col min="10513" max="10513" width="2.7109375" style="119" customWidth="1"/>
    <col min="10514" max="10516" width="12.85546875" style="119" customWidth="1"/>
    <col min="10517" max="10517" width="2.7109375" style="119" customWidth="1"/>
    <col min="10518" max="10520" width="12.85546875" style="119" customWidth="1"/>
    <col min="10521" max="10760" width="8.7109375" style="119" customWidth="1"/>
    <col min="10761" max="10761" width="28.85546875" style="119" customWidth="1"/>
    <col min="10762" max="10764" width="12.85546875" style="119" customWidth="1"/>
    <col min="10765" max="10765" width="2.7109375" style="119" customWidth="1"/>
    <col min="10766" max="10768" width="12.85546875" style="119" customWidth="1"/>
    <col min="10769" max="10769" width="2.7109375" style="119" customWidth="1"/>
    <col min="10770" max="10772" width="12.85546875" style="119" customWidth="1"/>
    <col min="10773" max="10773" width="2.7109375" style="119" customWidth="1"/>
    <col min="10774" max="10776" width="12.85546875" style="119" customWidth="1"/>
    <col min="10777" max="11016" width="8.7109375" style="119" customWidth="1"/>
    <col min="11017" max="11017" width="28.85546875" style="119" customWidth="1"/>
    <col min="11018" max="11020" width="12.85546875" style="119" customWidth="1"/>
    <col min="11021" max="11021" width="2.7109375" style="119" customWidth="1"/>
    <col min="11022" max="11024" width="12.85546875" style="119" customWidth="1"/>
    <col min="11025" max="11025" width="2.7109375" style="119" customWidth="1"/>
    <col min="11026" max="11028" width="12.85546875" style="119" customWidth="1"/>
    <col min="11029" max="11029" width="2.7109375" style="119" customWidth="1"/>
    <col min="11030" max="11032" width="12.85546875" style="119" customWidth="1"/>
    <col min="11033" max="11272" width="8.7109375" style="119" customWidth="1"/>
    <col min="11273" max="11273" width="28.85546875" style="119" customWidth="1"/>
    <col min="11274" max="11276" width="12.85546875" style="119" customWidth="1"/>
    <col min="11277" max="11277" width="2.7109375" style="119" customWidth="1"/>
    <col min="11278" max="11280" width="12.85546875" style="119" customWidth="1"/>
    <col min="11281" max="11281" width="2.7109375" style="119" customWidth="1"/>
    <col min="11282" max="11284" width="12.85546875" style="119" customWidth="1"/>
    <col min="11285" max="11285" width="2.7109375" style="119" customWidth="1"/>
    <col min="11286" max="11288" width="12.85546875" style="119" customWidth="1"/>
    <col min="11289" max="11528" width="8.7109375" style="119" customWidth="1"/>
    <col min="11529" max="11529" width="28.85546875" style="119" customWidth="1"/>
    <col min="11530" max="11532" width="12.85546875" style="119" customWidth="1"/>
    <col min="11533" max="11533" width="2.7109375" style="119" customWidth="1"/>
    <col min="11534" max="11536" width="12.85546875" style="119" customWidth="1"/>
    <col min="11537" max="11537" width="2.7109375" style="119" customWidth="1"/>
    <col min="11538" max="11540" width="12.85546875" style="119" customWidth="1"/>
    <col min="11541" max="11541" width="2.7109375" style="119" customWidth="1"/>
    <col min="11542" max="11544" width="12.85546875" style="119" customWidth="1"/>
    <col min="11545" max="11784" width="8.7109375" style="119" customWidth="1"/>
    <col min="11785" max="11785" width="28.85546875" style="119" customWidth="1"/>
    <col min="11786" max="11788" width="12.85546875" style="119" customWidth="1"/>
    <col min="11789" max="11789" width="2.7109375" style="119" customWidth="1"/>
    <col min="11790" max="11792" width="12.85546875" style="119" customWidth="1"/>
    <col min="11793" max="11793" width="2.7109375" style="119" customWidth="1"/>
    <col min="11794" max="11796" width="12.85546875" style="119" customWidth="1"/>
    <col min="11797" max="11797" width="2.7109375" style="119" customWidth="1"/>
    <col min="11798" max="11800" width="12.85546875" style="119" customWidth="1"/>
    <col min="11801" max="12040" width="8.7109375" style="119" customWidth="1"/>
    <col min="12041" max="12041" width="28.85546875" style="119" customWidth="1"/>
    <col min="12042" max="12044" width="12.85546875" style="119" customWidth="1"/>
    <col min="12045" max="12045" width="2.7109375" style="119" customWidth="1"/>
    <col min="12046" max="12048" width="12.85546875" style="119" customWidth="1"/>
    <col min="12049" max="12049" width="2.7109375" style="119" customWidth="1"/>
    <col min="12050" max="12052" width="12.85546875" style="119" customWidth="1"/>
    <col min="12053" max="12053" width="2.7109375" style="119" customWidth="1"/>
    <col min="12054" max="12056" width="12.85546875" style="119" customWidth="1"/>
    <col min="12057" max="12296" width="8.7109375" style="119" customWidth="1"/>
    <col min="12297" max="12297" width="28.85546875" style="119" customWidth="1"/>
    <col min="12298" max="12300" width="12.85546875" style="119" customWidth="1"/>
    <col min="12301" max="12301" width="2.7109375" style="119" customWidth="1"/>
    <col min="12302" max="12304" width="12.85546875" style="119" customWidth="1"/>
    <col min="12305" max="12305" width="2.7109375" style="119" customWidth="1"/>
    <col min="12306" max="12308" width="12.85546875" style="119" customWidth="1"/>
    <col min="12309" max="12309" width="2.7109375" style="119" customWidth="1"/>
    <col min="12310" max="12312" width="12.85546875" style="119" customWidth="1"/>
    <col min="12313" max="12552" width="8.7109375" style="119" customWidth="1"/>
    <col min="12553" max="12553" width="28.85546875" style="119" customWidth="1"/>
    <col min="12554" max="12556" width="12.85546875" style="119" customWidth="1"/>
    <col min="12557" max="12557" width="2.7109375" style="119" customWidth="1"/>
    <col min="12558" max="12560" width="12.85546875" style="119" customWidth="1"/>
    <col min="12561" max="12561" width="2.7109375" style="119" customWidth="1"/>
    <col min="12562" max="12564" width="12.85546875" style="119" customWidth="1"/>
    <col min="12565" max="12565" width="2.7109375" style="119" customWidth="1"/>
    <col min="12566" max="12568" width="12.85546875" style="119" customWidth="1"/>
    <col min="12569" max="12808" width="8.7109375" style="119" customWidth="1"/>
    <col min="12809" max="12809" width="28.85546875" style="119" customWidth="1"/>
    <col min="12810" max="12812" width="12.85546875" style="119" customWidth="1"/>
    <col min="12813" max="12813" width="2.7109375" style="119" customWidth="1"/>
    <col min="12814" max="12816" width="12.85546875" style="119" customWidth="1"/>
    <col min="12817" max="12817" width="2.7109375" style="119" customWidth="1"/>
    <col min="12818" max="12820" width="12.85546875" style="119" customWidth="1"/>
    <col min="12821" max="12821" width="2.7109375" style="119" customWidth="1"/>
    <col min="12822" max="12824" width="12.85546875" style="119" customWidth="1"/>
    <col min="12825" max="13064" width="8.7109375" style="119" customWidth="1"/>
    <col min="13065" max="13065" width="28.85546875" style="119" customWidth="1"/>
    <col min="13066" max="13068" width="12.85546875" style="119" customWidth="1"/>
    <col min="13069" max="13069" width="2.7109375" style="119" customWidth="1"/>
    <col min="13070" max="13072" width="12.85546875" style="119" customWidth="1"/>
    <col min="13073" max="13073" width="2.7109375" style="119" customWidth="1"/>
    <col min="13074" max="13076" width="12.85546875" style="119" customWidth="1"/>
    <col min="13077" max="13077" width="2.7109375" style="119" customWidth="1"/>
    <col min="13078" max="13080" width="12.85546875" style="119" customWidth="1"/>
    <col min="13081" max="13320" width="8.7109375" style="119" customWidth="1"/>
    <col min="13321" max="13321" width="28.85546875" style="119" customWidth="1"/>
    <col min="13322" max="13324" width="12.85546875" style="119" customWidth="1"/>
    <col min="13325" max="13325" width="2.7109375" style="119" customWidth="1"/>
    <col min="13326" max="13328" width="12.85546875" style="119" customWidth="1"/>
    <col min="13329" max="13329" width="2.7109375" style="119" customWidth="1"/>
    <col min="13330" max="13332" width="12.85546875" style="119" customWidth="1"/>
    <col min="13333" max="13333" width="2.7109375" style="119" customWidth="1"/>
    <col min="13334" max="13336" width="12.85546875" style="119" customWidth="1"/>
    <col min="13337" max="13576" width="8.7109375" style="119" customWidth="1"/>
    <col min="13577" max="13577" width="28.85546875" style="119" customWidth="1"/>
    <col min="13578" max="13580" width="12.85546875" style="119" customWidth="1"/>
    <col min="13581" max="13581" width="2.7109375" style="119" customWidth="1"/>
    <col min="13582" max="13584" width="12.85546875" style="119" customWidth="1"/>
    <col min="13585" max="13585" width="2.7109375" style="119" customWidth="1"/>
    <col min="13586" max="13588" width="12.85546875" style="119" customWidth="1"/>
    <col min="13589" max="13589" width="2.7109375" style="119" customWidth="1"/>
    <col min="13590" max="13592" width="12.85546875" style="119" customWidth="1"/>
    <col min="13593" max="13832" width="8.7109375" style="119" customWidth="1"/>
    <col min="13833" max="13833" width="28.85546875" style="119" customWidth="1"/>
    <col min="13834" max="13836" width="12.85546875" style="119" customWidth="1"/>
    <col min="13837" max="13837" width="2.7109375" style="119" customWidth="1"/>
    <col min="13838" max="13840" width="12.85546875" style="119" customWidth="1"/>
    <col min="13841" max="13841" width="2.7109375" style="119" customWidth="1"/>
    <col min="13842" max="13844" width="12.85546875" style="119" customWidth="1"/>
    <col min="13845" max="13845" width="2.7109375" style="119" customWidth="1"/>
    <col min="13846" max="13848" width="12.85546875" style="119" customWidth="1"/>
    <col min="13849" max="14088" width="8.7109375" style="119" customWidth="1"/>
    <col min="14089" max="14089" width="28.85546875" style="119" customWidth="1"/>
    <col min="14090" max="14092" width="12.85546875" style="119" customWidth="1"/>
    <col min="14093" max="14093" width="2.7109375" style="119" customWidth="1"/>
    <col min="14094" max="14096" width="12.85546875" style="119" customWidth="1"/>
    <col min="14097" max="14097" width="2.7109375" style="119" customWidth="1"/>
    <col min="14098" max="14100" width="12.85546875" style="119" customWidth="1"/>
    <col min="14101" max="14101" width="2.7109375" style="119" customWidth="1"/>
    <col min="14102" max="14104" width="12.85546875" style="119" customWidth="1"/>
    <col min="14105" max="14344" width="8.7109375" style="119" customWidth="1"/>
    <col min="14345" max="14345" width="28.85546875" style="119" customWidth="1"/>
    <col min="14346" max="14348" width="12.85546875" style="119" customWidth="1"/>
    <col min="14349" max="14349" width="2.7109375" style="119" customWidth="1"/>
    <col min="14350" max="14352" width="12.85546875" style="119" customWidth="1"/>
    <col min="14353" max="14353" width="2.7109375" style="119" customWidth="1"/>
    <col min="14354" max="14356" width="12.85546875" style="119" customWidth="1"/>
    <col min="14357" max="14357" width="2.7109375" style="119" customWidth="1"/>
    <col min="14358" max="14360" width="12.85546875" style="119" customWidth="1"/>
    <col min="14361" max="14600" width="8.7109375" style="119" customWidth="1"/>
    <col min="14601" max="14601" width="28.85546875" style="119" customWidth="1"/>
    <col min="14602" max="14604" width="12.85546875" style="119" customWidth="1"/>
    <col min="14605" max="14605" width="2.7109375" style="119" customWidth="1"/>
    <col min="14606" max="14608" width="12.85546875" style="119" customWidth="1"/>
    <col min="14609" max="14609" width="2.7109375" style="119" customWidth="1"/>
    <col min="14610" max="14612" width="12.85546875" style="119" customWidth="1"/>
    <col min="14613" max="14613" width="2.7109375" style="119" customWidth="1"/>
    <col min="14614" max="14616" width="12.85546875" style="119" customWidth="1"/>
    <col min="14617" max="14856" width="8.7109375" style="119" customWidth="1"/>
    <col min="14857" max="14857" width="28.85546875" style="119" customWidth="1"/>
    <col min="14858" max="14860" width="12.85546875" style="119" customWidth="1"/>
    <col min="14861" max="14861" width="2.7109375" style="119" customWidth="1"/>
    <col min="14862" max="14864" width="12.85546875" style="119" customWidth="1"/>
    <col min="14865" max="14865" width="2.7109375" style="119" customWidth="1"/>
    <col min="14866" max="14868" width="12.85546875" style="119" customWidth="1"/>
    <col min="14869" max="14869" width="2.7109375" style="119" customWidth="1"/>
    <col min="14870" max="14872" width="12.85546875" style="119" customWidth="1"/>
    <col min="14873" max="15112" width="8.7109375" style="119" customWidth="1"/>
    <col min="15113" max="15113" width="28.85546875" style="119" customWidth="1"/>
    <col min="15114" max="15116" width="12.85546875" style="119" customWidth="1"/>
    <col min="15117" max="15117" width="2.7109375" style="119" customWidth="1"/>
    <col min="15118" max="15120" width="12.85546875" style="119" customWidth="1"/>
    <col min="15121" max="15121" width="2.7109375" style="119" customWidth="1"/>
    <col min="15122" max="15124" width="12.85546875" style="119" customWidth="1"/>
    <col min="15125" max="15125" width="2.7109375" style="119" customWidth="1"/>
    <col min="15126" max="15128" width="12.85546875" style="119" customWidth="1"/>
    <col min="15129" max="15368" width="8.7109375" style="119" customWidth="1"/>
    <col min="15369" max="15369" width="28.85546875" style="119" customWidth="1"/>
    <col min="15370" max="15372" width="12.85546875" style="119" customWidth="1"/>
    <col min="15373" max="15373" width="2.7109375" style="119" customWidth="1"/>
    <col min="15374" max="15376" width="12.85546875" style="119" customWidth="1"/>
    <col min="15377" max="15377" width="2.7109375" style="119" customWidth="1"/>
    <col min="15378" max="15380" width="12.85546875" style="119" customWidth="1"/>
    <col min="15381" max="15381" width="2.7109375" style="119" customWidth="1"/>
    <col min="15382" max="15384" width="12.85546875" style="119" customWidth="1"/>
    <col min="15385" max="15624" width="8.7109375" style="119" customWidth="1"/>
    <col min="15625" max="15625" width="28.85546875" style="119" customWidth="1"/>
    <col min="15626" max="15628" width="12.85546875" style="119" customWidth="1"/>
    <col min="15629" max="15629" width="2.7109375" style="119" customWidth="1"/>
    <col min="15630" max="15632" width="12.85546875" style="119" customWidth="1"/>
    <col min="15633" max="15633" width="2.7109375" style="119" customWidth="1"/>
    <col min="15634" max="15636" width="12.85546875" style="119" customWidth="1"/>
    <col min="15637" max="15637" width="2.7109375" style="119" customWidth="1"/>
    <col min="15638" max="15640" width="12.85546875" style="119" customWidth="1"/>
    <col min="15641" max="15880" width="8.7109375" style="119" customWidth="1"/>
    <col min="15881" max="15881" width="28.85546875" style="119" customWidth="1"/>
    <col min="15882" max="15884" width="12.85546875" style="119" customWidth="1"/>
    <col min="15885" max="15885" width="2.7109375" style="119" customWidth="1"/>
    <col min="15886" max="15888" width="12.85546875" style="119" customWidth="1"/>
    <col min="15889" max="15889" width="2.7109375" style="119" customWidth="1"/>
    <col min="15890" max="15892" width="12.85546875" style="119" customWidth="1"/>
    <col min="15893" max="15893" width="2.7109375" style="119" customWidth="1"/>
    <col min="15894" max="15896" width="12.85546875" style="119" customWidth="1"/>
    <col min="15897" max="16136" width="8.7109375" style="119" customWidth="1"/>
    <col min="16137" max="16137" width="28.85546875" style="119" customWidth="1"/>
    <col min="16138" max="16140" width="12.85546875" style="119" customWidth="1"/>
    <col min="16141" max="16141" width="2.7109375" style="119" customWidth="1"/>
    <col min="16142" max="16144" width="12.85546875" style="119" customWidth="1"/>
    <col min="16145" max="16145" width="2.7109375" style="119" customWidth="1"/>
    <col min="16146" max="16148" width="12.85546875" style="119" customWidth="1"/>
    <col min="16149" max="16149" width="2.7109375" style="119" customWidth="1"/>
    <col min="16150" max="16152" width="12.85546875" style="119" customWidth="1"/>
    <col min="16153" max="16384" width="8.7109375" style="119" customWidth="1"/>
  </cols>
  <sheetData>
    <row r="1" spans="1:32" s="11" customFormat="1" ht="12.75">
      <c r="A1" s="1" t="s">
        <v>0</v>
      </c>
      <c r="B1" s="2" t="s">
        <v>1</v>
      </c>
      <c r="C1" s="3">
        <v>0</v>
      </c>
      <c r="D1" s="4"/>
      <c r="E1" s="5"/>
      <c r="F1" s="2" t="s">
        <v>1</v>
      </c>
      <c r="G1" s="6" t="str">
        <f>IF(ISTEXT('[1]Investment &amp; Cash'!$D$10),'[1]Investment &amp; Cash'!$D$10,"")</f>
        <v>Month 4</v>
      </c>
      <c r="H1" s="4"/>
      <c r="I1" s="5"/>
      <c r="J1" s="2" t="s">
        <v>1</v>
      </c>
      <c r="K1" s="6" t="str">
        <f>IF(ISTEXT('[1]Investment &amp; Cash'!$D$11),'[1]Investment &amp; Cash'!$D$11,"")</f>
        <v>Month 13</v>
      </c>
      <c r="L1" s="4"/>
      <c r="M1" s="5"/>
      <c r="N1" s="2" t="s">
        <v>1</v>
      </c>
      <c r="O1" s="6" t="str">
        <f>IF(ISTEXT('[1]Investment &amp; Cash'!$D$12),'[1]Investment &amp; Cash'!$D$12,"")</f>
        <v>Month 25</v>
      </c>
      <c r="P1" s="7"/>
      <c r="Q1" s="5"/>
      <c r="R1" s="2" t="s">
        <v>1</v>
      </c>
      <c r="S1" s="6" t="str">
        <f>IF(ISTEXT('[1]Investment &amp; Cash'!$D$13),'[1]Investment &amp; Cash'!$D$13,"")</f>
        <v>Month 37</v>
      </c>
      <c r="T1" s="7"/>
      <c r="U1" s="5"/>
      <c r="V1" s="2" t="s">
        <v>1</v>
      </c>
      <c r="W1" s="6" t="str">
        <f>IF(ISTEXT('[1]Investment &amp; Cash'!$D$14),'[1]Investment &amp; Cash'!$D$14,"")</f>
        <v>Month 49</v>
      </c>
      <c r="X1" s="7"/>
      <c r="Y1" s="5"/>
      <c r="Z1" s="8" t="s">
        <v>2</v>
      </c>
      <c r="AA1" s="9">
        <v>5</v>
      </c>
      <c r="AB1" s="10"/>
    </row>
    <row r="2" spans="1:32" s="11" customFormat="1" ht="12.75">
      <c r="B2" s="12"/>
      <c r="C2" s="13"/>
      <c r="D2" s="14"/>
      <c r="E2" s="5"/>
      <c r="F2" s="12"/>
      <c r="G2" s="13"/>
      <c r="H2" s="14"/>
      <c r="I2" s="5"/>
      <c r="J2" s="12"/>
      <c r="K2" s="13"/>
      <c r="L2" s="14"/>
      <c r="M2" s="5"/>
      <c r="N2" s="15"/>
      <c r="O2" s="13"/>
      <c r="P2" s="16"/>
      <c r="Q2" s="5"/>
      <c r="R2" s="15"/>
      <c r="S2" s="13"/>
      <c r="T2" s="16"/>
      <c r="U2" s="5"/>
      <c r="V2" s="15"/>
      <c r="W2" s="13"/>
      <c r="X2" s="16"/>
      <c r="Y2" s="5"/>
      <c r="Z2" s="17"/>
      <c r="AA2" s="18"/>
      <c r="AB2" s="19"/>
    </row>
    <row r="3" spans="1:32" s="11" customFormat="1" ht="13.5" thickBot="1">
      <c r="B3" s="20" t="s">
        <v>3</v>
      </c>
      <c r="C3" s="21"/>
      <c r="D3" s="22"/>
      <c r="E3" s="5"/>
      <c r="F3" s="20" t="s">
        <v>4</v>
      </c>
      <c r="G3" s="21"/>
      <c r="H3" s="22"/>
      <c r="I3" s="5"/>
      <c r="J3" s="20" t="s">
        <v>5</v>
      </c>
      <c r="K3" s="21"/>
      <c r="L3" s="22"/>
      <c r="M3" s="5"/>
      <c r="N3" s="20" t="s">
        <v>6</v>
      </c>
      <c r="O3" s="21"/>
      <c r="P3" s="22"/>
      <c r="Q3" s="5"/>
      <c r="R3" s="20" t="s">
        <v>7</v>
      </c>
      <c r="S3" s="21"/>
      <c r="T3" s="22"/>
      <c r="U3" s="5"/>
      <c r="V3" s="20" t="s">
        <v>8</v>
      </c>
      <c r="W3" s="21"/>
      <c r="X3" s="22"/>
      <c r="Y3" s="5"/>
      <c r="Z3" s="23" t="s">
        <v>9</v>
      </c>
      <c r="AA3" s="24"/>
      <c r="AB3" s="25"/>
    </row>
    <row r="4" spans="1:32" s="32" customFormat="1" ht="12.75">
      <c r="A4" s="26" t="s">
        <v>10</v>
      </c>
      <c r="B4" s="27"/>
      <c r="C4" s="28">
        <v>0.1</v>
      </c>
      <c r="D4" s="29"/>
      <c r="E4" s="30"/>
      <c r="F4" s="27"/>
      <c r="G4" s="28">
        <v>1</v>
      </c>
      <c r="H4" s="29"/>
      <c r="I4" s="30"/>
      <c r="J4" s="27"/>
      <c r="K4" s="28">
        <v>1.5</v>
      </c>
      <c r="L4" s="29"/>
      <c r="M4" s="30"/>
      <c r="N4" s="29"/>
      <c r="O4" s="28">
        <v>3</v>
      </c>
      <c r="P4" s="29"/>
      <c r="Q4" s="30"/>
      <c r="R4" s="29"/>
      <c r="S4" s="28">
        <v>10</v>
      </c>
      <c r="T4" s="29"/>
      <c r="U4" s="30"/>
      <c r="V4" s="29"/>
      <c r="W4" s="28">
        <v>25</v>
      </c>
      <c r="X4" s="31"/>
      <c r="Y4" s="30"/>
      <c r="Z4" s="29"/>
      <c r="AA4" s="32" t="s">
        <v>11</v>
      </c>
      <c r="AB4" s="31"/>
    </row>
    <row r="5" spans="1:32" s="11" customFormat="1" ht="12.75">
      <c r="A5" s="11" t="s">
        <v>12</v>
      </c>
      <c r="E5" s="5"/>
      <c r="G5" s="33">
        <f>G4/C4</f>
        <v>10</v>
      </c>
      <c r="I5" s="5"/>
      <c r="K5" s="33">
        <f>K4/G4</f>
        <v>1.5</v>
      </c>
      <c r="M5" s="5"/>
      <c r="O5" s="33">
        <f>O4/K4</f>
        <v>2</v>
      </c>
      <c r="P5" s="33"/>
      <c r="Q5" s="5"/>
      <c r="R5" s="33"/>
      <c r="S5" s="33">
        <f>S4/O4</f>
        <v>3.3333333333333335</v>
      </c>
      <c r="T5" s="33"/>
      <c r="U5" s="5"/>
      <c r="V5" s="33"/>
      <c r="W5" s="33">
        <f>W4/S4</f>
        <v>2.5</v>
      </c>
      <c r="X5" s="33"/>
      <c r="Y5" s="5"/>
      <c r="Z5" s="33"/>
      <c r="AA5" s="33">
        <v>3</v>
      </c>
      <c r="AB5" s="33"/>
    </row>
    <row r="6" spans="1:32" s="11" customFormat="1" ht="12.75">
      <c r="E6" s="5"/>
      <c r="I6" s="5"/>
      <c r="M6" s="5"/>
      <c r="O6" s="34"/>
      <c r="P6" s="34"/>
      <c r="Q6" s="5"/>
      <c r="R6" s="34"/>
      <c r="S6" s="34"/>
      <c r="T6" s="34"/>
      <c r="U6" s="5"/>
      <c r="V6" s="34"/>
      <c r="W6" s="34"/>
      <c r="X6" s="34"/>
      <c r="Y6" s="5"/>
      <c r="Z6" s="34"/>
      <c r="AA6" s="35">
        <f>W42*AA5</f>
        <v>681250000</v>
      </c>
      <c r="AB6" s="34"/>
    </row>
    <row r="7" spans="1:32" s="36" customFormat="1" ht="38.25">
      <c r="B7" s="37" t="s">
        <v>13</v>
      </c>
      <c r="C7" s="38" t="s">
        <v>14</v>
      </c>
      <c r="D7" s="39" t="s">
        <v>15</v>
      </c>
      <c r="E7" s="40"/>
      <c r="F7" s="37" t="s">
        <v>13</v>
      </c>
      <c r="G7" s="38" t="s">
        <v>14</v>
      </c>
      <c r="H7" s="39" t="s">
        <v>15</v>
      </c>
      <c r="I7" s="40"/>
      <c r="J7" s="37" t="s">
        <v>13</v>
      </c>
      <c r="K7" s="38" t="s">
        <v>14</v>
      </c>
      <c r="L7" s="39" t="s">
        <v>15</v>
      </c>
      <c r="M7" s="40"/>
      <c r="N7" s="37" t="s">
        <v>13</v>
      </c>
      <c r="O7" s="38" t="s">
        <v>14</v>
      </c>
      <c r="P7" s="39" t="s">
        <v>15</v>
      </c>
      <c r="Q7" s="40"/>
      <c r="R7" s="37" t="s">
        <v>13</v>
      </c>
      <c r="S7" s="38" t="s">
        <v>14</v>
      </c>
      <c r="T7" s="39" t="s">
        <v>15</v>
      </c>
      <c r="U7" s="40"/>
      <c r="V7" s="37" t="s">
        <v>13</v>
      </c>
      <c r="W7" s="38" t="s">
        <v>14</v>
      </c>
      <c r="X7" s="39" t="s">
        <v>15</v>
      </c>
      <c r="Y7" s="40"/>
      <c r="Z7" s="34"/>
      <c r="AA7" s="38" t="s">
        <v>14</v>
      </c>
      <c r="AB7" s="39" t="s">
        <v>15</v>
      </c>
      <c r="AE7" s="41"/>
      <c r="AF7" s="42" t="s">
        <v>16</v>
      </c>
    </row>
    <row r="8" spans="1:32" s="11" customFormat="1" ht="12.75">
      <c r="B8" s="43"/>
      <c r="C8" s="44"/>
      <c r="D8" s="45"/>
      <c r="E8" s="5"/>
      <c r="F8" s="43"/>
      <c r="G8" s="44"/>
      <c r="H8" s="45"/>
      <c r="I8" s="5"/>
      <c r="J8" s="43"/>
      <c r="K8" s="44"/>
      <c r="L8" s="45"/>
      <c r="M8" s="5"/>
      <c r="N8" s="43"/>
      <c r="O8" s="44"/>
      <c r="P8" s="45"/>
      <c r="Q8" s="5"/>
      <c r="R8" s="43"/>
      <c r="S8" s="44"/>
      <c r="T8" s="45"/>
      <c r="U8" s="5"/>
      <c r="V8" s="43"/>
      <c r="W8" s="44"/>
      <c r="X8" s="45"/>
      <c r="Y8" s="5"/>
      <c r="Z8" s="34"/>
      <c r="AA8" s="44"/>
      <c r="AB8" s="45"/>
      <c r="AF8" s="46" t="s">
        <v>17</v>
      </c>
    </row>
    <row r="9" spans="1:32" s="11" customFormat="1" ht="12.75">
      <c r="A9" s="1" t="s">
        <v>18</v>
      </c>
      <c r="E9" s="5"/>
      <c r="I9" s="5"/>
      <c r="M9" s="5"/>
      <c r="Q9" s="5"/>
      <c r="U9" s="5"/>
      <c r="Y9" s="5"/>
      <c r="Z9" s="34"/>
      <c r="AD9" s="47" t="s">
        <v>19</v>
      </c>
      <c r="AF9" s="48">
        <f>AD11*0.25</f>
        <v>46099624.06015037</v>
      </c>
    </row>
    <row r="10" spans="1:32" s="11" customFormat="1" ht="12.75">
      <c r="A10" s="49" t="s">
        <v>20</v>
      </c>
      <c r="B10" s="50"/>
      <c r="C10" s="51">
        <f>SUM(C11:C13)</f>
        <v>1000000</v>
      </c>
      <c r="D10" s="52">
        <f>SUM(D11:D13)</f>
        <v>1</v>
      </c>
      <c r="E10" s="53"/>
      <c r="F10" s="50"/>
      <c r="G10" s="51">
        <f>SUM(G11:G13)</f>
        <v>1000000</v>
      </c>
      <c r="H10" s="52">
        <f>SUM(H11:H13)</f>
        <v>0.7407407407407407</v>
      </c>
      <c r="I10" s="53"/>
      <c r="J10" s="50"/>
      <c r="K10" s="51">
        <f>SUM(K11:K13)</f>
        <v>4000000</v>
      </c>
      <c r="L10" s="52">
        <f>SUM(L11:L13)</f>
        <v>0.66481994459833793</v>
      </c>
      <c r="M10" s="53"/>
      <c r="N10" s="50"/>
      <c r="O10" s="51">
        <f>SUM(O11:O13)</f>
        <v>5000000</v>
      </c>
      <c r="P10" s="52">
        <f>SUM(P11:P13)</f>
        <v>0.61099796334012213</v>
      </c>
      <c r="Q10" s="53"/>
      <c r="R10" s="50"/>
      <c r="S10" s="51">
        <f>SUM(S11:S13)</f>
        <v>5000000</v>
      </c>
      <c r="T10" s="52">
        <f>SUM(T11:T13)</f>
        <v>0.57581573896353166</v>
      </c>
      <c r="U10" s="53"/>
      <c r="V10" s="50"/>
      <c r="W10" s="51">
        <f>SUM(W11:W13)</f>
        <v>5000000</v>
      </c>
      <c r="X10" s="52">
        <f>SUM(X11:X13)</f>
        <v>0.55045871559633019</v>
      </c>
      <c r="Y10" s="53"/>
      <c r="Z10" s="34"/>
      <c r="AA10" s="51">
        <f>SUM(AA11:AA13)</f>
        <v>5000000</v>
      </c>
      <c r="AB10" s="52">
        <f>SUM(AB11:AB13)</f>
        <v>0.55045871559633019</v>
      </c>
      <c r="AD10" s="46"/>
      <c r="AF10" s="46"/>
    </row>
    <row r="11" spans="1:32" s="61" customFormat="1" ht="12.75">
      <c r="A11" s="54" t="s">
        <v>21</v>
      </c>
      <c r="B11" s="55">
        <v>1000000</v>
      </c>
      <c r="C11" s="56">
        <f>B11</f>
        <v>1000000</v>
      </c>
      <c r="D11" s="57">
        <f t="shared" ref="D11:D17" si="0">IFERROR(C11/C$38,0)</f>
        <v>1</v>
      </c>
      <c r="E11" s="58"/>
      <c r="F11" s="55">
        <v>0</v>
      </c>
      <c r="G11" s="59">
        <f>C11+F11</f>
        <v>1000000</v>
      </c>
      <c r="H11" s="57">
        <f t="shared" ref="H11:H17" si="1">IFERROR(G11/G$38,0)</f>
        <v>0.7407407407407407</v>
      </c>
      <c r="I11" s="58"/>
      <c r="J11" s="55">
        <v>1000000</v>
      </c>
      <c r="K11" s="59">
        <f>G11+J11</f>
        <v>2000000</v>
      </c>
      <c r="L11" s="57">
        <f t="shared" ref="L11:L17" si="2">IFERROR(K11/K$38,0)</f>
        <v>0.33240997229916897</v>
      </c>
      <c r="M11" s="58"/>
      <c r="N11" s="55">
        <v>1000000</v>
      </c>
      <c r="O11" s="59">
        <f>K11+N11</f>
        <v>3000000</v>
      </c>
      <c r="P11" s="57">
        <f t="shared" ref="P11:P17" si="3">IFERROR(O11/O$38,0)</f>
        <v>0.36659877800407331</v>
      </c>
      <c r="Q11" s="58"/>
      <c r="R11" s="55">
        <v>0</v>
      </c>
      <c r="S11" s="59">
        <f>O11+R11</f>
        <v>3000000</v>
      </c>
      <c r="T11" s="57">
        <f t="shared" ref="T11:T17" si="4">IFERROR(S11/S$38,0)</f>
        <v>0.34548944337811899</v>
      </c>
      <c r="U11" s="58"/>
      <c r="V11" s="55">
        <v>0</v>
      </c>
      <c r="W11" s="59">
        <f>S11+V11</f>
        <v>3000000</v>
      </c>
      <c r="X11" s="57">
        <f t="shared" ref="X11:X17" si="5">IFERROR(W11/W$38,0)</f>
        <v>0.33027522935779813</v>
      </c>
      <c r="Y11" s="58"/>
      <c r="Z11" s="34"/>
      <c r="AA11" s="59">
        <f t="shared" ref="AA11:AB13" si="6">W11</f>
        <v>3000000</v>
      </c>
      <c r="AB11" s="60">
        <f t="shared" si="6"/>
        <v>0.33027522935779813</v>
      </c>
      <c r="AD11" s="62">
        <f>SUM(AA$6/AA$38)*AA11</f>
        <v>184398496.24060148</v>
      </c>
      <c r="AF11" s="46" t="s">
        <v>22</v>
      </c>
    </row>
    <row r="12" spans="1:32" s="61" customFormat="1" ht="12.75">
      <c r="A12" s="54" t="s">
        <v>23</v>
      </c>
      <c r="B12" s="55">
        <v>0</v>
      </c>
      <c r="C12" s="56">
        <f>B12</f>
        <v>0</v>
      </c>
      <c r="D12" s="57">
        <f t="shared" si="0"/>
        <v>0</v>
      </c>
      <c r="E12" s="58"/>
      <c r="F12" s="55">
        <v>0</v>
      </c>
      <c r="G12" s="59">
        <f>C12+F12</f>
        <v>0</v>
      </c>
      <c r="H12" s="57">
        <f t="shared" si="1"/>
        <v>0</v>
      </c>
      <c r="I12" s="58"/>
      <c r="J12" s="55">
        <v>2000000</v>
      </c>
      <c r="K12" s="59">
        <f>G12+J12</f>
        <v>2000000</v>
      </c>
      <c r="L12" s="57">
        <f t="shared" si="2"/>
        <v>0.33240997229916897</v>
      </c>
      <c r="M12" s="58"/>
      <c r="N12" s="55">
        <v>0</v>
      </c>
      <c r="O12" s="59">
        <f>K12+N12</f>
        <v>2000000</v>
      </c>
      <c r="P12" s="57">
        <f t="shared" si="3"/>
        <v>0.24439918533604887</v>
      </c>
      <c r="Q12" s="58"/>
      <c r="R12" s="55">
        <v>0</v>
      </c>
      <c r="S12" s="59">
        <f>O12+R12</f>
        <v>2000000</v>
      </c>
      <c r="T12" s="57">
        <f t="shared" si="4"/>
        <v>0.23032629558541265</v>
      </c>
      <c r="U12" s="58"/>
      <c r="V12" s="55">
        <v>0</v>
      </c>
      <c r="W12" s="59">
        <f>S12+V12</f>
        <v>2000000</v>
      </c>
      <c r="X12" s="57">
        <f t="shared" si="5"/>
        <v>0.22018348623853209</v>
      </c>
      <c r="Y12" s="58"/>
      <c r="Z12" s="34"/>
      <c r="AA12" s="59">
        <f t="shared" si="6"/>
        <v>2000000</v>
      </c>
      <c r="AB12" s="60">
        <f t="shared" si="6"/>
        <v>0.22018348623853209</v>
      </c>
      <c r="AD12" s="62">
        <f>SUM(AA$6/AA$38)*AA12</f>
        <v>122932330.82706766</v>
      </c>
      <c r="AE12" s="63"/>
      <c r="AF12" s="48">
        <f>AD11*0.25</f>
        <v>46099624.06015037</v>
      </c>
    </row>
    <row r="13" spans="1:32" s="61" customFormat="1" ht="12.75">
      <c r="A13" s="54" t="s">
        <v>24</v>
      </c>
      <c r="B13" s="55">
        <v>0</v>
      </c>
      <c r="C13" s="56">
        <f>B13</f>
        <v>0</v>
      </c>
      <c r="D13" s="57">
        <f t="shared" si="0"/>
        <v>0</v>
      </c>
      <c r="E13" s="58"/>
      <c r="F13" s="55">
        <v>0</v>
      </c>
      <c r="G13" s="59">
        <f>C13+F13</f>
        <v>0</v>
      </c>
      <c r="H13" s="57">
        <f t="shared" si="1"/>
        <v>0</v>
      </c>
      <c r="I13" s="58"/>
      <c r="J13" s="55">
        <v>0</v>
      </c>
      <c r="K13" s="59">
        <f>G13+J13</f>
        <v>0</v>
      </c>
      <c r="L13" s="57">
        <f t="shared" si="2"/>
        <v>0</v>
      </c>
      <c r="M13" s="58"/>
      <c r="N13" s="55">
        <v>0</v>
      </c>
      <c r="O13" s="59">
        <f>K13+N13</f>
        <v>0</v>
      </c>
      <c r="P13" s="57">
        <f t="shared" si="3"/>
        <v>0</v>
      </c>
      <c r="Q13" s="58"/>
      <c r="R13" s="55">
        <v>0</v>
      </c>
      <c r="S13" s="59">
        <f>O13+R13</f>
        <v>0</v>
      </c>
      <c r="T13" s="57">
        <f t="shared" si="4"/>
        <v>0</v>
      </c>
      <c r="U13" s="58"/>
      <c r="V13" s="55">
        <v>0</v>
      </c>
      <c r="W13" s="59">
        <f>S13+V13</f>
        <v>0</v>
      </c>
      <c r="X13" s="57">
        <f t="shared" si="5"/>
        <v>0</v>
      </c>
      <c r="Y13" s="58"/>
      <c r="Z13" s="34"/>
      <c r="AA13" s="59">
        <f t="shared" si="6"/>
        <v>0</v>
      </c>
      <c r="AB13" s="60">
        <f t="shared" si="6"/>
        <v>0</v>
      </c>
      <c r="AD13" s="62">
        <f>SUM(AA$6/AA$38)*AA13</f>
        <v>0</v>
      </c>
      <c r="AF13" s="64"/>
    </row>
    <row r="14" spans="1:32" s="11" customFormat="1" ht="12.75">
      <c r="A14" s="49" t="s">
        <v>25</v>
      </c>
      <c r="B14" s="50"/>
      <c r="C14" s="51">
        <f>SUM(C15:C17)</f>
        <v>0</v>
      </c>
      <c r="D14" s="52">
        <f t="shared" si="0"/>
        <v>0</v>
      </c>
      <c r="E14" s="53"/>
      <c r="F14" s="50"/>
      <c r="G14" s="51">
        <f>SUM(G15:G17)</f>
        <v>0</v>
      </c>
      <c r="H14" s="52">
        <f t="shared" si="1"/>
        <v>0</v>
      </c>
      <c r="I14" s="53"/>
      <c r="J14" s="50"/>
      <c r="K14" s="51">
        <f>SUM(K15:K17)</f>
        <v>1000000</v>
      </c>
      <c r="L14" s="52">
        <f t="shared" si="2"/>
        <v>0.16620498614958448</v>
      </c>
      <c r="M14" s="53"/>
      <c r="N14" s="50"/>
      <c r="O14" s="51">
        <f>SUM(O15:O17)</f>
        <v>1000000</v>
      </c>
      <c r="P14" s="52">
        <f t="shared" si="3"/>
        <v>0.12219959266802444</v>
      </c>
      <c r="Q14" s="53"/>
      <c r="R14" s="50"/>
      <c r="S14" s="51">
        <f>SUM(S15:S17)</f>
        <v>1000000</v>
      </c>
      <c r="T14" s="52">
        <f t="shared" si="4"/>
        <v>0.11516314779270632</v>
      </c>
      <c r="U14" s="53"/>
      <c r="V14" s="50"/>
      <c r="W14" s="51">
        <f>SUM(W15:W17)</f>
        <v>1000000</v>
      </c>
      <c r="X14" s="52">
        <f t="shared" si="5"/>
        <v>0.11009174311926605</v>
      </c>
      <c r="Y14" s="53"/>
      <c r="Z14" s="34"/>
      <c r="AA14" s="51">
        <f>SUM(AA15:AA17)</f>
        <v>3000000</v>
      </c>
      <c r="AB14" s="65">
        <f>IFERROR(AA14/AA$38,0)</f>
        <v>0.27067669172932329</v>
      </c>
      <c r="AD14" s="66"/>
      <c r="AF14" s="46" t="s">
        <v>26</v>
      </c>
    </row>
    <row r="15" spans="1:32" s="61" customFormat="1" ht="12.75">
      <c r="A15" s="54" t="s">
        <v>27</v>
      </c>
      <c r="B15" s="55">
        <v>0</v>
      </c>
      <c r="C15" s="56">
        <f>B15</f>
        <v>0</v>
      </c>
      <c r="D15" s="67">
        <f t="shared" si="0"/>
        <v>0</v>
      </c>
      <c r="E15" s="68"/>
      <c r="F15" s="55">
        <v>0</v>
      </c>
      <c r="G15" s="56">
        <f>C15+F15</f>
        <v>0</v>
      </c>
      <c r="H15" s="67">
        <f t="shared" si="1"/>
        <v>0</v>
      </c>
      <c r="I15" s="68"/>
      <c r="J15" s="55">
        <v>1000000</v>
      </c>
      <c r="K15" s="56">
        <f>G15+J15</f>
        <v>1000000</v>
      </c>
      <c r="L15" s="67">
        <f t="shared" si="2"/>
        <v>0.16620498614958448</v>
      </c>
      <c r="M15" s="68"/>
      <c r="N15" s="55">
        <v>1000000</v>
      </c>
      <c r="O15" s="56">
        <f>K15+N15</f>
        <v>2000000</v>
      </c>
      <c r="P15" s="67">
        <f t="shared" si="3"/>
        <v>0.24439918533604887</v>
      </c>
      <c r="Q15" s="68"/>
      <c r="R15" s="55">
        <v>0</v>
      </c>
      <c r="S15" s="56">
        <f>O15+R15</f>
        <v>2000000</v>
      </c>
      <c r="T15" s="67">
        <f t="shared" si="4"/>
        <v>0.23032629558541265</v>
      </c>
      <c r="U15" s="68"/>
      <c r="V15" s="55">
        <v>0</v>
      </c>
      <c r="W15" s="56">
        <f>S15+V15</f>
        <v>2000000</v>
      </c>
      <c r="X15" s="67">
        <f t="shared" si="5"/>
        <v>0.22018348623853209</v>
      </c>
      <c r="Y15" s="68"/>
      <c r="Z15" s="34"/>
      <c r="AA15" s="59">
        <f>W15</f>
        <v>2000000</v>
      </c>
      <c r="AB15" s="60">
        <f>X15</f>
        <v>0.22018348623853209</v>
      </c>
      <c r="AD15" s="62">
        <f>SUM(AA$6/AA$38)*AA15</f>
        <v>122932330.82706766</v>
      </c>
      <c r="AF15" s="48">
        <f>AD11*0.25</f>
        <v>46099624.06015037</v>
      </c>
    </row>
    <row r="16" spans="1:32" s="61" customFormat="1" ht="12.75">
      <c r="A16" s="54" t="s">
        <v>28</v>
      </c>
      <c r="B16" s="55">
        <v>0</v>
      </c>
      <c r="C16" s="56">
        <f>B16</f>
        <v>0</v>
      </c>
      <c r="D16" s="67">
        <f t="shared" si="0"/>
        <v>0</v>
      </c>
      <c r="E16" s="68"/>
      <c r="F16" s="55">
        <v>0</v>
      </c>
      <c r="G16" s="56">
        <f>C16+F16</f>
        <v>0</v>
      </c>
      <c r="H16" s="67">
        <f t="shared" si="1"/>
        <v>0</v>
      </c>
      <c r="I16" s="68"/>
      <c r="J16" s="55">
        <v>0</v>
      </c>
      <c r="K16" s="56">
        <f>G16+J16</f>
        <v>0</v>
      </c>
      <c r="L16" s="67">
        <f t="shared" si="2"/>
        <v>0</v>
      </c>
      <c r="M16" s="68"/>
      <c r="N16" s="55">
        <v>0</v>
      </c>
      <c r="O16" s="56">
        <f>K16+N16</f>
        <v>0</v>
      </c>
      <c r="P16" s="67">
        <f t="shared" si="3"/>
        <v>0</v>
      </c>
      <c r="Q16" s="68"/>
      <c r="R16" s="55">
        <v>0</v>
      </c>
      <c r="S16" s="56">
        <f>O16+R16</f>
        <v>0</v>
      </c>
      <c r="T16" s="67">
        <f t="shared" si="4"/>
        <v>0</v>
      </c>
      <c r="U16" s="68"/>
      <c r="V16" s="55">
        <v>0</v>
      </c>
      <c r="W16" s="56">
        <f>S16+V16</f>
        <v>0</v>
      </c>
      <c r="X16" s="67">
        <f t="shared" si="5"/>
        <v>0</v>
      </c>
      <c r="Y16" s="68"/>
      <c r="Z16" s="34"/>
      <c r="AA16" s="59">
        <f>W16</f>
        <v>0</v>
      </c>
      <c r="AB16" s="60">
        <f>X16</f>
        <v>0</v>
      </c>
      <c r="AD16" s="62">
        <f>SUM(AA$6/AA$38)*AA16</f>
        <v>0</v>
      </c>
      <c r="AF16" s="46"/>
    </row>
    <row r="17" spans="1:36" s="61" customFormat="1" ht="12.75">
      <c r="A17" s="69" t="s">
        <v>29</v>
      </c>
      <c r="B17" s="70">
        <v>0</v>
      </c>
      <c r="C17" s="71">
        <f>B17</f>
        <v>0</v>
      </c>
      <c r="D17" s="72">
        <f t="shared" si="0"/>
        <v>0</v>
      </c>
      <c r="E17" s="68"/>
      <c r="F17" s="70">
        <v>0</v>
      </c>
      <c r="G17" s="71">
        <f>C17+F17</f>
        <v>0</v>
      </c>
      <c r="H17" s="72">
        <f t="shared" si="1"/>
        <v>0</v>
      </c>
      <c r="I17" s="68"/>
      <c r="J17" s="70">
        <v>0</v>
      </c>
      <c r="K17" s="71">
        <f>G17+J17</f>
        <v>0</v>
      </c>
      <c r="L17" s="72">
        <f t="shared" si="2"/>
        <v>0</v>
      </c>
      <c r="M17" s="68"/>
      <c r="N17" s="70">
        <v>-1000000</v>
      </c>
      <c r="O17" s="71">
        <f>K17+N17</f>
        <v>-1000000</v>
      </c>
      <c r="P17" s="72">
        <f t="shared" si="3"/>
        <v>-0.12219959266802444</v>
      </c>
      <c r="Q17" s="68"/>
      <c r="R17" s="70">
        <v>0</v>
      </c>
      <c r="S17" s="71">
        <f>O17+R17</f>
        <v>-1000000</v>
      </c>
      <c r="T17" s="72">
        <f t="shared" si="4"/>
        <v>-0.11516314779270632</v>
      </c>
      <c r="U17" s="68"/>
      <c r="V17" s="70">
        <v>0</v>
      </c>
      <c r="W17" s="71">
        <f>S17+V17</f>
        <v>-1000000</v>
      </c>
      <c r="X17" s="72">
        <f t="shared" si="5"/>
        <v>-0.11009174311926605</v>
      </c>
      <c r="Y17" s="68"/>
      <c r="Z17" s="34"/>
      <c r="AA17" s="73">
        <f>W17*-1</f>
        <v>1000000</v>
      </c>
      <c r="AB17" s="74">
        <f>X17*-1</f>
        <v>0.11009174311926605</v>
      </c>
      <c r="AD17" s="62">
        <f>SUM(AA$6/AA$38)*AA17</f>
        <v>61466165.413533829</v>
      </c>
      <c r="AF17" s="46" t="s">
        <v>30</v>
      </c>
    </row>
    <row r="18" spans="1:36" s="11" customFormat="1" ht="12.75">
      <c r="A18" s="1" t="s">
        <v>31</v>
      </c>
      <c r="B18" s="75">
        <f>SUM(B11:B13,B15:B17)</f>
        <v>1000000</v>
      </c>
      <c r="C18" s="76">
        <f>C10+C14</f>
        <v>1000000</v>
      </c>
      <c r="D18" s="31">
        <f>D10+D14</f>
        <v>1</v>
      </c>
      <c r="E18" s="5"/>
      <c r="F18" s="75">
        <f>SUM(F11:F13,F15:F17)</f>
        <v>0</v>
      </c>
      <c r="G18" s="76">
        <f>G10+G14</f>
        <v>1000000</v>
      </c>
      <c r="H18" s="31">
        <f>H10+H14</f>
        <v>0.7407407407407407</v>
      </c>
      <c r="I18" s="5"/>
      <c r="J18" s="75">
        <f>SUM(J11:J13,J15:J17)</f>
        <v>4000000</v>
      </c>
      <c r="K18" s="76">
        <f>K10+K14</f>
        <v>5000000</v>
      </c>
      <c r="L18" s="31">
        <f>L10+L14</f>
        <v>0.83102493074792239</v>
      </c>
      <c r="M18" s="5"/>
      <c r="N18" s="75">
        <f>SUM(N11:N13,N15:N17)</f>
        <v>1000000</v>
      </c>
      <c r="O18" s="76">
        <f>O10+O14</f>
        <v>6000000</v>
      </c>
      <c r="P18" s="31">
        <f>P10+P14</f>
        <v>0.73319755600814651</v>
      </c>
      <c r="Q18" s="5"/>
      <c r="R18" s="75">
        <f>SUM(R11:R13,R15:R17)</f>
        <v>0</v>
      </c>
      <c r="S18" s="76">
        <f>S10+S14</f>
        <v>6000000</v>
      </c>
      <c r="T18" s="31">
        <f>T10+T14</f>
        <v>0.69097888675623798</v>
      </c>
      <c r="U18" s="5"/>
      <c r="V18" s="75">
        <f>SUM(V11:V13,V15:V17)</f>
        <v>0</v>
      </c>
      <c r="W18" s="76">
        <f>W10+W14</f>
        <v>6000000</v>
      </c>
      <c r="X18" s="31">
        <f>X10+X14</f>
        <v>0.66055045871559626</v>
      </c>
      <c r="Y18" s="5"/>
      <c r="Z18" s="77" t="s">
        <v>32</v>
      </c>
      <c r="AA18" s="76">
        <f>AA10+AA14</f>
        <v>8000000</v>
      </c>
      <c r="AB18" s="78">
        <f>AB10+AB14</f>
        <v>0.82113540732565349</v>
      </c>
      <c r="AD18" s="46"/>
      <c r="AF18" s="79">
        <f>AD11*0.25</f>
        <v>46099624.06015037</v>
      </c>
    </row>
    <row r="19" spans="1:36" s="11" customFormat="1" ht="12.75">
      <c r="C19" s="76"/>
      <c r="E19" s="5"/>
      <c r="G19" s="76"/>
      <c r="I19" s="5"/>
      <c r="K19" s="76"/>
      <c r="M19" s="5"/>
      <c r="O19" s="76"/>
      <c r="Q19" s="5"/>
      <c r="S19" s="76"/>
      <c r="U19" s="5"/>
      <c r="W19" s="76"/>
      <c r="Y19" s="5"/>
      <c r="Z19" s="34"/>
      <c r="AA19" s="76"/>
      <c r="AD19" s="46"/>
    </row>
    <row r="20" spans="1:36" s="11" customFormat="1" ht="25.5">
      <c r="A20" s="1" t="s">
        <v>33</v>
      </c>
      <c r="B20" s="37" t="s">
        <v>34</v>
      </c>
      <c r="C20" s="38" t="s">
        <v>14</v>
      </c>
      <c r="D20" s="80" t="s">
        <v>15</v>
      </c>
      <c r="E20" s="81"/>
      <c r="F20" s="37" t="s">
        <v>34</v>
      </c>
      <c r="G20" s="38" t="s">
        <v>14</v>
      </c>
      <c r="H20" s="80" t="s">
        <v>15</v>
      </c>
      <c r="I20" s="81"/>
      <c r="J20" s="37" t="s">
        <v>34</v>
      </c>
      <c r="K20" s="38" t="s">
        <v>14</v>
      </c>
      <c r="L20" s="80" t="s">
        <v>15</v>
      </c>
      <c r="M20" s="81"/>
      <c r="N20" s="37" t="s">
        <v>34</v>
      </c>
      <c r="O20" s="38" t="s">
        <v>14</v>
      </c>
      <c r="P20" s="80" t="s">
        <v>15</v>
      </c>
      <c r="Q20" s="81"/>
      <c r="R20" s="37" t="s">
        <v>34</v>
      </c>
      <c r="S20" s="38" t="s">
        <v>14</v>
      </c>
      <c r="T20" s="80" t="s">
        <v>15</v>
      </c>
      <c r="U20" s="81"/>
      <c r="V20" s="37" t="s">
        <v>34</v>
      </c>
      <c r="W20" s="38" t="s">
        <v>14</v>
      </c>
      <c r="X20" s="80" t="s">
        <v>15</v>
      </c>
      <c r="Y20" s="81"/>
      <c r="Z20" s="34"/>
      <c r="AA20" s="38" t="s">
        <v>14</v>
      </c>
      <c r="AB20" s="80" t="s">
        <v>15</v>
      </c>
      <c r="AD20" s="46"/>
      <c r="AF20" s="82" t="s">
        <v>35</v>
      </c>
      <c r="AG20" s="83" t="s">
        <v>36</v>
      </c>
      <c r="AH20" s="84" t="s">
        <v>37</v>
      </c>
      <c r="AI20" s="85"/>
      <c r="AJ20" s="1"/>
    </row>
    <row r="21" spans="1:36" s="11" customFormat="1" ht="12.75">
      <c r="A21" s="86" t="s">
        <v>38</v>
      </c>
      <c r="B21" s="87">
        <v>50000</v>
      </c>
      <c r="C21" s="76">
        <v>0</v>
      </c>
      <c r="D21" s="31">
        <f>IFERROR(C21/C$38,0)</f>
        <v>0</v>
      </c>
      <c r="E21" s="5"/>
      <c r="F21" s="87">
        <v>0</v>
      </c>
      <c r="G21" s="76">
        <f>C21+F21/G$4</f>
        <v>0</v>
      </c>
      <c r="H21" s="31">
        <f>IFERROR(G21/G$38,0)</f>
        <v>0</v>
      </c>
      <c r="I21" s="5"/>
      <c r="J21" s="87">
        <v>0</v>
      </c>
      <c r="K21" s="76">
        <f>G21+J21/K$4</f>
        <v>0</v>
      </c>
      <c r="L21" s="31">
        <f>IFERROR(K21/K$38,0)</f>
        <v>0</v>
      </c>
      <c r="M21" s="5"/>
      <c r="N21" s="87">
        <v>0</v>
      </c>
      <c r="O21" s="76">
        <f>K21+N21/O$4</f>
        <v>0</v>
      </c>
      <c r="P21" s="31">
        <f>IFERROR(O21/O$38,0)</f>
        <v>0</v>
      </c>
      <c r="Q21" s="5"/>
      <c r="R21" s="87">
        <v>0</v>
      </c>
      <c r="S21" s="76">
        <f>O21+R21/S$4</f>
        <v>0</v>
      </c>
      <c r="T21" s="31">
        <f>IFERROR(S21/S$38,0)</f>
        <v>0</v>
      </c>
      <c r="U21" s="5"/>
      <c r="V21" s="87">
        <v>0</v>
      </c>
      <c r="W21" s="76">
        <f>S21+V21/W$4</f>
        <v>0</v>
      </c>
      <c r="X21" s="31">
        <f>IFERROR(W21/W$38,0)</f>
        <v>0</v>
      </c>
      <c r="Y21" s="5"/>
      <c r="Z21" s="34"/>
      <c r="AA21" s="59">
        <f t="shared" ref="AA21:AB35" si="7">W21</f>
        <v>0</v>
      </c>
      <c r="AB21" s="60">
        <f t="shared" si="7"/>
        <v>0</v>
      </c>
      <c r="AD21" s="62">
        <f t="shared" ref="AD21:AD35" si="8">SUM(AA$6/AA$38)*AA21</f>
        <v>0</v>
      </c>
      <c r="AF21" s="88"/>
      <c r="AH21" s="89"/>
      <c r="AI21" s="90"/>
    </row>
    <row r="22" spans="1:36" s="11" customFormat="1" ht="12.75">
      <c r="A22" s="86" t="s">
        <v>39</v>
      </c>
      <c r="B22" s="87">
        <v>0</v>
      </c>
      <c r="C22" s="76">
        <f>B22/C$4</f>
        <v>0</v>
      </c>
      <c r="D22" s="31">
        <f>IFERROR(C22/C$38,0)</f>
        <v>0</v>
      </c>
      <c r="E22" s="5"/>
      <c r="F22" s="87">
        <v>350000</v>
      </c>
      <c r="G22" s="76">
        <f>C22+F22/G$4</f>
        <v>350000</v>
      </c>
      <c r="H22" s="31">
        <f>IFERROR(G22/G$38,0)</f>
        <v>0.25925925925925924</v>
      </c>
      <c r="I22" s="5"/>
      <c r="J22" s="87">
        <v>0</v>
      </c>
      <c r="K22" s="76">
        <f>G22+J22/K$4</f>
        <v>350000</v>
      </c>
      <c r="L22" s="31">
        <f>IFERROR(K22/K$38,0)</f>
        <v>5.817174515235457E-2</v>
      </c>
      <c r="M22" s="5"/>
      <c r="N22" s="87">
        <v>0</v>
      </c>
      <c r="O22" s="76">
        <f>K22+N22/O$4</f>
        <v>350000</v>
      </c>
      <c r="P22" s="31">
        <f>IFERROR(O22/O$38,0)</f>
        <v>4.2769857433808553E-2</v>
      </c>
      <c r="Q22" s="5"/>
      <c r="R22" s="87">
        <v>0</v>
      </c>
      <c r="S22" s="76">
        <f>O22+R22/S$4</f>
        <v>350000</v>
      </c>
      <c r="T22" s="31">
        <f>IFERROR(S22/S$38,0)</f>
        <v>4.0307101727447212E-2</v>
      </c>
      <c r="U22" s="5"/>
      <c r="V22" s="87">
        <v>0</v>
      </c>
      <c r="W22" s="76">
        <f>S22+V22/W$4</f>
        <v>350000</v>
      </c>
      <c r="X22" s="31">
        <f>IFERROR(W22/W$38,0)</f>
        <v>3.8532110091743114E-2</v>
      </c>
      <c r="Y22" s="5"/>
      <c r="Z22" s="34"/>
      <c r="AA22" s="59">
        <f t="shared" si="7"/>
        <v>350000</v>
      </c>
      <c r="AB22" s="60">
        <f t="shared" si="7"/>
        <v>3.8532110091743114E-2</v>
      </c>
      <c r="AD22" s="62">
        <f t="shared" si="8"/>
        <v>21513157.894736841</v>
      </c>
      <c r="AF22" s="91">
        <f>_xlfn.RRI(5,F22,AD22)</f>
        <v>1.278910262142599</v>
      </c>
      <c r="AG22" s="92">
        <f>SUM(AD22-F22)/F22</f>
        <v>60.46616541353383</v>
      </c>
      <c r="AH22" s="93">
        <f>SUM(AD22/F22)</f>
        <v>61.46616541353383</v>
      </c>
      <c r="AI22" s="90"/>
    </row>
    <row r="23" spans="1:36" s="11" customFormat="1" ht="12.75">
      <c r="A23" s="86" t="s">
        <v>5</v>
      </c>
      <c r="B23" s="87">
        <v>0</v>
      </c>
      <c r="C23" s="76">
        <f t="shared" ref="C23:C35" si="9">B23/C$4</f>
        <v>0</v>
      </c>
      <c r="D23" s="31">
        <f t="shared" ref="D23:D35" si="10">IFERROR(C23/C$38,0)</f>
        <v>0</v>
      </c>
      <c r="E23" s="5"/>
      <c r="F23" s="87">
        <v>0</v>
      </c>
      <c r="G23" s="76">
        <f t="shared" ref="G23:G35" si="11">C23+F23/G$4</f>
        <v>0</v>
      </c>
      <c r="H23" s="31">
        <f t="shared" ref="H23:H35" si="12">IFERROR(G23/G$38,0)</f>
        <v>0</v>
      </c>
      <c r="I23" s="5"/>
      <c r="J23" s="87">
        <v>1000000</v>
      </c>
      <c r="K23" s="76">
        <f t="shared" ref="K23:K35" si="13">G23+J23/K$4</f>
        <v>666666.66666666663</v>
      </c>
      <c r="L23" s="31">
        <f t="shared" ref="L23:L35" si="14">IFERROR(K23/K$38,0)</f>
        <v>0.11080332409972297</v>
      </c>
      <c r="M23" s="5"/>
      <c r="N23" s="87">
        <v>0</v>
      </c>
      <c r="O23" s="76">
        <f t="shared" ref="O23:O35" si="15">K23+N23/O$4</f>
        <v>666666.66666666663</v>
      </c>
      <c r="P23" s="31">
        <f t="shared" ref="P23:P35" si="16">IFERROR(O23/O$38,0)</f>
        <v>8.1466395112016282E-2</v>
      </c>
      <c r="Q23" s="5"/>
      <c r="R23" s="87">
        <v>0</v>
      </c>
      <c r="S23" s="76">
        <f t="shared" ref="S23:S35" si="17">O23+R23/S$4</f>
        <v>666666.66666666663</v>
      </c>
      <c r="T23" s="31">
        <f t="shared" ref="T23:T35" si="18">IFERROR(S23/S$38,0)</f>
        <v>7.6775431861804216E-2</v>
      </c>
      <c r="U23" s="5"/>
      <c r="V23" s="87">
        <v>0</v>
      </c>
      <c r="W23" s="76">
        <f t="shared" ref="W23:W35" si="19">S23+V23/W$4</f>
        <v>666666.66666666663</v>
      </c>
      <c r="X23" s="31">
        <f t="shared" ref="X23:X35" si="20">IFERROR(W23/W$38,0)</f>
        <v>7.3394495412844027E-2</v>
      </c>
      <c r="Y23" s="5"/>
      <c r="Z23" s="34"/>
      <c r="AA23" s="59">
        <f t="shared" si="7"/>
        <v>666666.66666666663</v>
      </c>
      <c r="AB23" s="60">
        <f t="shared" si="7"/>
        <v>7.3394495412844027E-2</v>
      </c>
      <c r="AD23" s="62">
        <f t="shared" si="8"/>
        <v>40977443.60902255</v>
      </c>
      <c r="AF23" s="91">
        <f>_xlfn.RRI(4,J23,AD23)</f>
        <v>1.530091428564194</v>
      </c>
      <c r="AG23" s="92">
        <f>SUM(AD23-J23)/J23</f>
        <v>39.977443609022551</v>
      </c>
      <c r="AH23" s="93">
        <f>SUM(AD23/J23)</f>
        <v>40.977443609022551</v>
      </c>
      <c r="AI23" s="90"/>
    </row>
    <row r="24" spans="1:36" s="11" customFormat="1" ht="12.75">
      <c r="A24" s="86" t="s">
        <v>6</v>
      </c>
      <c r="B24" s="87">
        <v>0</v>
      </c>
      <c r="C24" s="76">
        <f t="shared" si="9"/>
        <v>0</v>
      </c>
      <c r="D24" s="31">
        <f t="shared" si="10"/>
        <v>0</v>
      </c>
      <c r="E24" s="5"/>
      <c r="F24" s="87">
        <v>0</v>
      </c>
      <c r="G24" s="76">
        <f t="shared" si="11"/>
        <v>0</v>
      </c>
      <c r="H24" s="31">
        <f t="shared" si="12"/>
        <v>0</v>
      </c>
      <c r="I24" s="5"/>
      <c r="J24" s="87">
        <v>0</v>
      </c>
      <c r="K24" s="76">
        <f t="shared" si="13"/>
        <v>0</v>
      </c>
      <c r="L24" s="31">
        <f t="shared" si="14"/>
        <v>0</v>
      </c>
      <c r="M24" s="5"/>
      <c r="N24" s="87">
        <v>3500000</v>
      </c>
      <c r="O24" s="76">
        <f t="shared" si="15"/>
        <v>1166666.6666666667</v>
      </c>
      <c r="P24" s="31">
        <f t="shared" si="16"/>
        <v>0.1425661914460285</v>
      </c>
      <c r="Q24" s="5"/>
      <c r="R24" s="87">
        <v>0</v>
      </c>
      <c r="S24" s="76">
        <f t="shared" si="17"/>
        <v>1166666.6666666667</v>
      </c>
      <c r="T24" s="31">
        <f t="shared" si="18"/>
        <v>0.1343570057581574</v>
      </c>
      <c r="U24" s="5"/>
      <c r="V24" s="87">
        <v>0</v>
      </c>
      <c r="W24" s="76">
        <f t="shared" si="19"/>
        <v>1166666.6666666667</v>
      </c>
      <c r="X24" s="31">
        <f t="shared" si="20"/>
        <v>0.12844036697247707</v>
      </c>
      <c r="Y24" s="5"/>
      <c r="Z24" s="34"/>
      <c r="AA24" s="59">
        <f t="shared" si="7"/>
        <v>1166666.6666666667</v>
      </c>
      <c r="AB24" s="60">
        <f t="shared" si="7"/>
        <v>0.12844036697247707</v>
      </c>
      <c r="AD24" s="62">
        <f t="shared" si="8"/>
        <v>71710526.315789476</v>
      </c>
      <c r="AF24" s="91">
        <f>_xlfn.RRI(3,N24,AD24)</f>
        <v>1.7363498469555623</v>
      </c>
      <c r="AG24" s="92">
        <f>SUM(AD24-N24)/N24</f>
        <v>19.488721804511279</v>
      </c>
      <c r="AH24" s="93">
        <f>SUM(AD24/N24)</f>
        <v>20.488721804511279</v>
      </c>
      <c r="AI24" s="90"/>
    </row>
    <row r="25" spans="1:36" s="11" customFormat="1" ht="12.75">
      <c r="A25" s="86" t="s">
        <v>7</v>
      </c>
      <c r="B25" s="87">
        <v>0</v>
      </c>
      <c r="C25" s="76">
        <f t="shared" si="9"/>
        <v>0</v>
      </c>
      <c r="D25" s="31">
        <f t="shared" si="10"/>
        <v>0</v>
      </c>
      <c r="E25" s="5"/>
      <c r="F25" s="87">
        <v>0</v>
      </c>
      <c r="G25" s="76">
        <f t="shared" si="11"/>
        <v>0</v>
      </c>
      <c r="H25" s="31">
        <f t="shared" si="12"/>
        <v>0</v>
      </c>
      <c r="I25" s="5"/>
      <c r="J25" s="87">
        <v>0</v>
      </c>
      <c r="K25" s="76">
        <f t="shared" si="13"/>
        <v>0</v>
      </c>
      <c r="L25" s="31">
        <f t="shared" si="14"/>
        <v>0</v>
      </c>
      <c r="M25" s="5"/>
      <c r="N25" s="87">
        <v>0</v>
      </c>
      <c r="O25" s="76">
        <f t="shared" si="15"/>
        <v>0</v>
      </c>
      <c r="P25" s="31">
        <f t="shared" si="16"/>
        <v>0</v>
      </c>
      <c r="Q25" s="5"/>
      <c r="R25" s="87">
        <v>5000000</v>
      </c>
      <c r="S25" s="76">
        <f t="shared" si="17"/>
        <v>500000</v>
      </c>
      <c r="T25" s="31">
        <f t="shared" si="18"/>
        <v>5.7581573896353162E-2</v>
      </c>
      <c r="U25" s="5"/>
      <c r="V25" s="87">
        <v>0</v>
      </c>
      <c r="W25" s="76">
        <f t="shared" si="19"/>
        <v>500000</v>
      </c>
      <c r="X25" s="31">
        <f t="shared" si="20"/>
        <v>5.5045871559633024E-2</v>
      </c>
      <c r="Y25" s="5"/>
      <c r="Z25" s="34"/>
      <c r="AA25" s="59">
        <f t="shared" si="7"/>
        <v>500000</v>
      </c>
      <c r="AB25" s="60">
        <f t="shared" si="7"/>
        <v>5.5045871559633024E-2</v>
      </c>
      <c r="AD25" s="62">
        <f t="shared" si="8"/>
        <v>30733082.706766915</v>
      </c>
      <c r="AF25" s="91">
        <f>_xlfn.RRI(2,R25,AD25)</f>
        <v>1.4792370885724875</v>
      </c>
      <c r="AG25" s="92">
        <f>SUM(AD25-R25)/R25</f>
        <v>5.1466165413533833</v>
      </c>
      <c r="AH25" s="93">
        <f>SUM(AD25/R25)</f>
        <v>6.1466165413533833</v>
      </c>
      <c r="AI25" s="90"/>
    </row>
    <row r="26" spans="1:36" s="11" customFormat="1" ht="12.75">
      <c r="A26" s="86" t="s">
        <v>8</v>
      </c>
      <c r="B26" s="87">
        <v>0</v>
      </c>
      <c r="C26" s="76">
        <f t="shared" si="9"/>
        <v>0</v>
      </c>
      <c r="D26" s="31">
        <f t="shared" si="10"/>
        <v>0</v>
      </c>
      <c r="E26" s="5"/>
      <c r="F26" s="87">
        <v>0</v>
      </c>
      <c r="G26" s="76">
        <f t="shared" si="11"/>
        <v>0</v>
      </c>
      <c r="H26" s="31">
        <f t="shared" si="12"/>
        <v>0</v>
      </c>
      <c r="I26" s="5"/>
      <c r="J26" s="87">
        <v>0</v>
      </c>
      <c r="K26" s="76">
        <f t="shared" si="13"/>
        <v>0</v>
      </c>
      <c r="L26" s="31">
        <f t="shared" si="14"/>
        <v>0</v>
      </c>
      <c r="M26" s="5"/>
      <c r="N26" s="87">
        <v>0</v>
      </c>
      <c r="O26" s="76">
        <f t="shared" si="15"/>
        <v>0</v>
      </c>
      <c r="P26" s="31">
        <f t="shared" si="16"/>
        <v>0</v>
      </c>
      <c r="Q26" s="5"/>
      <c r="R26" s="87">
        <v>0</v>
      </c>
      <c r="S26" s="76">
        <f t="shared" si="17"/>
        <v>0</v>
      </c>
      <c r="T26" s="31">
        <f t="shared" si="18"/>
        <v>0</v>
      </c>
      <c r="U26" s="5"/>
      <c r="V26" s="87">
        <v>10000000</v>
      </c>
      <c r="W26" s="76">
        <f t="shared" si="19"/>
        <v>400000</v>
      </c>
      <c r="X26" s="31">
        <f t="shared" si="20"/>
        <v>4.4036697247706418E-2</v>
      </c>
      <c r="Y26" s="5"/>
      <c r="Z26" s="34"/>
      <c r="AA26" s="59">
        <f t="shared" si="7"/>
        <v>400000</v>
      </c>
      <c r="AB26" s="60">
        <f t="shared" si="7"/>
        <v>4.4036697247706418E-2</v>
      </c>
      <c r="AD26" s="62">
        <f t="shared" si="8"/>
        <v>24586466.165413532</v>
      </c>
      <c r="AF26" s="91">
        <f>_xlfn.RRI(1,V26,AD26)</f>
        <v>1.4586466165413534</v>
      </c>
      <c r="AG26" s="92">
        <f>SUM(AD26-V26)/V26</f>
        <v>1.4586466165413532</v>
      </c>
      <c r="AH26" s="93">
        <f>SUM(AD26/V26)</f>
        <v>2.4586466165413534</v>
      </c>
      <c r="AI26" s="90"/>
    </row>
    <row r="27" spans="1:36" s="11" customFormat="1" ht="12.75">
      <c r="A27" s="86" t="s">
        <v>40</v>
      </c>
      <c r="B27" s="87">
        <v>0</v>
      </c>
      <c r="C27" s="76">
        <f t="shared" si="9"/>
        <v>0</v>
      </c>
      <c r="D27" s="31">
        <f t="shared" si="10"/>
        <v>0</v>
      </c>
      <c r="E27" s="5"/>
      <c r="F27" s="87">
        <v>0</v>
      </c>
      <c r="G27" s="76">
        <f t="shared" si="11"/>
        <v>0</v>
      </c>
      <c r="H27" s="31">
        <f t="shared" si="12"/>
        <v>0</v>
      </c>
      <c r="I27" s="5"/>
      <c r="J27" s="87">
        <v>0</v>
      </c>
      <c r="K27" s="76">
        <f t="shared" si="13"/>
        <v>0</v>
      </c>
      <c r="L27" s="31">
        <f t="shared" si="14"/>
        <v>0</v>
      </c>
      <c r="M27" s="5"/>
      <c r="N27" s="87">
        <v>0</v>
      </c>
      <c r="O27" s="76">
        <f t="shared" si="15"/>
        <v>0</v>
      </c>
      <c r="P27" s="31">
        <f t="shared" si="16"/>
        <v>0</v>
      </c>
      <c r="Q27" s="5"/>
      <c r="R27" s="87">
        <v>0</v>
      </c>
      <c r="S27" s="76">
        <f t="shared" si="17"/>
        <v>0</v>
      </c>
      <c r="T27" s="31">
        <f t="shared" si="18"/>
        <v>0</v>
      </c>
      <c r="U27" s="5"/>
      <c r="V27" s="87">
        <v>0</v>
      </c>
      <c r="W27" s="76">
        <f t="shared" si="19"/>
        <v>0</v>
      </c>
      <c r="X27" s="31">
        <f t="shared" si="20"/>
        <v>0</v>
      </c>
      <c r="Y27" s="5"/>
      <c r="Z27" s="34"/>
      <c r="AA27" s="59">
        <f t="shared" si="7"/>
        <v>0</v>
      </c>
      <c r="AB27" s="60">
        <f t="shared" si="7"/>
        <v>0</v>
      </c>
      <c r="AD27" s="62">
        <f t="shared" si="8"/>
        <v>0</v>
      </c>
      <c r="AF27" s="94">
        <f>AVERAGE(AF22:AF26)</f>
        <v>1.4966470485552392</v>
      </c>
      <c r="AG27" s="95">
        <f>AVERAGE(AG22:AG26)</f>
        <v>25.307518796992479</v>
      </c>
      <c r="AH27" s="96">
        <f>AVERAGE(AH22:AH26)</f>
        <v>26.307518796992479</v>
      </c>
      <c r="AI27" s="97"/>
    </row>
    <row r="28" spans="1:36" s="11" customFormat="1" ht="12.75">
      <c r="A28" s="86" t="s">
        <v>41</v>
      </c>
      <c r="B28" s="87">
        <v>0</v>
      </c>
      <c r="C28" s="76">
        <f t="shared" si="9"/>
        <v>0</v>
      </c>
      <c r="D28" s="31">
        <f t="shared" si="10"/>
        <v>0</v>
      </c>
      <c r="E28" s="5"/>
      <c r="F28" s="87">
        <v>0</v>
      </c>
      <c r="G28" s="76">
        <f t="shared" si="11"/>
        <v>0</v>
      </c>
      <c r="H28" s="31">
        <f t="shared" si="12"/>
        <v>0</v>
      </c>
      <c r="I28" s="5"/>
      <c r="J28" s="87">
        <v>0</v>
      </c>
      <c r="K28" s="76">
        <f t="shared" si="13"/>
        <v>0</v>
      </c>
      <c r="L28" s="31">
        <f t="shared" si="14"/>
        <v>0</v>
      </c>
      <c r="M28" s="5"/>
      <c r="N28" s="87">
        <v>0</v>
      </c>
      <c r="O28" s="76">
        <f t="shared" si="15"/>
        <v>0</v>
      </c>
      <c r="P28" s="31">
        <f t="shared" si="16"/>
        <v>0</v>
      </c>
      <c r="Q28" s="5"/>
      <c r="R28" s="87">
        <v>0</v>
      </c>
      <c r="S28" s="76">
        <f t="shared" si="17"/>
        <v>0</v>
      </c>
      <c r="T28" s="31">
        <f t="shared" si="18"/>
        <v>0</v>
      </c>
      <c r="U28" s="5"/>
      <c r="V28" s="87">
        <v>0</v>
      </c>
      <c r="W28" s="76">
        <f t="shared" si="19"/>
        <v>0</v>
      </c>
      <c r="X28" s="31">
        <f t="shared" si="20"/>
        <v>0</v>
      </c>
      <c r="Y28" s="5"/>
      <c r="Z28" s="34"/>
      <c r="AA28" s="59">
        <f t="shared" si="7"/>
        <v>0</v>
      </c>
      <c r="AB28" s="60">
        <f t="shared" si="7"/>
        <v>0</v>
      </c>
      <c r="AD28" s="62">
        <f t="shared" si="8"/>
        <v>0</v>
      </c>
      <c r="AF28" s="98"/>
    </row>
    <row r="29" spans="1:36" s="11" customFormat="1" ht="12.75">
      <c r="A29" s="86" t="s">
        <v>42</v>
      </c>
      <c r="B29" s="87">
        <v>0</v>
      </c>
      <c r="C29" s="76">
        <f t="shared" si="9"/>
        <v>0</v>
      </c>
      <c r="D29" s="31">
        <f t="shared" si="10"/>
        <v>0</v>
      </c>
      <c r="E29" s="5"/>
      <c r="F29" s="87">
        <v>0</v>
      </c>
      <c r="G29" s="76">
        <f t="shared" si="11"/>
        <v>0</v>
      </c>
      <c r="H29" s="31">
        <f t="shared" si="12"/>
        <v>0</v>
      </c>
      <c r="I29" s="5"/>
      <c r="J29" s="87">
        <v>0</v>
      </c>
      <c r="K29" s="76">
        <f t="shared" si="13"/>
        <v>0</v>
      </c>
      <c r="L29" s="31">
        <f t="shared" si="14"/>
        <v>0</v>
      </c>
      <c r="M29" s="5"/>
      <c r="N29" s="87">
        <v>0</v>
      </c>
      <c r="O29" s="76">
        <f t="shared" si="15"/>
        <v>0</v>
      </c>
      <c r="P29" s="31">
        <f t="shared" si="16"/>
        <v>0</v>
      </c>
      <c r="Q29" s="5"/>
      <c r="R29" s="87">
        <v>0</v>
      </c>
      <c r="S29" s="76">
        <f t="shared" si="17"/>
        <v>0</v>
      </c>
      <c r="T29" s="31">
        <f t="shared" si="18"/>
        <v>0</v>
      </c>
      <c r="U29" s="5"/>
      <c r="V29" s="87">
        <v>0</v>
      </c>
      <c r="W29" s="76">
        <f t="shared" si="19"/>
        <v>0</v>
      </c>
      <c r="X29" s="31">
        <f t="shared" si="20"/>
        <v>0</v>
      </c>
      <c r="Y29" s="5"/>
      <c r="Z29" s="34"/>
      <c r="AA29" s="59">
        <f t="shared" si="7"/>
        <v>0</v>
      </c>
      <c r="AB29" s="60">
        <f t="shared" si="7"/>
        <v>0</v>
      </c>
      <c r="AD29" s="62">
        <f t="shared" si="8"/>
        <v>0</v>
      </c>
      <c r="AF29" s="98"/>
    </row>
    <row r="30" spans="1:36" s="11" customFormat="1" ht="12.75">
      <c r="A30" s="86" t="s">
        <v>43</v>
      </c>
      <c r="B30" s="87">
        <v>0</v>
      </c>
      <c r="C30" s="76">
        <f t="shared" si="9"/>
        <v>0</v>
      </c>
      <c r="D30" s="31">
        <f t="shared" si="10"/>
        <v>0</v>
      </c>
      <c r="E30" s="5"/>
      <c r="F30" s="87">
        <v>0</v>
      </c>
      <c r="G30" s="76">
        <f t="shared" si="11"/>
        <v>0</v>
      </c>
      <c r="H30" s="31">
        <f t="shared" si="12"/>
        <v>0</v>
      </c>
      <c r="I30" s="5"/>
      <c r="J30" s="87">
        <v>0</v>
      </c>
      <c r="K30" s="76">
        <f t="shared" si="13"/>
        <v>0</v>
      </c>
      <c r="L30" s="31">
        <f t="shared" si="14"/>
        <v>0</v>
      </c>
      <c r="M30" s="5"/>
      <c r="N30" s="87">
        <v>0</v>
      </c>
      <c r="O30" s="76">
        <f t="shared" si="15"/>
        <v>0</v>
      </c>
      <c r="P30" s="31">
        <f t="shared" si="16"/>
        <v>0</v>
      </c>
      <c r="Q30" s="5"/>
      <c r="R30" s="87">
        <v>0</v>
      </c>
      <c r="S30" s="76">
        <f t="shared" si="17"/>
        <v>0</v>
      </c>
      <c r="T30" s="31">
        <f t="shared" si="18"/>
        <v>0</v>
      </c>
      <c r="U30" s="5"/>
      <c r="V30" s="87">
        <v>0</v>
      </c>
      <c r="W30" s="76">
        <f t="shared" si="19"/>
        <v>0</v>
      </c>
      <c r="X30" s="31">
        <f t="shared" si="20"/>
        <v>0</v>
      </c>
      <c r="Y30" s="5"/>
      <c r="Z30" s="34"/>
      <c r="AA30" s="59">
        <f t="shared" si="7"/>
        <v>0</v>
      </c>
      <c r="AB30" s="60">
        <f t="shared" si="7"/>
        <v>0</v>
      </c>
      <c r="AD30" s="62">
        <f t="shared" si="8"/>
        <v>0</v>
      </c>
      <c r="AF30" s="98"/>
    </row>
    <row r="31" spans="1:36" s="11" customFormat="1" ht="12.75">
      <c r="A31" s="86" t="s">
        <v>44</v>
      </c>
      <c r="B31" s="87">
        <v>0</v>
      </c>
      <c r="C31" s="76">
        <f t="shared" si="9"/>
        <v>0</v>
      </c>
      <c r="D31" s="31">
        <f t="shared" si="10"/>
        <v>0</v>
      </c>
      <c r="E31" s="5"/>
      <c r="F31" s="87">
        <v>0</v>
      </c>
      <c r="G31" s="76">
        <f t="shared" si="11"/>
        <v>0</v>
      </c>
      <c r="H31" s="31">
        <f t="shared" si="12"/>
        <v>0</v>
      </c>
      <c r="I31" s="5"/>
      <c r="J31" s="87">
        <v>0</v>
      </c>
      <c r="K31" s="76">
        <f t="shared" si="13"/>
        <v>0</v>
      </c>
      <c r="L31" s="31">
        <f t="shared" si="14"/>
        <v>0</v>
      </c>
      <c r="M31" s="5"/>
      <c r="N31" s="87">
        <v>0</v>
      </c>
      <c r="O31" s="76">
        <f t="shared" si="15"/>
        <v>0</v>
      </c>
      <c r="P31" s="31">
        <f t="shared" si="16"/>
        <v>0</v>
      </c>
      <c r="Q31" s="5"/>
      <c r="R31" s="87">
        <v>0</v>
      </c>
      <c r="S31" s="76">
        <f t="shared" si="17"/>
        <v>0</v>
      </c>
      <c r="T31" s="31">
        <f t="shared" si="18"/>
        <v>0</v>
      </c>
      <c r="U31" s="5"/>
      <c r="V31" s="87">
        <v>0</v>
      </c>
      <c r="W31" s="76">
        <f t="shared" si="19"/>
        <v>0</v>
      </c>
      <c r="X31" s="31">
        <f t="shared" si="20"/>
        <v>0</v>
      </c>
      <c r="Y31" s="5"/>
      <c r="Z31" s="34"/>
      <c r="AA31" s="59">
        <f t="shared" si="7"/>
        <v>0</v>
      </c>
      <c r="AB31" s="60">
        <f t="shared" si="7"/>
        <v>0</v>
      </c>
      <c r="AD31" s="62">
        <f t="shared" si="8"/>
        <v>0</v>
      </c>
      <c r="AF31" s="98"/>
    </row>
    <row r="32" spans="1:36" s="11" customFormat="1" ht="12.75">
      <c r="A32" s="86" t="s">
        <v>45</v>
      </c>
      <c r="B32" s="87">
        <v>0</v>
      </c>
      <c r="C32" s="76">
        <f t="shared" si="9"/>
        <v>0</v>
      </c>
      <c r="D32" s="31">
        <f t="shared" si="10"/>
        <v>0</v>
      </c>
      <c r="E32" s="5"/>
      <c r="F32" s="87">
        <v>0</v>
      </c>
      <c r="G32" s="76">
        <f t="shared" si="11"/>
        <v>0</v>
      </c>
      <c r="H32" s="31">
        <f t="shared" si="12"/>
        <v>0</v>
      </c>
      <c r="I32" s="5"/>
      <c r="J32" s="87">
        <v>0</v>
      </c>
      <c r="K32" s="76">
        <f t="shared" si="13"/>
        <v>0</v>
      </c>
      <c r="L32" s="31">
        <f t="shared" si="14"/>
        <v>0</v>
      </c>
      <c r="M32" s="5"/>
      <c r="N32" s="87">
        <v>0</v>
      </c>
      <c r="O32" s="76">
        <f t="shared" si="15"/>
        <v>0</v>
      </c>
      <c r="P32" s="31">
        <f t="shared" si="16"/>
        <v>0</v>
      </c>
      <c r="Q32" s="5"/>
      <c r="R32" s="87">
        <v>0</v>
      </c>
      <c r="S32" s="76">
        <f t="shared" si="17"/>
        <v>0</v>
      </c>
      <c r="T32" s="31">
        <f t="shared" si="18"/>
        <v>0</v>
      </c>
      <c r="U32" s="5"/>
      <c r="V32" s="87">
        <v>0</v>
      </c>
      <c r="W32" s="76">
        <f t="shared" si="19"/>
        <v>0</v>
      </c>
      <c r="X32" s="31">
        <f t="shared" si="20"/>
        <v>0</v>
      </c>
      <c r="Y32" s="5"/>
      <c r="Z32" s="34"/>
      <c r="AA32" s="59">
        <f t="shared" si="7"/>
        <v>0</v>
      </c>
      <c r="AB32" s="60">
        <f t="shared" si="7"/>
        <v>0</v>
      </c>
      <c r="AD32" s="62">
        <f t="shared" si="8"/>
        <v>0</v>
      </c>
      <c r="AF32" s="98"/>
    </row>
    <row r="33" spans="1:32" s="11" customFormat="1" ht="12.75">
      <c r="A33" s="86" t="s">
        <v>46</v>
      </c>
      <c r="B33" s="87">
        <v>0</v>
      </c>
      <c r="C33" s="76">
        <f t="shared" si="9"/>
        <v>0</v>
      </c>
      <c r="D33" s="31">
        <f t="shared" si="10"/>
        <v>0</v>
      </c>
      <c r="E33" s="5"/>
      <c r="F33" s="87">
        <v>0</v>
      </c>
      <c r="G33" s="76">
        <f t="shared" si="11"/>
        <v>0</v>
      </c>
      <c r="H33" s="31">
        <f t="shared" si="12"/>
        <v>0</v>
      </c>
      <c r="I33" s="5"/>
      <c r="J33" s="87">
        <v>0</v>
      </c>
      <c r="K33" s="76">
        <f t="shared" si="13"/>
        <v>0</v>
      </c>
      <c r="L33" s="31">
        <f t="shared" si="14"/>
        <v>0</v>
      </c>
      <c r="M33" s="5"/>
      <c r="N33" s="87">
        <v>0</v>
      </c>
      <c r="O33" s="76">
        <f t="shared" si="15"/>
        <v>0</v>
      </c>
      <c r="P33" s="31">
        <f t="shared" si="16"/>
        <v>0</v>
      </c>
      <c r="Q33" s="5"/>
      <c r="R33" s="87">
        <v>0</v>
      </c>
      <c r="S33" s="76">
        <f t="shared" si="17"/>
        <v>0</v>
      </c>
      <c r="T33" s="31">
        <f t="shared" si="18"/>
        <v>0</v>
      </c>
      <c r="U33" s="5"/>
      <c r="V33" s="87">
        <v>0</v>
      </c>
      <c r="W33" s="76">
        <f t="shared" si="19"/>
        <v>0</v>
      </c>
      <c r="X33" s="31">
        <f t="shared" si="20"/>
        <v>0</v>
      </c>
      <c r="Y33" s="5"/>
      <c r="Z33" s="34"/>
      <c r="AA33" s="59">
        <f t="shared" si="7"/>
        <v>0</v>
      </c>
      <c r="AB33" s="60">
        <f t="shared" si="7"/>
        <v>0</v>
      </c>
      <c r="AD33" s="62">
        <f t="shared" si="8"/>
        <v>0</v>
      </c>
      <c r="AF33" s="98"/>
    </row>
    <row r="34" spans="1:32" s="11" customFormat="1" ht="12.75">
      <c r="A34" s="86" t="s">
        <v>47</v>
      </c>
      <c r="B34" s="87">
        <v>0</v>
      </c>
      <c r="C34" s="76">
        <f t="shared" si="9"/>
        <v>0</v>
      </c>
      <c r="D34" s="31">
        <f t="shared" si="10"/>
        <v>0</v>
      </c>
      <c r="E34" s="5"/>
      <c r="F34" s="87">
        <v>0</v>
      </c>
      <c r="G34" s="76">
        <f t="shared" si="11"/>
        <v>0</v>
      </c>
      <c r="H34" s="31">
        <f t="shared" si="12"/>
        <v>0</v>
      </c>
      <c r="I34" s="5"/>
      <c r="J34" s="87">
        <v>0</v>
      </c>
      <c r="K34" s="76">
        <f t="shared" si="13"/>
        <v>0</v>
      </c>
      <c r="L34" s="31">
        <f t="shared" si="14"/>
        <v>0</v>
      </c>
      <c r="M34" s="5"/>
      <c r="N34" s="87">
        <v>0</v>
      </c>
      <c r="O34" s="76">
        <f t="shared" si="15"/>
        <v>0</v>
      </c>
      <c r="P34" s="31">
        <f t="shared" si="16"/>
        <v>0</v>
      </c>
      <c r="Q34" s="5"/>
      <c r="R34" s="87">
        <v>0</v>
      </c>
      <c r="S34" s="76">
        <f t="shared" si="17"/>
        <v>0</v>
      </c>
      <c r="T34" s="31">
        <f t="shared" si="18"/>
        <v>0</v>
      </c>
      <c r="U34" s="5"/>
      <c r="V34" s="87">
        <v>0</v>
      </c>
      <c r="W34" s="76">
        <f t="shared" si="19"/>
        <v>0</v>
      </c>
      <c r="X34" s="31">
        <f t="shared" si="20"/>
        <v>0</v>
      </c>
      <c r="Y34" s="5"/>
      <c r="Z34" s="34"/>
      <c r="AA34" s="59">
        <f t="shared" si="7"/>
        <v>0</v>
      </c>
      <c r="AB34" s="60">
        <f t="shared" si="7"/>
        <v>0</v>
      </c>
      <c r="AD34" s="62">
        <f t="shared" si="8"/>
        <v>0</v>
      </c>
      <c r="AF34" s="98"/>
    </row>
    <row r="35" spans="1:32" s="11" customFormat="1" ht="12.75">
      <c r="A35" s="86" t="s">
        <v>48</v>
      </c>
      <c r="B35" s="99">
        <v>0</v>
      </c>
      <c r="C35" s="100">
        <f t="shared" si="9"/>
        <v>0</v>
      </c>
      <c r="D35" s="101">
        <f t="shared" si="10"/>
        <v>0</v>
      </c>
      <c r="E35" s="102"/>
      <c r="F35" s="99">
        <v>0</v>
      </c>
      <c r="G35" s="100">
        <f t="shared" si="11"/>
        <v>0</v>
      </c>
      <c r="H35" s="101">
        <f t="shared" si="12"/>
        <v>0</v>
      </c>
      <c r="I35" s="102"/>
      <c r="J35" s="99">
        <v>0</v>
      </c>
      <c r="K35" s="100">
        <f t="shared" si="13"/>
        <v>0</v>
      </c>
      <c r="L35" s="101">
        <f t="shared" si="14"/>
        <v>0</v>
      </c>
      <c r="M35" s="102"/>
      <c r="N35" s="99">
        <v>0</v>
      </c>
      <c r="O35" s="100">
        <f t="shared" si="15"/>
        <v>0</v>
      </c>
      <c r="P35" s="101">
        <f t="shared" si="16"/>
        <v>0</v>
      </c>
      <c r="Q35" s="102"/>
      <c r="R35" s="99">
        <v>0</v>
      </c>
      <c r="S35" s="100">
        <f t="shared" si="17"/>
        <v>0</v>
      </c>
      <c r="T35" s="101">
        <f t="shared" si="18"/>
        <v>0</v>
      </c>
      <c r="U35" s="102"/>
      <c r="V35" s="99">
        <v>0</v>
      </c>
      <c r="W35" s="100">
        <f t="shared" si="19"/>
        <v>0</v>
      </c>
      <c r="X35" s="101">
        <f t="shared" si="20"/>
        <v>0</v>
      </c>
      <c r="Y35" s="102"/>
      <c r="Z35" s="34"/>
      <c r="AA35" s="73">
        <f t="shared" si="7"/>
        <v>0</v>
      </c>
      <c r="AB35" s="74">
        <f t="shared" si="7"/>
        <v>0</v>
      </c>
      <c r="AD35" s="62">
        <f t="shared" si="8"/>
        <v>0</v>
      </c>
      <c r="AF35" s="103"/>
    </row>
    <row r="36" spans="1:32" s="11" customFormat="1" ht="12.75">
      <c r="A36" s="104" t="s">
        <v>31</v>
      </c>
      <c r="B36" s="105">
        <f>SUM(B21:B35)</f>
        <v>50000</v>
      </c>
      <c r="C36" s="76">
        <f>SUM(C21:C35)</f>
        <v>0</v>
      </c>
      <c r="D36" s="31">
        <f>SUM(D21:D35)</f>
        <v>0</v>
      </c>
      <c r="E36" s="5"/>
      <c r="F36" s="105">
        <f>SUM(F21:F35)</f>
        <v>350000</v>
      </c>
      <c r="G36" s="76">
        <f>SUM(G21:G35)</f>
        <v>350000</v>
      </c>
      <c r="H36" s="31">
        <f>SUM(H21:H35)</f>
        <v>0.25925925925925924</v>
      </c>
      <c r="I36" s="5"/>
      <c r="J36" s="105">
        <f>SUM(J21:J35)</f>
        <v>1000000</v>
      </c>
      <c r="K36" s="76">
        <f>SUM(K21:K35)</f>
        <v>1016666.6666666666</v>
      </c>
      <c r="L36" s="31">
        <f>SUM(L21:L35)</f>
        <v>0.16897506925207756</v>
      </c>
      <c r="M36" s="5"/>
      <c r="N36" s="106">
        <f>SUM(N21:N35)</f>
        <v>3500000</v>
      </c>
      <c r="O36" s="76">
        <f>SUM(O21:O35)</f>
        <v>2183333.3333333335</v>
      </c>
      <c r="P36" s="31">
        <f>SUM(P21:P35)</f>
        <v>0.26680244399185332</v>
      </c>
      <c r="Q36" s="5"/>
      <c r="R36" s="106">
        <f>SUM(R21:R35)</f>
        <v>5000000</v>
      </c>
      <c r="S36" s="76">
        <f>SUM(S21:S35)</f>
        <v>2683333.3333333335</v>
      </c>
      <c r="T36" s="31">
        <f>SUM(T21:T35)</f>
        <v>0.30902111324376197</v>
      </c>
      <c r="U36" s="5"/>
      <c r="V36" s="106">
        <f>SUM(V21:V35)</f>
        <v>10000000</v>
      </c>
      <c r="W36" s="76">
        <f>SUM(W21:W35)</f>
        <v>3083333.3333333335</v>
      </c>
      <c r="X36" s="31">
        <f>SUM(X21:X35)</f>
        <v>0.33944954128440363</v>
      </c>
      <c r="Y36" s="5"/>
      <c r="Z36" s="34"/>
      <c r="AA36" s="76">
        <f>SUM(AA21:AA35)</f>
        <v>3083333.3333333335</v>
      </c>
      <c r="AB36" s="31">
        <f>SUM(AB21:AB35)</f>
        <v>0.33944954128440363</v>
      </c>
      <c r="AD36" s="46"/>
      <c r="AF36" s="98"/>
    </row>
    <row r="37" spans="1:32" s="11" customFormat="1" ht="12.75">
      <c r="A37" s="44"/>
      <c r="C37" s="76"/>
      <c r="E37" s="5"/>
      <c r="G37" s="76"/>
      <c r="I37" s="5"/>
      <c r="K37" s="76"/>
      <c r="M37" s="5"/>
      <c r="O37" s="76"/>
      <c r="Q37" s="5"/>
      <c r="S37" s="76"/>
      <c r="U37" s="5"/>
      <c r="W37" s="76"/>
      <c r="Y37" s="5"/>
      <c r="Z37" s="34"/>
      <c r="AA37" s="76"/>
      <c r="AD37" s="46"/>
    </row>
    <row r="38" spans="1:32" s="11" customFormat="1" ht="15.75" thickBot="1">
      <c r="A38" s="104" t="s">
        <v>49</v>
      </c>
      <c r="B38" s="107"/>
      <c r="C38" s="108">
        <f>C18+C36</f>
        <v>1000000</v>
      </c>
      <c r="D38" s="109">
        <f>D18+D36</f>
        <v>1</v>
      </c>
      <c r="E38" s="110"/>
      <c r="F38" s="107"/>
      <c r="G38" s="108">
        <f>G18+G36</f>
        <v>1350000</v>
      </c>
      <c r="H38" s="109">
        <f>H18+H36</f>
        <v>1</v>
      </c>
      <c r="I38" s="110"/>
      <c r="J38" s="107"/>
      <c r="K38" s="108">
        <f>K18+K36</f>
        <v>6016666.666666667</v>
      </c>
      <c r="L38" s="109">
        <f>L18+L36</f>
        <v>1</v>
      </c>
      <c r="M38" s="110"/>
      <c r="N38" s="107"/>
      <c r="O38" s="108">
        <f>O18+O36</f>
        <v>8183333.333333334</v>
      </c>
      <c r="P38" s="109">
        <f>IFERROR(P18+P36,0)</f>
        <v>0.99999999999999978</v>
      </c>
      <c r="Q38" s="110"/>
      <c r="R38" s="107"/>
      <c r="S38" s="108">
        <f>S18+S36</f>
        <v>8683333.333333334</v>
      </c>
      <c r="T38" s="109">
        <f>IFERROR(T18+T36,0)</f>
        <v>1</v>
      </c>
      <c r="U38" s="110"/>
      <c r="V38" s="107"/>
      <c r="W38" s="108">
        <f>W18+W36</f>
        <v>9083333.333333334</v>
      </c>
      <c r="X38" s="109">
        <f>IFERROR(X18+X36,0)</f>
        <v>0.99999999999999989</v>
      </c>
      <c r="Y38" s="110"/>
      <c r="Z38" s="77" t="s">
        <v>32</v>
      </c>
      <c r="AA38" s="108">
        <f>AA18+AA36</f>
        <v>11083333.333333334</v>
      </c>
      <c r="AB38" s="109">
        <f>IFERROR(AB18+AB36,0)</f>
        <v>1.1605849486100572</v>
      </c>
      <c r="AD38" s="111"/>
    </row>
    <row r="39" spans="1:32" s="11" customFormat="1" ht="12.75">
      <c r="A39" s="104"/>
      <c r="C39" s="76"/>
      <c r="D39" s="31"/>
      <c r="E39" s="5"/>
      <c r="G39" s="76"/>
      <c r="H39" s="31"/>
      <c r="I39" s="5"/>
      <c r="K39" s="76"/>
      <c r="L39" s="31"/>
      <c r="M39" s="5"/>
      <c r="O39" s="76"/>
      <c r="P39" s="31"/>
      <c r="Q39" s="5"/>
      <c r="S39" s="76"/>
      <c r="T39" s="31"/>
      <c r="U39" s="5"/>
      <c r="W39" s="76"/>
      <c r="X39" s="31"/>
      <c r="Y39" s="5"/>
      <c r="Z39" s="34"/>
      <c r="AA39" s="76"/>
      <c r="AB39" s="31"/>
    </row>
    <row r="40" spans="1:32" s="11" customFormat="1" ht="12.75">
      <c r="A40" s="104" t="s">
        <v>50</v>
      </c>
      <c r="C40" s="112">
        <f>C4*C18</f>
        <v>100000</v>
      </c>
      <c r="D40" s="113"/>
      <c r="E40" s="114"/>
      <c r="G40" s="112">
        <f>IF((G18+C36)*G4=0,C42,(G18+C36)*G4)</f>
        <v>1000000</v>
      </c>
      <c r="H40" s="113"/>
      <c r="I40" s="114"/>
      <c r="K40" s="112">
        <f>(K18+G36)*K4</f>
        <v>8025000</v>
      </c>
      <c r="L40" s="113"/>
      <c r="M40" s="114"/>
      <c r="N40" s="113"/>
      <c r="O40" s="112">
        <f>(O18+K36)*O4</f>
        <v>21050000</v>
      </c>
      <c r="P40" s="113"/>
      <c r="Q40" s="114"/>
      <c r="R40" s="113"/>
      <c r="S40" s="112">
        <f>(S18+O36)*S4</f>
        <v>81833333.333333343</v>
      </c>
      <c r="T40" s="113"/>
      <c r="U40" s="114"/>
      <c r="V40" s="113"/>
      <c r="W40" s="112">
        <f>(W18+S36)*W4</f>
        <v>217083333.33333334</v>
      </c>
      <c r="X40" s="113"/>
      <c r="Y40" s="114"/>
      <c r="Z40" s="113"/>
      <c r="AA40" s="113"/>
      <c r="AB40" s="113"/>
    </row>
    <row r="41" spans="1:32" s="11" customFormat="1" ht="12.75">
      <c r="A41" s="104"/>
      <c r="C41" s="112"/>
      <c r="D41" s="113"/>
      <c r="E41" s="114"/>
      <c r="G41" s="112"/>
      <c r="H41" s="113"/>
      <c r="I41" s="114"/>
      <c r="K41" s="112"/>
      <c r="L41" s="113"/>
      <c r="M41" s="114"/>
      <c r="N41" s="113"/>
      <c r="O41" s="112"/>
      <c r="P41" s="113"/>
      <c r="Q41" s="114"/>
      <c r="R41" s="113"/>
      <c r="S41" s="112"/>
      <c r="T41" s="113"/>
      <c r="U41" s="114"/>
      <c r="V41" s="113"/>
      <c r="W41" s="112"/>
      <c r="X41" s="113"/>
      <c r="Y41" s="114"/>
      <c r="Z41" s="113"/>
      <c r="AA41" s="113"/>
      <c r="AB41" s="113"/>
    </row>
    <row r="42" spans="1:32" s="116" customFormat="1" ht="12.75">
      <c r="A42" s="115" t="s">
        <v>51</v>
      </c>
      <c r="C42" s="112">
        <f>C38*C4</f>
        <v>100000</v>
      </c>
      <c r="D42" s="113"/>
      <c r="E42" s="114"/>
      <c r="G42" s="112">
        <f>G38*G4</f>
        <v>1350000</v>
      </c>
      <c r="H42" s="113"/>
      <c r="I42" s="114"/>
      <c r="K42" s="112">
        <f>K38*K4</f>
        <v>9025000</v>
      </c>
      <c r="L42" s="113"/>
      <c r="M42" s="114"/>
      <c r="N42" s="113"/>
      <c r="O42" s="112">
        <f>O38*O4</f>
        <v>24550000</v>
      </c>
      <c r="P42" s="113"/>
      <c r="Q42" s="114"/>
      <c r="R42" s="113"/>
      <c r="S42" s="112">
        <f>S38*S4</f>
        <v>86833333.333333343</v>
      </c>
      <c r="T42" s="113"/>
      <c r="U42" s="114"/>
      <c r="V42" s="113"/>
      <c r="W42" s="112">
        <f>W38*W4</f>
        <v>227083333.33333334</v>
      </c>
      <c r="X42" s="113"/>
      <c r="Y42" s="114"/>
      <c r="Z42" s="113"/>
      <c r="AA42" s="113"/>
      <c r="AB42" s="113"/>
    </row>
    <row r="43" spans="1:32" s="116" customFormat="1" ht="12.75">
      <c r="A43" s="115"/>
      <c r="C43" s="112"/>
      <c r="D43" s="113"/>
      <c r="E43" s="114"/>
      <c r="G43" s="112"/>
      <c r="H43" s="113"/>
      <c r="I43" s="114"/>
      <c r="K43" s="112"/>
      <c r="L43" s="113"/>
      <c r="M43" s="114"/>
      <c r="N43" s="113"/>
      <c r="O43" s="112"/>
      <c r="P43" s="113"/>
      <c r="Q43" s="114"/>
      <c r="R43" s="113"/>
      <c r="S43" s="112"/>
      <c r="T43" s="113"/>
      <c r="U43" s="114"/>
      <c r="V43" s="113"/>
      <c r="W43" s="112"/>
      <c r="X43" s="113"/>
      <c r="Y43" s="114"/>
      <c r="Z43" s="113"/>
      <c r="AA43" s="113"/>
      <c r="AB43" s="113"/>
    </row>
    <row r="44" spans="1:32" s="116" customFormat="1" ht="12.75">
      <c r="A44" s="115" t="s">
        <v>52</v>
      </c>
      <c r="C44" s="117">
        <f>SUM(C42-C40)</f>
        <v>0</v>
      </c>
      <c r="D44" s="113"/>
      <c r="E44" s="114"/>
      <c r="G44" s="117">
        <f>SUM(G42-G40)</f>
        <v>350000</v>
      </c>
      <c r="H44" s="113"/>
      <c r="I44" s="114"/>
      <c r="K44" s="117">
        <f>SUM(K42-K40)</f>
        <v>1000000</v>
      </c>
      <c r="L44" s="113"/>
      <c r="M44" s="114"/>
      <c r="N44" s="113"/>
      <c r="O44" s="117">
        <f>SUM(O42-O40)</f>
        <v>3500000</v>
      </c>
      <c r="P44" s="113"/>
      <c r="Q44" s="114"/>
      <c r="R44" s="113"/>
      <c r="S44" s="117">
        <f>SUM(S42-S40)</f>
        <v>5000000</v>
      </c>
      <c r="T44" s="113"/>
      <c r="U44" s="114"/>
      <c r="V44" s="113"/>
      <c r="W44" s="117">
        <f>SUM(W42-W40)</f>
        <v>10000000</v>
      </c>
      <c r="X44" s="113"/>
      <c r="Y44" s="114"/>
      <c r="Z44" s="113"/>
      <c r="AA44" s="113"/>
      <c r="AB44" s="113"/>
    </row>
    <row r="45" spans="1:32">
      <c r="A45" s="118"/>
      <c r="C45" s="120"/>
      <c r="E45" s="110"/>
      <c r="I45" s="110"/>
      <c r="M45" s="110"/>
      <c r="Q45" s="110"/>
      <c r="S45" s="121"/>
      <c r="U45" s="110"/>
      <c r="W45" s="121"/>
      <c r="Y45" s="110"/>
      <c r="AA45" s="121"/>
    </row>
    <row r="46" spans="1:32">
      <c r="A46" s="110"/>
      <c r="B46" s="110"/>
      <c r="C46" s="122"/>
      <c r="D46" s="110"/>
      <c r="E46" s="110"/>
      <c r="F46" s="110"/>
      <c r="G46" s="122"/>
      <c r="H46" s="110"/>
      <c r="I46" s="110"/>
      <c r="J46" s="110"/>
      <c r="K46" s="122"/>
      <c r="L46" s="110"/>
      <c r="M46" s="110"/>
      <c r="N46" s="110"/>
      <c r="O46" s="123"/>
      <c r="P46" s="110"/>
      <c r="Q46" s="124"/>
      <c r="R46" s="125"/>
      <c r="S46" s="126"/>
      <c r="T46" s="127"/>
      <c r="U46" s="124"/>
      <c r="V46" s="125"/>
      <c r="W46" s="126"/>
      <c r="X46" s="128"/>
      <c r="Y46" s="124"/>
      <c r="Z46" s="125"/>
      <c r="AA46" s="126"/>
      <c r="AB46" s="128"/>
      <c r="AC46" s="110"/>
    </row>
    <row r="47" spans="1:32">
      <c r="A47" s="44"/>
      <c r="B47" s="44"/>
      <c r="C47" s="129"/>
      <c r="D47" s="44"/>
      <c r="E47" s="44"/>
      <c r="F47" s="44"/>
      <c r="G47" s="129"/>
      <c r="H47" s="44"/>
      <c r="K47" s="76"/>
      <c r="R47" s="118"/>
      <c r="S47" s="121"/>
      <c r="V47" s="118"/>
      <c r="W47" s="121"/>
      <c r="X47" s="45"/>
      <c r="Z47" s="118"/>
      <c r="AA47" s="121"/>
      <c r="AB47" s="45"/>
    </row>
    <row r="48" spans="1:32">
      <c r="A48" s="44"/>
      <c r="B48" s="44"/>
      <c r="C48" s="44"/>
      <c r="D48" s="44"/>
      <c r="E48" s="44"/>
      <c r="F48" s="44"/>
      <c r="G48" s="129"/>
      <c r="H48" s="44"/>
      <c r="K48" s="130"/>
      <c r="S48" s="121"/>
      <c r="W48" s="121"/>
      <c r="X48" s="45"/>
      <c r="AA48" s="121"/>
      <c r="AB48" s="45"/>
    </row>
    <row r="49" spans="1:28">
      <c r="A49" s="44"/>
      <c r="B49" s="44"/>
      <c r="C49" s="131"/>
      <c r="D49" s="44"/>
      <c r="E49" s="44"/>
      <c r="F49" s="44"/>
      <c r="G49" s="44"/>
      <c r="H49" s="44"/>
      <c r="S49" s="130"/>
      <c r="W49" s="130"/>
      <c r="X49" s="45"/>
      <c r="AA49" s="130"/>
      <c r="AB49" s="45"/>
    </row>
    <row r="50" spans="1:28">
      <c r="A50" s="44"/>
      <c r="B50" s="44"/>
      <c r="C50" s="129"/>
      <c r="D50" s="44"/>
      <c r="E50" s="44"/>
      <c r="F50" s="44"/>
      <c r="G50" s="44"/>
      <c r="H50" s="44"/>
      <c r="S50" s="130"/>
      <c r="W50" s="130"/>
      <c r="X50" s="132"/>
      <c r="AA50" s="130"/>
      <c r="AB50" s="132"/>
    </row>
    <row r="51" spans="1:28">
      <c r="A51" s="44"/>
      <c r="B51" s="44"/>
      <c r="C51" s="11"/>
      <c r="H51" s="44"/>
      <c r="S51" s="130"/>
      <c r="W51" s="130"/>
      <c r="X51" s="132"/>
      <c r="AA51" s="130"/>
      <c r="AB51" s="132"/>
    </row>
    <row r="52" spans="1:28">
      <c r="A52" s="131"/>
      <c r="B52" s="44"/>
      <c r="C52" s="133"/>
      <c r="D52" s="134"/>
      <c r="G52" s="135"/>
      <c r="H52" s="44"/>
      <c r="K52" s="135"/>
      <c r="O52" s="135"/>
      <c r="S52" s="135"/>
      <c r="W52" s="130"/>
      <c r="X52" s="45"/>
      <c r="AA52" s="130"/>
      <c r="AB52" s="45"/>
    </row>
    <row r="53" spans="1:28">
      <c r="A53" s="131"/>
      <c r="B53" s="44"/>
      <c r="C53" s="133"/>
      <c r="D53" s="136"/>
      <c r="G53" s="135"/>
      <c r="H53" s="44"/>
      <c r="K53" s="135"/>
      <c r="O53" s="135"/>
      <c r="S53" s="135"/>
    </row>
    <row r="54" spans="1:28">
      <c r="A54" s="131"/>
      <c r="B54" s="44"/>
      <c r="C54" s="133"/>
      <c r="G54" s="135"/>
      <c r="H54" s="44"/>
      <c r="K54" s="135"/>
      <c r="O54" s="135"/>
      <c r="S54" s="135"/>
    </row>
    <row r="55" spans="1:28">
      <c r="A55" s="131"/>
      <c r="B55" s="44"/>
      <c r="C55" s="133"/>
      <c r="G55" s="135"/>
      <c r="H55" s="44"/>
      <c r="K55" s="135"/>
      <c r="O55" s="135"/>
      <c r="S55" s="135"/>
    </row>
    <row r="56" spans="1:28">
      <c r="A56" s="131"/>
      <c r="B56" s="44"/>
      <c r="C56" s="133"/>
      <c r="G56" s="135"/>
      <c r="H56" s="44"/>
      <c r="K56" s="135"/>
      <c r="O56" s="135"/>
      <c r="S56" s="135"/>
    </row>
    <row r="57" spans="1:28">
      <c r="A57" s="44"/>
      <c r="B57" s="44"/>
      <c r="C57" s="133"/>
      <c r="G57" s="135"/>
      <c r="H57" s="44"/>
      <c r="K57" s="135"/>
      <c r="O57" s="135"/>
      <c r="S57" s="135"/>
    </row>
    <row r="58" spans="1:28">
      <c r="A58" s="44"/>
      <c r="C58" s="133"/>
      <c r="G58" s="135"/>
      <c r="H58" s="44"/>
      <c r="K58" s="135"/>
      <c r="O58" s="135"/>
      <c r="S58" s="135"/>
    </row>
    <row r="59" spans="1:28">
      <c r="A59" s="44"/>
      <c r="C59" s="133"/>
      <c r="G59" s="135"/>
      <c r="H59" s="44"/>
      <c r="K59" s="135"/>
      <c r="O59" s="135"/>
      <c r="S59" s="135"/>
    </row>
    <row r="60" spans="1:28">
      <c r="A60" s="44"/>
      <c r="C60" s="133"/>
      <c r="G60" s="135"/>
      <c r="K60" s="135"/>
      <c r="O60" s="135"/>
      <c r="S60" s="135"/>
    </row>
    <row r="61" spans="1:28">
      <c r="A61" s="44"/>
      <c r="C61" s="133"/>
      <c r="G61" s="135"/>
      <c r="K61" s="135"/>
      <c r="O61" s="135"/>
      <c r="S61" s="135"/>
    </row>
  </sheetData>
  <mergeCells count="7">
    <mergeCell ref="Z3:AB3"/>
    <mergeCell ref="B3:D3"/>
    <mergeCell ref="F3:H3"/>
    <mergeCell ref="J3:L3"/>
    <mergeCell ref="N3:P3"/>
    <mergeCell ref="R3:T3"/>
    <mergeCell ref="V3:X3"/>
  </mergeCells>
  <dataValidations count="1">
    <dataValidation type="list" allowBlank="1" showInputMessage="1" showErrorMessage="1" sqref="A47" xr:uid="{6A484541-8057-439C-A64B-17068B1C177C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9F6E-9774-4A8C-A062-7878069B0105}">
  <dimension ref="A1:Q2001"/>
  <sheetViews>
    <sheetView tabSelected="1" zoomScaleNormal="150" zoomScaleSheetLayoutView="100" workbookViewId="0">
      <selection activeCell="A9" sqref="A9:B9"/>
    </sheetView>
  </sheetViews>
  <sheetFormatPr defaultRowHeight="12.75"/>
  <cols>
    <col min="3" max="3" width="20.42578125" bestFit="1" customWidth="1"/>
    <col min="4" max="4" width="9.140625" style="137"/>
    <col min="6" max="6" width="20.42578125" bestFit="1" customWidth="1"/>
    <col min="8" max="8" width="20.42578125" bestFit="1" customWidth="1"/>
    <col min="17" max="17" width="12.28515625" customWidth="1"/>
  </cols>
  <sheetData>
    <row r="1" spans="1:17" ht="26.25" thickBot="1">
      <c r="A1" t="s">
        <v>53</v>
      </c>
      <c r="B1" t="s">
        <v>54</v>
      </c>
      <c r="C1" t="s">
        <v>55</v>
      </c>
      <c r="D1" s="137" t="s">
        <v>56</v>
      </c>
      <c r="E1" t="s">
        <v>57</v>
      </c>
      <c r="F1" t="s">
        <v>58</v>
      </c>
      <c r="G1" t="s">
        <v>58</v>
      </c>
      <c r="P1" s="138" t="s">
        <v>35</v>
      </c>
      <c r="Q1" s="139" t="s">
        <v>59</v>
      </c>
    </row>
    <row r="2" spans="1:17">
      <c r="A2" s="140">
        <f t="shared" ref="A2:A6" si="0">P2</f>
        <v>1.278910262142599</v>
      </c>
      <c r="B2" s="140">
        <f>AVERAGE(A2:A6)</f>
        <v>1.4966470485552392</v>
      </c>
      <c r="C2" s="141">
        <f>$B$2-3*$B4</f>
        <v>1.0043078229418203</v>
      </c>
      <c r="D2" s="137">
        <v>0.94183960382360965</v>
      </c>
      <c r="E2">
        <f>_xlfn.NORM.DIST(D2,$B$2,$B$4,FALSE)</f>
        <v>8.017674782981524E-3</v>
      </c>
      <c r="F2" s="142" t="s">
        <v>55</v>
      </c>
      <c r="G2" s="142" t="s">
        <v>60</v>
      </c>
      <c r="H2" s="142" t="s">
        <v>55</v>
      </c>
      <c r="I2" s="142" t="s">
        <v>60</v>
      </c>
      <c r="J2" s="143"/>
      <c r="K2" s="143"/>
      <c r="L2" s="143"/>
      <c r="P2" s="137">
        <f>'Cap Table'!AF22</f>
        <v>1.278910262142599</v>
      </c>
      <c r="Q2">
        <f>_xlfn.NORM.DIST(P2,$N$6,$N$7,0)</f>
        <v>0.71513140767605643</v>
      </c>
    </row>
    <row r="3" spans="1:17">
      <c r="A3" s="140">
        <f t="shared" si="0"/>
        <v>1.4586466165413534</v>
      </c>
      <c r="B3" t="s">
        <v>61</v>
      </c>
      <c r="C3" s="141">
        <f>C2+$B$4</f>
        <v>1.1684208981462934</v>
      </c>
      <c r="D3" s="137">
        <v>0.99879718318697996</v>
      </c>
      <c r="E3">
        <f t="shared" ref="E3:E66" si="1">_xlfn.NORM.DIST(D3,$B$2,$B$4,FALSE)</f>
        <v>2.4403282925222012E-2</v>
      </c>
      <c r="F3" s="141">
        <v>1.0043078229418203</v>
      </c>
      <c r="G3">
        <v>2</v>
      </c>
      <c r="H3" s="141">
        <v>1.0043078229418203</v>
      </c>
      <c r="I3">
        <v>0</v>
      </c>
      <c r="P3" s="137">
        <f>'Cap Table'!AF26</f>
        <v>1.4586466165413534</v>
      </c>
      <c r="Q3">
        <f>_xlfn.NORM.DIST(P3,$N$6,$N$7,0)</f>
        <v>3.0180938518657521</v>
      </c>
    </row>
    <row r="4" spans="1:17">
      <c r="A4" s="140">
        <f t="shared" si="0"/>
        <v>1.4792370885724875</v>
      </c>
      <c r="B4">
        <f>STDEV(A2:A6)</f>
        <v>0.16411307520447296</v>
      </c>
      <c r="C4" s="141">
        <f t="shared" ref="C4:C8" si="2">C3+$B$4</f>
        <v>1.3325339733507664</v>
      </c>
      <c r="D4" s="137">
        <v>1.0148217264795676</v>
      </c>
      <c r="E4">
        <f t="shared" si="1"/>
        <v>3.2660264244164378E-2</v>
      </c>
      <c r="F4" s="141">
        <v>1.1684208981462934</v>
      </c>
      <c r="G4">
        <v>40</v>
      </c>
      <c r="H4" s="141">
        <v>1.1684208981462934</v>
      </c>
      <c r="I4">
        <v>0</v>
      </c>
      <c r="P4" s="137">
        <f>'Cap Table'!AF25</f>
        <v>1.4792370885724875</v>
      </c>
      <c r="Q4">
        <f>_xlfn.NORM.DIST(P4,$N$6,$N$7,0)</f>
        <v>3.127913795075203</v>
      </c>
    </row>
    <row r="5" spans="1:17">
      <c r="A5" s="140">
        <f t="shared" si="0"/>
        <v>1.530091428564194</v>
      </c>
      <c r="C5" s="141">
        <f t="shared" si="2"/>
        <v>1.4966470485552394</v>
      </c>
      <c r="D5" s="137">
        <v>1.0222488993022125</v>
      </c>
      <c r="E5">
        <f t="shared" si="1"/>
        <v>3.7263155835832978E-2</v>
      </c>
      <c r="F5" s="141">
        <v>1.3325339733507664</v>
      </c>
      <c r="G5">
        <v>265</v>
      </c>
      <c r="H5" s="141">
        <v>1.3325339733507664</v>
      </c>
      <c r="I5">
        <v>1</v>
      </c>
      <c r="P5" s="137">
        <f>'Cap Table'!AF23</f>
        <v>1.530091428564194</v>
      </c>
      <c r="Q5">
        <f>_xlfn.NORM.DIST(P5,$N$6,$N$7,0)</f>
        <v>3.0490263522909875</v>
      </c>
    </row>
    <row r="6" spans="1:17">
      <c r="A6" s="140">
        <f t="shared" si="0"/>
        <v>1.7363498469555623</v>
      </c>
      <c r="C6" s="141">
        <f t="shared" si="2"/>
        <v>1.6607601237597125</v>
      </c>
      <c r="D6" s="137">
        <v>1.0561189567160909</v>
      </c>
      <c r="E6">
        <f t="shared" si="1"/>
        <v>6.6240596033259991E-2</v>
      </c>
      <c r="F6" s="141">
        <v>1.4966470485552394</v>
      </c>
      <c r="G6">
        <v>696</v>
      </c>
      <c r="H6" s="141">
        <v>1.4966470485552394</v>
      </c>
      <c r="I6">
        <v>2</v>
      </c>
      <c r="M6" s="138" t="s">
        <v>62</v>
      </c>
      <c r="N6" s="144">
        <f>'Cap Table'!AF27</f>
        <v>1.4966470485552392</v>
      </c>
      <c r="O6" s="140"/>
      <c r="P6" s="137">
        <f>'Cap Table'!AF24</f>
        <v>1.7363498469555623</v>
      </c>
      <c r="Q6">
        <f>_xlfn.NORM.DIST(P6,$N$6,$N$7,0)</f>
        <v>0.5220155839767634</v>
      </c>
    </row>
    <row r="7" spans="1:17">
      <c r="C7" s="141">
        <f t="shared" si="2"/>
        <v>1.8248731989641855</v>
      </c>
      <c r="D7" s="137">
        <v>1.0745018064917531</v>
      </c>
      <c r="E7">
        <f t="shared" si="1"/>
        <v>8.8916428866591776E-2</v>
      </c>
      <c r="F7" s="141">
        <v>1.6607601237597125</v>
      </c>
      <c r="G7">
        <v>666</v>
      </c>
      <c r="H7" s="141">
        <v>1.6607601237597125</v>
      </c>
      <c r="I7">
        <v>1</v>
      </c>
      <c r="M7" s="138" t="s">
        <v>63</v>
      </c>
      <c r="N7" s="144">
        <f>_xlfn.STDEV.P('ROI Analysis'!AR22,'ROI Analysis'!AR23,'Cap Table'!AF24,'Cap Table'!AF25,'Cap Table'!AF26)</f>
        <v>0.12633730083669117</v>
      </c>
    </row>
    <row r="8" spans="1:17">
      <c r="C8" s="141">
        <f t="shared" si="2"/>
        <v>1.9889862741686586</v>
      </c>
      <c r="D8" s="137">
        <v>1.0755764778004959</v>
      </c>
      <c r="E8">
        <f t="shared" si="1"/>
        <v>9.0424904118495172E-2</v>
      </c>
      <c r="F8" s="141">
        <v>1.8248731989641855</v>
      </c>
      <c r="G8">
        <v>274</v>
      </c>
      <c r="H8" s="141">
        <v>1.8248731989641855</v>
      </c>
      <c r="I8">
        <v>1</v>
      </c>
    </row>
    <row r="9" spans="1:17">
      <c r="D9" s="137">
        <v>1.0803707059167209</v>
      </c>
      <c r="E9">
        <f t="shared" si="1"/>
        <v>9.7421381368429663E-2</v>
      </c>
      <c r="F9" s="141">
        <v>1.9889862741686586</v>
      </c>
      <c r="G9">
        <v>49</v>
      </c>
      <c r="H9" s="141">
        <v>1.9889862741686586</v>
      </c>
      <c r="I9">
        <v>0</v>
      </c>
    </row>
    <row r="10" spans="1:17" ht="13.5" thickBot="1">
      <c r="D10" s="137">
        <v>1.0881322209243081</v>
      </c>
      <c r="E10">
        <f t="shared" si="1"/>
        <v>0.10971530279821619</v>
      </c>
      <c r="F10" s="145" t="s">
        <v>64</v>
      </c>
      <c r="G10" s="145">
        <v>8</v>
      </c>
      <c r="H10" s="145" t="s">
        <v>64</v>
      </c>
      <c r="I10" s="145">
        <v>0</v>
      </c>
    </row>
    <row r="11" spans="1:17">
      <c r="D11" s="137">
        <v>1.094807123830833</v>
      </c>
      <c r="E11">
        <f t="shared" si="1"/>
        <v>0.12130463815283744</v>
      </c>
    </row>
    <row r="12" spans="1:17">
      <c r="D12" s="137">
        <v>1.0979117298338679</v>
      </c>
      <c r="E12">
        <f t="shared" si="1"/>
        <v>0.12703296422676083</v>
      </c>
    </row>
    <row r="13" spans="1:17">
      <c r="D13" s="137">
        <v>1.1006342304826831</v>
      </c>
      <c r="E13">
        <f t="shared" si="1"/>
        <v>0.13223950370200807</v>
      </c>
      <c r="F13" s="146"/>
    </row>
    <row r="14" spans="1:17">
      <c r="D14" s="137">
        <v>1.1025447572537814</v>
      </c>
      <c r="E14">
        <f t="shared" si="1"/>
        <v>0.13599777256408563</v>
      </c>
      <c r="F14" s="147"/>
    </row>
    <row r="15" spans="1:17">
      <c r="D15" s="137">
        <v>1.105992661035998</v>
      </c>
      <c r="E15">
        <f t="shared" si="1"/>
        <v>0.14300359008321473</v>
      </c>
      <c r="F15" s="147"/>
    </row>
    <row r="16" spans="1:17">
      <c r="D16" s="137">
        <v>1.1107540519733448</v>
      </c>
      <c r="E16">
        <f t="shared" si="1"/>
        <v>0.15316427310488462</v>
      </c>
      <c r="F16" s="147"/>
    </row>
    <row r="17" spans="4:5">
      <c r="D17" s="137">
        <v>1.1128138386484352</v>
      </c>
      <c r="E17">
        <f t="shared" si="1"/>
        <v>0.15773943759145542</v>
      </c>
    </row>
    <row r="18" spans="4:5">
      <c r="D18" s="137">
        <v>1.1259248286150978</v>
      </c>
      <c r="E18">
        <f t="shared" si="1"/>
        <v>0.18954049968362577</v>
      </c>
    </row>
    <row r="19" spans="4:5">
      <c r="D19" s="137">
        <v>1.1303399365751829</v>
      </c>
      <c r="E19">
        <f t="shared" si="1"/>
        <v>0.20134358879523076</v>
      </c>
    </row>
    <row r="20" spans="4:5">
      <c r="D20" s="137">
        <v>1.1309727985681093</v>
      </c>
      <c r="E20">
        <f t="shared" si="1"/>
        <v>0.2030825875054956</v>
      </c>
    </row>
    <row r="21" spans="4:5">
      <c r="D21" s="137">
        <v>1.1343550279925694</v>
      </c>
      <c r="E21">
        <f t="shared" si="1"/>
        <v>0.21258062652797152</v>
      </c>
    </row>
    <row r="22" spans="4:5">
      <c r="D22" s="137">
        <v>1.135546122026426</v>
      </c>
      <c r="E22">
        <f t="shared" si="1"/>
        <v>0.21600834935929505</v>
      </c>
    </row>
    <row r="23" spans="4:5">
      <c r="D23" s="137">
        <v>1.136280480754067</v>
      </c>
      <c r="E23">
        <f t="shared" si="1"/>
        <v>0.21814344221545284</v>
      </c>
    </row>
    <row r="24" spans="4:5">
      <c r="D24" s="137">
        <v>1.1372984332992928</v>
      </c>
      <c r="E24">
        <f t="shared" si="1"/>
        <v>0.22113068671570144</v>
      </c>
    </row>
    <row r="25" spans="4:5">
      <c r="D25" s="137">
        <v>1.1372984332992928</v>
      </c>
      <c r="E25">
        <f t="shared" si="1"/>
        <v>0.22113068671570144</v>
      </c>
    </row>
    <row r="26" spans="4:5">
      <c r="D26" s="137">
        <v>1.1378745765287022</v>
      </c>
      <c r="E26">
        <f t="shared" si="1"/>
        <v>0.22283570777249229</v>
      </c>
    </row>
    <row r="27" spans="4:5">
      <c r="D27" s="137">
        <v>1.1385880388697842</v>
      </c>
      <c r="E27">
        <f t="shared" si="1"/>
        <v>0.22496149542863234</v>
      </c>
    </row>
    <row r="28" spans="4:5">
      <c r="D28" s="137">
        <v>1.1419165347288072</v>
      </c>
      <c r="E28">
        <f t="shared" si="1"/>
        <v>0.23509128514591246</v>
      </c>
    </row>
    <row r="29" spans="4:5">
      <c r="D29" s="137">
        <v>1.1425926820938912</v>
      </c>
      <c r="E29">
        <f t="shared" si="1"/>
        <v>0.23719220432115509</v>
      </c>
    </row>
    <row r="30" spans="4:5">
      <c r="D30" s="137">
        <v>1.1425926820938912</v>
      </c>
      <c r="E30">
        <f t="shared" si="1"/>
        <v>0.23719220432115509</v>
      </c>
    </row>
    <row r="31" spans="4:5">
      <c r="D31" s="137">
        <v>1.142859857322037</v>
      </c>
      <c r="E31">
        <f t="shared" si="1"/>
        <v>0.23802642105040137</v>
      </c>
    </row>
    <row r="32" spans="4:5">
      <c r="D32" s="137">
        <v>1.1466510588834353</v>
      </c>
      <c r="E32">
        <f t="shared" si="1"/>
        <v>0.25011360224554458</v>
      </c>
    </row>
    <row r="33" spans="4:5">
      <c r="D33" s="137">
        <v>1.1489108538298751</v>
      </c>
      <c r="E33">
        <f t="shared" si="1"/>
        <v>0.25754294535080086</v>
      </c>
    </row>
    <row r="34" spans="4:5">
      <c r="D34" s="137">
        <v>1.15182739235388</v>
      </c>
      <c r="E34">
        <f t="shared" si="1"/>
        <v>0.26738359590001026</v>
      </c>
    </row>
    <row r="35" spans="4:5">
      <c r="D35" s="137">
        <v>1.1528916154693434</v>
      </c>
      <c r="E35">
        <f t="shared" si="1"/>
        <v>0.27104594566784812</v>
      </c>
    </row>
    <row r="36" spans="4:5">
      <c r="D36" s="137">
        <v>1.1556633718864759</v>
      </c>
      <c r="E36">
        <f t="shared" si="1"/>
        <v>0.28076625782036457</v>
      </c>
    </row>
    <row r="37" spans="4:5">
      <c r="D37" s="137">
        <v>1.1588844006146246</v>
      </c>
      <c r="E37">
        <f t="shared" si="1"/>
        <v>0.29239609885951362</v>
      </c>
    </row>
    <row r="38" spans="4:5">
      <c r="D38" s="137">
        <v>1.1592112798043672</v>
      </c>
      <c r="E38">
        <f t="shared" si="1"/>
        <v>0.29359660373961283</v>
      </c>
    </row>
    <row r="39" spans="4:5">
      <c r="D39" s="137">
        <v>1.1603949108430243</v>
      </c>
      <c r="E39">
        <f t="shared" si="1"/>
        <v>0.29797513267348508</v>
      </c>
    </row>
    <row r="40" spans="4:5">
      <c r="D40" s="137">
        <v>1.1611382251649047</v>
      </c>
      <c r="E40">
        <f t="shared" si="1"/>
        <v>0.30075014802678179</v>
      </c>
    </row>
    <row r="41" spans="4:5">
      <c r="D41" s="137">
        <v>1.1613501742285735</v>
      </c>
      <c r="E41">
        <f t="shared" si="1"/>
        <v>0.30154500869131884</v>
      </c>
    </row>
    <row r="42" spans="4:5">
      <c r="D42" s="137">
        <v>1.1654637771825946</v>
      </c>
      <c r="E42">
        <f t="shared" si="1"/>
        <v>0.31729007212543603</v>
      </c>
    </row>
    <row r="43" spans="4:5">
      <c r="D43" s="137">
        <v>1.1666578564145311</v>
      </c>
      <c r="E43">
        <f t="shared" si="1"/>
        <v>0.32197469396210782</v>
      </c>
    </row>
    <row r="44" spans="4:5">
      <c r="D44" s="137">
        <v>1.1708923598907859</v>
      </c>
      <c r="E44">
        <f t="shared" si="1"/>
        <v>0.33900741084496977</v>
      </c>
    </row>
    <row r="45" spans="4:5">
      <c r="D45" s="137">
        <v>1.171078934770776</v>
      </c>
      <c r="E45">
        <f t="shared" si="1"/>
        <v>0.33977306431084153</v>
      </c>
    </row>
    <row r="46" spans="4:5">
      <c r="D46" s="137">
        <v>1.1716401520097861</v>
      </c>
      <c r="E46">
        <f t="shared" si="1"/>
        <v>0.34208392441753671</v>
      </c>
    </row>
    <row r="47" spans="4:5">
      <c r="D47" s="137">
        <v>1.1735685899693635</v>
      </c>
      <c r="E47">
        <f t="shared" si="1"/>
        <v>0.35011367635211649</v>
      </c>
    </row>
    <row r="48" spans="4:5">
      <c r="D48" s="137">
        <v>1.1741104034208547</v>
      </c>
      <c r="E48">
        <f t="shared" si="1"/>
        <v>0.35239468576986227</v>
      </c>
    </row>
    <row r="49" spans="4:5">
      <c r="D49" s="137">
        <v>1.1779866831275285</v>
      </c>
      <c r="E49">
        <f t="shared" si="1"/>
        <v>0.36903561504868804</v>
      </c>
    </row>
    <row r="50" spans="4:5">
      <c r="D50" s="137">
        <v>1.1797748167773534</v>
      </c>
      <c r="E50">
        <f t="shared" si="1"/>
        <v>0.37690387940288311</v>
      </c>
    </row>
    <row r="51" spans="4:5">
      <c r="D51" s="137">
        <v>1.1817719142927672</v>
      </c>
      <c r="E51">
        <f t="shared" si="1"/>
        <v>0.38583596618117627</v>
      </c>
    </row>
    <row r="52" spans="4:5">
      <c r="D52" s="137">
        <v>1.1831600313998933</v>
      </c>
      <c r="E52">
        <f t="shared" si="1"/>
        <v>0.3921345573385614</v>
      </c>
    </row>
    <row r="53" spans="4:5">
      <c r="D53" s="137">
        <v>1.1834824327925162</v>
      </c>
      <c r="E53">
        <f t="shared" si="1"/>
        <v>0.39360807904224204</v>
      </c>
    </row>
    <row r="54" spans="4:5">
      <c r="D54" s="137">
        <v>1.1834824327925162</v>
      </c>
      <c r="E54">
        <f t="shared" si="1"/>
        <v>0.39360807904224204</v>
      </c>
    </row>
    <row r="55" spans="4:5">
      <c r="D55" s="137">
        <v>1.1869586959564913</v>
      </c>
      <c r="E55">
        <f t="shared" si="1"/>
        <v>0.40975179446334492</v>
      </c>
    </row>
    <row r="56" spans="4:5">
      <c r="D56" s="137">
        <v>1.1878826147622021</v>
      </c>
      <c r="E56">
        <f t="shared" si="1"/>
        <v>0.41412148159443701</v>
      </c>
    </row>
    <row r="57" spans="4:5">
      <c r="D57" s="137">
        <v>1.1894767105368373</v>
      </c>
      <c r="E57">
        <f t="shared" si="1"/>
        <v>0.42173919526353154</v>
      </c>
    </row>
    <row r="58" spans="4:5">
      <c r="D58" s="137">
        <v>1.1904483925118257</v>
      </c>
      <c r="E58">
        <f t="shared" si="1"/>
        <v>0.42643141558622644</v>
      </c>
    </row>
    <row r="59" spans="4:5">
      <c r="D59" s="137">
        <v>1.1940903341692319</v>
      </c>
      <c r="E59">
        <f t="shared" si="1"/>
        <v>0.44434888721889276</v>
      </c>
    </row>
    <row r="60" spans="4:5">
      <c r="D60" s="137">
        <v>1.1950829125307791</v>
      </c>
      <c r="E60">
        <f t="shared" si="1"/>
        <v>0.44932300291809796</v>
      </c>
    </row>
    <row r="61" spans="4:5">
      <c r="D61" s="137">
        <v>1.1973113628973806</v>
      </c>
      <c r="E61">
        <f t="shared" si="1"/>
        <v>0.46063284755990508</v>
      </c>
    </row>
    <row r="62" spans="4:5">
      <c r="D62" s="137">
        <v>1.1979972121562241</v>
      </c>
      <c r="E62">
        <f t="shared" si="1"/>
        <v>0.46415341165016299</v>
      </c>
    </row>
    <row r="63" spans="4:5">
      <c r="D63" s="137">
        <v>1.1982696114810096</v>
      </c>
      <c r="E63">
        <f t="shared" si="1"/>
        <v>0.46555687522600014</v>
      </c>
    </row>
    <row r="64" spans="4:5">
      <c r="D64" s="137">
        <v>1.1998219144825271</v>
      </c>
      <c r="E64">
        <f t="shared" si="1"/>
        <v>0.47361117144957188</v>
      </c>
    </row>
    <row r="65" spans="4:5">
      <c r="D65" s="137">
        <v>1.20108316067126</v>
      </c>
      <c r="E65">
        <f t="shared" si="1"/>
        <v>0.48022614108178263</v>
      </c>
    </row>
    <row r="66" spans="4:5">
      <c r="D66" s="137">
        <v>1.20108316067126</v>
      </c>
      <c r="E66">
        <f t="shared" si="1"/>
        <v>0.48022614108178263</v>
      </c>
    </row>
    <row r="67" spans="4:5">
      <c r="D67" s="137">
        <v>1.2019369273220946</v>
      </c>
      <c r="E67">
        <f t="shared" ref="E67:E130" si="3">_xlfn.NORM.DIST(D67,$B$2,$B$4,FALSE)</f>
        <v>0.48474007743596187</v>
      </c>
    </row>
    <row r="68" spans="4:5">
      <c r="D68" s="137">
        <v>1.2032981776465022</v>
      </c>
      <c r="E68">
        <f t="shared" si="3"/>
        <v>0.49199750044470109</v>
      </c>
    </row>
    <row r="69" spans="4:5">
      <c r="D69" s="137">
        <v>1.2045758424246742</v>
      </c>
      <c r="E69">
        <f t="shared" si="3"/>
        <v>0.49887688840613426</v>
      </c>
    </row>
    <row r="70" spans="4:5">
      <c r="D70" s="137">
        <v>1.2052713935772772</v>
      </c>
      <c r="E70">
        <f t="shared" si="3"/>
        <v>0.50264951980614614</v>
      </c>
    </row>
    <row r="71" spans="4:5">
      <c r="D71" s="137">
        <v>1.2098163576538354</v>
      </c>
      <c r="E71">
        <f t="shared" si="3"/>
        <v>0.52777990086578153</v>
      </c>
    </row>
    <row r="72" spans="4:5">
      <c r="D72" s="137">
        <v>1.2110074516876921</v>
      </c>
      <c r="E72">
        <f t="shared" si="3"/>
        <v>0.53450327292800293</v>
      </c>
    </row>
    <row r="73" spans="4:5">
      <c r="D73" s="137">
        <v>1.2123007887557833</v>
      </c>
      <c r="E73">
        <f t="shared" si="3"/>
        <v>0.54186847997377119</v>
      </c>
    </row>
    <row r="74" spans="4:5">
      <c r="D74" s="137">
        <v>1.2149479131530825</v>
      </c>
      <c r="E74">
        <f t="shared" si="3"/>
        <v>0.55715320081783715</v>
      </c>
    </row>
    <row r="75" spans="4:5">
      <c r="D75" s="137">
        <v>1.2149479131530825</v>
      </c>
      <c r="E75">
        <f t="shared" si="3"/>
        <v>0.55715320081783715</v>
      </c>
    </row>
    <row r="76" spans="4:5">
      <c r="D76" s="137">
        <v>1.2152315069706674</v>
      </c>
      <c r="E76">
        <f t="shared" si="3"/>
        <v>0.55880743047738446</v>
      </c>
    </row>
    <row r="77" spans="4:5">
      <c r="D77" s="137">
        <v>1.2159636267997485</v>
      </c>
      <c r="E77">
        <f t="shared" si="3"/>
        <v>0.56309292326258076</v>
      </c>
    </row>
    <row r="78" spans="4:5">
      <c r="D78" s="137">
        <v>1.2176330988258997</v>
      </c>
      <c r="E78">
        <f t="shared" si="3"/>
        <v>0.57294592016781742</v>
      </c>
    </row>
    <row r="79" spans="4:5">
      <c r="D79" s="137">
        <v>1.2184570134959358</v>
      </c>
      <c r="E79">
        <f t="shared" si="3"/>
        <v>0.57784986668752292</v>
      </c>
    </row>
    <row r="80" spans="4:5">
      <c r="D80" s="137">
        <v>1.2189480785800697</v>
      </c>
      <c r="E80">
        <f t="shared" si="3"/>
        <v>0.58078566824336042</v>
      </c>
    </row>
    <row r="81" spans="4:5">
      <c r="D81" s="137">
        <v>1.2189480785800697</v>
      </c>
      <c r="E81">
        <f t="shared" si="3"/>
        <v>0.58078566824336042</v>
      </c>
    </row>
    <row r="82" spans="4:5">
      <c r="D82" s="137">
        <v>1.2191652517403782</v>
      </c>
      <c r="E82">
        <f t="shared" si="3"/>
        <v>0.58208711447384875</v>
      </c>
    </row>
    <row r="83" spans="4:5">
      <c r="D83" s="137">
        <v>1.2205660559393436</v>
      </c>
      <c r="E83">
        <f t="shared" si="3"/>
        <v>0.59052717670051202</v>
      </c>
    </row>
    <row r="84" spans="4:5">
      <c r="D84" s="137">
        <v>1.2206197895047808</v>
      </c>
      <c r="E84">
        <f t="shared" si="3"/>
        <v>0.59085249839238929</v>
      </c>
    </row>
    <row r="85" spans="4:5">
      <c r="D85" s="137">
        <v>1.2214713172570555</v>
      </c>
      <c r="E85">
        <f t="shared" si="3"/>
        <v>0.596023403614936</v>
      </c>
    </row>
    <row r="86" spans="4:5">
      <c r="D86" s="137">
        <v>1.2220526845831046</v>
      </c>
      <c r="E86">
        <f t="shared" si="3"/>
        <v>0.59957045742191428</v>
      </c>
    </row>
    <row r="87" spans="4:5">
      <c r="D87" s="137">
        <v>1.2233087066751978</v>
      </c>
      <c r="E87">
        <f t="shared" si="3"/>
        <v>0.60727994790961859</v>
      </c>
    </row>
    <row r="88" spans="4:5">
      <c r="D88" s="137">
        <v>1.2234124423084722</v>
      </c>
      <c r="E88">
        <f t="shared" si="3"/>
        <v>0.60791950197132394</v>
      </c>
    </row>
    <row r="89" spans="4:5">
      <c r="D89" s="137">
        <v>1.2250610179480645</v>
      </c>
      <c r="E89">
        <f t="shared" si="3"/>
        <v>0.61814107973883603</v>
      </c>
    </row>
    <row r="90" spans="4:5">
      <c r="D90" s="137">
        <v>1.225672237254912</v>
      </c>
      <c r="E90">
        <f t="shared" si="3"/>
        <v>0.6219583621600846</v>
      </c>
    </row>
    <row r="91" spans="4:5">
      <c r="D91" s="137">
        <v>1.2259259790916985</v>
      </c>
      <c r="E91">
        <f t="shared" si="3"/>
        <v>0.62354744586946576</v>
      </c>
    </row>
    <row r="92" spans="4:5">
      <c r="D92" s="137">
        <v>1.2264304775671917</v>
      </c>
      <c r="E92">
        <f t="shared" si="3"/>
        <v>0.62671453874634686</v>
      </c>
    </row>
    <row r="93" spans="4:5">
      <c r="D93" s="137">
        <v>1.2271334917149943</v>
      </c>
      <c r="E93">
        <f t="shared" si="3"/>
        <v>0.6311447520199549</v>
      </c>
    </row>
    <row r="94" spans="4:5">
      <c r="D94" s="137">
        <v>1.2276820218621651</v>
      </c>
      <c r="E94">
        <f t="shared" si="3"/>
        <v>0.63461509825028561</v>
      </c>
    </row>
    <row r="95" spans="4:5">
      <c r="D95" s="137">
        <v>1.2277320239300025</v>
      </c>
      <c r="E95">
        <f t="shared" si="3"/>
        <v>0.63493203738302229</v>
      </c>
    </row>
    <row r="96" spans="4:5">
      <c r="D96" s="137">
        <v>1.2281290552746214</v>
      </c>
      <c r="E96">
        <f t="shared" si="3"/>
        <v>0.6374521530658469</v>
      </c>
    </row>
    <row r="97" spans="4:5">
      <c r="D97" s="137">
        <v>1.2282768225795735</v>
      </c>
      <c r="E97">
        <f t="shared" si="3"/>
        <v>0.63839168882011876</v>
      </c>
    </row>
    <row r="98" spans="4:5">
      <c r="D98" s="137">
        <v>1.2286223592573151</v>
      </c>
      <c r="E98">
        <f t="shared" si="3"/>
        <v>0.64059206556772996</v>
      </c>
    </row>
    <row r="99" spans="4:5">
      <c r="D99" s="137">
        <v>1.2296515062953404</v>
      </c>
      <c r="E99">
        <f t="shared" si="3"/>
        <v>0.64717370933338292</v>
      </c>
    </row>
    <row r="100" spans="4:5">
      <c r="D100" s="137">
        <v>1.2297492715324552</v>
      </c>
      <c r="E100">
        <f t="shared" si="3"/>
        <v>0.64780112286362612</v>
      </c>
    </row>
    <row r="101" spans="4:5">
      <c r="D101" s="137">
        <v>1.2301866030511519</v>
      </c>
      <c r="E101">
        <f t="shared" si="3"/>
        <v>0.65061234878696794</v>
      </c>
    </row>
    <row r="102" spans="4:5">
      <c r="D102" s="137">
        <v>1.2302351125199493</v>
      </c>
      <c r="E102">
        <f t="shared" si="3"/>
        <v>0.65092464008212914</v>
      </c>
    </row>
    <row r="103" spans="4:5">
      <c r="D103" s="137">
        <v>1.2313441136066103</v>
      </c>
      <c r="E103">
        <f t="shared" si="3"/>
        <v>0.65808944554397386</v>
      </c>
    </row>
    <row r="104" spans="4:5">
      <c r="D104" s="137">
        <v>1.2316792020910725</v>
      </c>
      <c r="E104">
        <f t="shared" si="3"/>
        <v>0.66026385967142986</v>
      </c>
    </row>
    <row r="105" spans="4:5">
      <c r="D105" s="137">
        <v>1.2322031043540846</v>
      </c>
      <c r="E105">
        <f t="shared" si="3"/>
        <v>0.66367236227603155</v>
      </c>
    </row>
    <row r="106" spans="4:5">
      <c r="D106" s="137">
        <v>1.2326299876795019</v>
      </c>
      <c r="E106">
        <f t="shared" si="3"/>
        <v>0.66645764467904978</v>
      </c>
    </row>
    <row r="107" spans="4:5">
      <c r="D107" s="137">
        <v>1.2326777508487794</v>
      </c>
      <c r="E107">
        <f t="shared" si="3"/>
        <v>0.66676973025320596</v>
      </c>
    </row>
    <row r="108" spans="4:5">
      <c r="D108" s="137">
        <v>1.2326777508487794</v>
      </c>
      <c r="E108">
        <f t="shared" si="3"/>
        <v>0.66676973025320596</v>
      </c>
    </row>
    <row r="109" spans="4:5">
      <c r="D109" s="137">
        <v>1.2331494121453943</v>
      </c>
      <c r="E109">
        <f t="shared" si="3"/>
        <v>0.66985638669053016</v>
      </c>
    </row>
    <row r="110" spans="4:5">
      <c r="D110" s="137">
        <v>1.2341800517824595</v>
      </c>
      <c r="E110">
        <f t="shared" si="3"/>
        <v>0.67663148820243124</v>
      </c>
    </row>
    <row r="111" spans="4:5">
      <c r="D111" s="137">
        <v>1.2342733392224545</v>
      </c>
      <c r="E111">
        <f t="shared" si="3"/>
        <v>0.67724678395427562</v>
      </c>
    </row>
    <row r="112" spans="4:5">
      <c r="D112" s="137">
        <v>1.2349233661043399</v>
      </c>
      <c r="E112">
        <f t="shared" si="3"/>
        <v>0.68154361204209424</v>
      </c>
    </row>
    <row r="113" spans="4:5">
      <c r="D113" s="137">
        <v>1.235844299711971</v>
      </c>
      <c r="E113">
        <f t="shared" si="3"/>
        <v>0.68765943911548622</v>
      </c>
    </row>
    <row r="114" spans="4:5">
      <c r="D114" s="137">
        <v>1.2363017813177066</v>
      </c>
      <c r="E114">
        <f t="shared" si="3"/>
        <v>0.69070981413135268</v>
      </c>
    </row>
    <row r="115" spans="4:5">
      <c r="D115" s="137">
        <v>1.2364391004293793</v>
      </c>
      <c r="E115">
        <f t="shared" si="3"/>
        <v>0.69162701313636843</v>
      </c>
    </row>
    <row r="116" spans="4:5">
      <c r="D116" s="137">
        <v>1.2404183694698077</v>
      </c>
      <c r="E116">
        <f t="shared" si="3"/>
        <v>0.71852294578603393</v>
      </c>
    </row>
    <row r="117" spans="4:5">
      <c r="D117" s="137">
        <v>1.2404183694698077</v>
      </c>
      <c r="E117">
        <f t="shared" si="3"/>
        <v>0.71852294578603393</v>
      </c>
    </row>
    <row r="118" spans="4:5">
      <c r="D118" s="137">
        <v>1.2404616548419654</v>
      </c>
      <c r="E118">
        <f t="shared" si="3"/>
        <v>0.71881886686338603</v>
      </c>
    </row>
    <row r="119" spans="4:5">
      <c r="D119" s="137">
        <v>1.2405937498569983</v>
      </c>
      <c r="E119">
        <f t="shared" si="3"/>
        <v>0.71972238050131654</v>
      </c>
    </row>
    <row r="120" spans="4:5">
      <c r="D120" s="137">
        <v>1.242028137534362</v>
      </c>
      <c r="E120">
        <f t="shared" si="3"/>
        <v>0.72957640522988176</v>
      </c>
    </row>
    <row r="121" spans="4:5">
      <c r="D121" s="137">
        <v>1.2422012790229928</v>
      </c>
      <c r="E121">
        <f t="shared" si="3"/>
        <v>0.73077117408576553</v>
      </c>
    </row>
    <row r="122" spans="4:5">
      <c r="D122" s="137">
        <v>1.2425878621743323</v>
      </c>
      <c r="E122">
        <f t="shared" si="3"/>
        <v>0.73344292431800007</v>
      </c>
    </row>
    <row r="123" spans="4:5">
      <c r="D123" s="137">
        <v>1.2428460818082385</v>
      </c>
      <c r="E123">
        <f t="shared" si="3"/>
        <v>0.73523069628017679</v>
      </c>
    </row>
    <row r="124" spans="4:5">
      <c r="D124" s="137">
        <v>1.2430169843983094</v>
      </c>
      <c r="E124">
        <f t="shared" si="3"/>
        <v>0.73641532586760194</v>
      </c>
    </row>
    <row r="125" spans="4:5">
      <c r="D125" s="137">
        <v>1.2445036130420704</v>
      </c>
      <c r="E125">
        <f t="shared" si="3"/>
        <v>0.74676673852523678</v>
      </c>
    </row>
    <row r="126" spans="4:5">
      <c r="D126" s="137">
        <v>1.2467156448192327</v>
      </c>
      <c r="E126">
        <f t="shared" si="3"/>
        <v>0.76232328623165679</v>
      </c>
    </row>
    <row r="127" spans="4:5">
      <c r="D127" s="137">
        <v>1.2467984840659483</v>
      </c>
      <c r="E127">
        <f t="shared" si="3"/>
        <v>0.76290943076507844</v>
      </c>
    </row>
    <row r="128" spans="4:5">
      <c r="D128" s="137">
        <v>1.2471693949273686</v>
      </c>
      <c r="E128">
        <f t="shared" si="3"/>
        <v>0.76553701932630513</v>
      </c>
    </row>
    <row r="129" spans="4:5">
      <c r="D129" s="137">
        <v>1.2483963113381833</v>
      </c>
      <c r="E129">
        <f t="shared" si="3"/>
        <v>0.77426515135764418</v>
      </c>
    </row>
    <row r="130" spans="4:5">
      <c r="D130" s="137">
        <v>1.248477657985859</v>
      </c>
      <c r="E130">
        <f t="shared" si="3"/>
        <v>0.77484581574626921</v>
      </c>
    </row>
    <row r="131" spans="4:5">
      <c r="D131" s="137">
        <v>1.2486806514552882</v>
      </c>
      <c r="E131">
        <f t="shared" ref="E131:E194" si="4">_xlfn.NORM.DIST(D131,$B$2,$B$4,FALSE)</f>
        <v>0.77629588120969173</v>
      </c>
    </row>
    <row r="132" spans="4:5">
      <c r="D132" s="137">
        <v>1.2489231987992753</v>
      </c>
      <c r="E132">
        <f t="shared" si="4"/>
        <v>0.77803049412262792</v>
      </c>
    </row>
    <row r="133" spans="4:5">
      <c r="D133" s="137">
        <v>1.2500508573739353</v>
      </c>
      <c r="E133">
        <f t="shared" si="4"/>
        <v>0.78612359858662528</v>
      </c>
    </row>
    <row r="134" spans="4:5">
      <c r="D134" s="137">
        <v>1.250450127617114</v>
      </c>
      <c r="E134">
        <f t="shared" si="4"/>
        <v>0.78900033096497846</v>
      </c>
    </row>
    <row r="135" spans="4:5">
      <c r="D135" s="137">
        <v>1.2517979445501624</v>
      </c>
      <c r="E135">
        <f t="shared" si="4"/>
        <v>0.79875437461241339</v>
      </c>
    </row>
    <row r="136" spans="4:5">
      <c r="D136" s="137">
        <v>1.2533629346435191</v>
      </c>
      <c r="E136">
        <f t="shared" si="4"/>
        <v>0.81016291375118288</v>
      </c>
    </row>
    <row r="137" spans="4:5">
      <c r="D137" s="137">
        <v>1.2544062613724236</v>
      </c>
      <c r="E137">
        <f t="shared" si="4"/>
        <v>0.81781767244655057</v>
      </c>
    </row>
    <row r="138" spans="4:5">
      <c r="D138" s="137">
        <v>1.2554018249320507</v>
      </c>
      <c r="E138">
        <f t="shared" si="4"/>
        <v>0.82515832850714066</v>
      </c>
    </row>
    <row r="139" spans="4:5">
      <c r="D139" s="137">
        <v>1.2562749953704042</v>
      </c>
      <c r="E139">
        <f t="shared" si="4"/>
        <v>0.83162555960382112</v>
      </c>
    </row>
    <row r="140" spans="4:5">
      <c r="D140" s="137">
        <v>1.2564638091489542</v>
      </c>
      <c r="E140">
        <f t="shared" si="4"/>
        <v>0.83302758003123911</v>
      </c>
    </row>
    <row r="141" spans="4:5">
      <c r="D141" s="137">
        <v>1.2572914553165901</v>
      </c>
      <c r="E141">
        <f t="shared" si="4"/>
        <v>0.8391880300772373</v>
      </c>
    </row>
    <row r="142" spans="4:5">
      <c r="D142" s="137">
        <v>1.2590392887923372</v>
      </c>
      <c r="E142">
        <f t="shared" si="4"/>
        <v>0.85227662312560937</v>
      </c>
    </row>
    <row r="143" spans="4:5">
      <c r="D143" s="137">
        <v>1.2607595091858457</v>
      </c>
      <c r="E143">
        <f t="shared" si="4"/>
        <v>0.86526191214088444</v>
      </c>
    </row>
    <row r="144" spans="4:5">
      <c r="D144" s="137">
        <v>1.2611946018059825</v>
      </c>
      <c r="E144">
        <f t="shared" si="4"/>
        <v>0.86856237005917014</v>
      </c>
    </row>
    <row r="145" spans="4:5">
      <c r="D145" s="137">
        <v>1.2614475973432491</v>
      </c>
      <c r="E145">
        <f t="shared" si="4"/>
        <v>0.87048447644181781</v>
      </c>
    </row>
    <row r="146" spans="4:5">
      <c r="D146" s="137">
        <v>1.261844628687868</v>
      </c>
      <c r="E146">
        <f t="shared" si="4"/>
        <v>0.87350527327131289</v>
      </c>
    </row>
    <row r="147" spans="4:5">
      <c r="D147" s="137">
        <v>1.2625618225265498</v>
      </c>
      <c r="E147">
        <f t="shared" si="4"/>
        <v>0.87897556956955436</v>
      </c>
    </row>
    <row r="148" spans="4:5">
      <c r="D148" s="137">
        <v>1.2628476552426946</v>
      </c>
      <c r="E148">
        <f t="shared" si="4"/>
        <v>0.8811605642421988</v>
      </c>
    </row>
    <row r="149" spans="4:5">
      <c r="D149" s="137">
        <v>1.26331036094507</v>
      </c>
      <c r="E149">
        <f t="shared" si="4"/>
        <v>0.8847034617006525</v>
      </c>
    </row>
    <row r="150" spans="4:5">
      <c r="D150" s="137">
        <v>1.2635939547626549</v>
      </c>
      <c r="E150">
        <f t="shared" si="4"/>
        <v>0.88687846765642664</v>
      </c>
    </row>
    <row r="151" spans="4:5">
      <c r="D151" s="137">
        <v>1.2640185991895123</v>
      </c>
      <c r="E151">
        <f t="shared" si="4"/>
        <v>0.89014028485911401</v>
      </c>
    </row>
    <row r="152" spans="4:5">
      <c r="D152" s="137">
        <v>1.2644410047178098</v>
      </c>
      <c r="E152">
        <f t="shared" si="4"/>
        <v>0.89339087191997812</v>
      </c>
    </row>
    <row r="153" spans="4:5">
      <c r="D153" s="137">
        <v>1.264757435714273</v>
      </c>
      <c r="E153">
        <f t="shared" si="4"/>
        <v>0.89582982704278202</v>
      </c>
    </row>
    <row r="154" spans="4:5">
      <c r="D154" s="137">
        <v>1.2656306061526266</v>
      </c>
      <c r="E154">
        <f t="shared" si="4"/>
        <v>0.90257714954055634</v>
      </c>
    </row>
    <row r="155" spans="4:5">
      <c r="D155" s="137">
        <v>1.2657697910130992</v>
      </c>
      <c r="E155">
        <f t="shared" si="4"/>
        <v>0.90365500666558551</v>
      </c>
    </row>
    <row r="156" spans="4:5">
      <c r="D156" s="137">
        <v>1.2660127115068462</v>
      </c>
      <c r="E156">
        <f t="shared" si="4"/>
        <v>0.90553772386645304</v>
      </c>
    </row>
    <row r="157" spans="4:5">
      <c r="D157" s="137">
        <v>1.2660477875842844</v>
      </c>
      <c r="E157">
        <f t="shared" si="4"/>
        <v>0.90580973542591803</v>
      </c>
    </row>
    <row r="158" spans="4:5">
      <c r="D158" s="137">
        <v>1.2666702013839313</v>
      </c>
      <c r="E158">
        <f t="shared" si="4"/>
        <v>0.9106431871120092</v>
      </c>
    </row>
    <row r="159" spans="4:5">
      <c r="D159" s="137">
        <v>1.2667388609397676</v>
      </c>
      <c r="E159">
        <f t="shared" si="4"/>
        <v>0.91117714799371785</v>
      </c>
    </row>
    <row r="160" spans="4:5">
      <c r="D160" s="137">
        <v>1.2669455859067966</v>
      </c>
      <c r="E160">
        <f t="shared" si="4"/>
        <v>0.91278576109616438</v>
      </c>
    </row>
    <row r="161" spans="4:5">
      <c r="D161" s="137">
        <v>1.2690598524468442</v>
      </c>
      <c r="E161">
        <f t="shared" si="4"/>
        <v>0.9293170230943395</v>
      </c>
    </row>
    <row r="162" spans="4:5">
      <c r="D162" s="137">
        <v>1.2693300128730698</v>
      </c>
      <c r="E162">
        <f t="shared" si="4"/>
        <v>0.93143970423221711</v>
      </c>
    </row>
    <row r="163" spans="4:5">
      <c r="D163" s="137">
        <v>1.2694983034148208</v>
      </c>
      <c r="E163">
        <f t="shared" si="4"/>
        <v>0.93276315452764125</v>
      </c>
    </row>
    <row r="164" spans="4:5">
      <c r="D164" s="137">
        <v>1.2701024328762287</v>
      </c>
      <c r="E164">
        <f t="shared" si="4"/>
        <v>0.93752146577698869</v>
      </c>
    </row>
    <row r="165" spans="4:5">
      <c r="D165" s="137">
        <v>1.2702703502682198</v>
      </c>
      <c r="E165">
        <f t="shared" si="4"/>
        <v>0.93884608154792948</v>
      </c>
    </row>
    <row r="166" spans="4:5">
      <c r="D166" s="137">
        <v>1.2712360618470484</v>
      </c>
      <c r="E166">
        <f t="shared" si="4"/>
        <v>0.94648127179858133</v>
      </c>
    </row>
    <row r="167" spans="4:5">
      <c r="D167" s="137">
        <v>1.2713353196832031</v>
      </c>
      <c r="E167">
        <f t="shared" si="4"/>
        <v>0.94726768405339346</v>
      </c>
    </row>
    <row r="168" spans="4:5">
      <c r="D168" s="137">
        <v>1.2714017403404796</v>
      </c>
      <c r="E168">
        <f t="shared" si="4"/>
        <v>0.94779410110753071</v>
      </c>
    </row>
    <row r="169" spans="4:5">
      <c r="D169" s="137">
        <v>1.2714681609977561</v>
      </c>
      <c r="E169">
        <f t="shared" si="4"/>
        <v>0.94832065536585408</v>
      </c>
    </row>
    <row r="170" spans="4:5">
      <c r="D170" s="137">
        <v>1.2718972832217332</v>
      </c>
      <c r="E170">
        <f t="shared" si="4"/>
        <v>0.95172585098518225</v>
      </c>
    </row>
    <row r="171" spans="4:5">
      <c r="D171" s="137">
        <v>1.2734701094600496</v>
      </c>
      <c r="E171">
        <f t="shared" si="4"/>
        <v>0.96425513768081139</v>
      </c>
    </row>
    <row r="172" spans="4:5">
      <c r="D172" s="137">
        <v>1.2744750017636761</v>
      </c>
      <c r="E172">
        <f t="shared" si="4"/>
        <v>0.97229967229195213</v>
      </c>
    </row>
    <row r="173" spans="4:5">
      <c r="D173" s="137">
        <v>1.2751507759790002</v>
      </c>
      <c r="E173">
        <f t="shared" si="4"/>
        <v>0.97772658724445172</v>
      </c>
    </row>
    <row r="174" spans="4:5">
      <c r="D174" s="137">
        <v>1.2759825267939959</v>
      </c>
      <c r="E174">
        <f t="shared" si="4"/>
        <v>0.98442478445201054</v>
      </c>
    </row>
    <row r="175" spans="4:5">
      <c r="D175" s="137">
        <v>1.2766497185648404</v>
      </c>
      <c r="E175">
        <f t="shared" si="4"/>
        <v>0.98981254217952264</v>
      </c>
    </row>
    <row r="176" spans="4:5">
      <c r="D176" s="137">
        <v>1.2766497185648404</v>
      </c>
      <c r="E176">
        <f t="shared" si="4"/>
        <v>0.98981254217952264</v>
      </c>
    </row>
    <row r="177" spans="4:5">
      <c r="D177" s="137">
        <v>1.2766497185648404</v>
      </c>
      <c r="E177">
        <f t="shared" si="4"/>
        <v>0.98981254217952264</v>
      </c>
    </row>
    <row r="178" spans="4:5">
      <c r="D178" s="137">
        <v>1.2770609296003386</v>
      </c>
      <c r="E178">
        <f t="shared" si="4"/>
        <v>0.99313968603632474</v>
      </c>
    </row>
    <row r="179" spans="4:5">
      <c r="D179" s="137">
        <v>1.2774393034569584</v>
      </c>
      <c r="E179">
        <f t="shared" si="4"/>
        <v>0.99620549515502121</v>
      </c>
    </row>
    <row r="180" spans="4:5">
      <c r="D180" s="137">
        <v>1.2778169310140584</v>
      </c>
      <c r="E180">
        <f t="shared" si="4"/>
        <v>0.99926939735486986</v>
      </c>
    </row>
    <row r="181" spans="4:5">
      <c r="D181" s="137">
        <v>1.2781303768124417</v>
      </c>
      <c r="E181">
        <f t="shared" si="4"/>
        <v>1.0018156843783101</v>
      </c>
    </row>
    <row r="182" spans="4:5">
      <c r="D182" s="137">
        <v>1.2781930659721183</v>
      </c>
      <c r="E182">
        <f t="shared" si="4"/>
        <v>1.0023252810911483</v>
      </c>
    </row>
    <row r="183" spans="4:5">
      <c r="D183" s="137">
        <v>1.2783803871516284</v>
      </c>
      <c r="E183">
        <f t="shared" si="4"/>
        <v>1.0038486768851573</v>
      </c>
    </row>
    <row r="184" spans="4:5">
      <c r="D184" s="137">
        <v>1.2792214667106236</v>
      </c>
      <c r="E184">
        <f t="shared" si="4"/>
        <v>1.0107011428176207</v>
      </c>
    </row>
    <row r="185" spans="4:5">
      <c r="D185" s="137">
        <v>1.2793763238610154</v>
      </c>
      <c r="E185">
        <f t="shared" si="4"/>
        <v>1.0119649912719955</v>
      </c>
    </row>
    <row r="186" spans="4:5">
      <c r="D186" s="137">
        <v>1.2799946330133025</v>
      </c>
      <c r="E186">
        <f t="shared" si="4"/>
        <v>1.0170179951900902</v>
      </c>
    </row>
    <row r="187" spans="4:5">
      <c r="D187" s="137">
        <v>1.2810693043220454</v>
      </c>
      <c r="E187">
        <f t="shared" si="4"/>
        <v>1.0258259863823245</v>
      </c>
    </row>
    <row r="188" spans="4:5">
      <c r="D188" s="137">
        <v>1.2813133442650724</v>
      </c>
      <c r="E188">
        <f t="shared" si="4"/>
        <v>1.0278305981398461</v>
      </c>
    </row>
    <row r="189" spans="4:5">
      <c r="D189" s="137">
        <v>1.2817394812909697</v>
      </c>
      <c r="E189">
        <f t="shared" si="4"/>
        <v>1.0313349347965286</v>
      </c>
    </row>
    <row r="190" spans="4:5">
      <c r="D190" s="137">
        <v>1.2819521766541584</v>
      </c>
      <c r="E190">
        <f t="shared" si="4"/>
        <v>1.0330858960302931</v>
      </c>
    </row>
    <row r="191" spans="4:5">
      <c r="D191" s="137">
        <v>1.2821644988675871</v>
      </c>
      <c r="E191">
        <f t="shared" si="4"/>
        <v>1.0348350166622413</v>
      </c>
    </row>
    <row r="192" spans="4:5">
      <c r="D192" s="137">
        <v>1.2825574255648462</v>
      </c>
      <c r="E192">
        <f t="shared" si="4"/>
        <v>1.0380751977742804</v>
      </c>
    </row>
    <row r="193" spans="4:5">
      <c r="D193" s="137">
        <v>1.2830399082045005</v>
      </c>
      <c r="E193">
        <f t="shared" si="4"/>
        <v>1.0420595914594166</v>
      </c>
    </row>
    <row r="194" spans="4:5">
      <c r="D194" s="137">
        <v>1.2834902999647966</v>
      </c>
      <c r="E194">
        <f t="shared" si="4"/>
        <v>1.0457846179962742</v>
      </c>
    </row>
    <row r="195" spans="4:5">
      <c r="D195" s="137">
        <v>1.2836403061683086</v>
      </c>
      <c r="E195">
        <f t="shared" ref="E195:E258" si="5">_xlfn.NORM.DIST(D195,$B$2,$B$4,FALSE)</f>
        <v>1.0470264678168357</v>
      </c>
    </row>
    <row r="196" spans="4:5">
      <c r="D196" s="137">
        <v>1.2837000101299054</v>
      </c>
      <c r="E196">
        <f t="shared" si="5"/>
        <v>1.0475209030915342</v>
      </c>
    </row>
    <row r="197" spans="4:5">
      <c r="D197" s="137">
        <v>1.28417764182268</v>
      </c>
      <c r="E197">
        <f t="shared" si="5"/>
        <v>1.0514797902147131</v>
      </c>
    </row>
    <row r="198" spans="4:5">
      <c r="D198" s="137">
        <v>1.2844160845193073</v>
      </c>
      <c r="E198">
        <f t="shared" si="5"/>
        <v>1.0534583971441143</v>
      </c>
    </row>
    <row r="199" spans="4:5">
      <c r="D199" s="137">
        <v>1.2846836328972131</v>
      </c>
      <c r="E199">
        <f t="shared" si="5"/>
        <v>1.0556803040260909</v>
      </c>
    </row>
    <row r="200" spans="4:5">
      <c r="D200" s="137">
        <v>1.2853646312091769</v>
      </c>
      <c r="E200">
        <f t="shared" si="5"/>
        <v>1.0613442254797631</v>
      </c>
    </row>
    <row r="201" spans="4:5">
      <c r="D201" s="137">
        <v>1.2854235888712537</v>
      </c>
      <c r="E201">
        <f t="shared" si="5"/>
        <v>1.0618351484218904</v>
      </c>
    </row>
    <row r="202" spans="4:5">
      <c r="D202" s="137">
        <v>1.2854825465333306</v>
      </c>
      <c r="E202">
        <f t="shared" si="5"/>
        <v>1.0623261613349724</v>
      </c>
    </row>
    <row r="203" spans="4:5">
      <c r="D203" s="137">
        <v>1.2855709830264459</v>
      </c>
      <c r="E203">
        <f t="shared" si="5"/>
        <v>1.0630628492138143</v>
      </c>
    </row>
    <row r="204" spans="4:5">
      <c r="D204" s="137">
        <v>1.2876759208224939</v>
      </c>
      <c r="E204">
        <f t="shared" si="5"/>
        <v>1.0806562224442682</v>
      </c>
    </row>
    <row r="205" spans="4:5">
      <c r="D205" s="137">
        <v>1.2876759208224939</v>
      </c>
      <c r="E205">
        <f t="shared" si="5"/>
        <v>1.0806562224442682</v>
      </c>
    </row>
    <row r="206" spans="4:5">
      <c r="D206" s="137">
        <v>1.2883121411632601</v>
      </c>
      <c r="E206">
        <f t="shared" si="5"/>
        <v>1.0859957660519597</v>
      </c>
    </row>
    <row r="207" spans="4:5">
      <c r="D207" s="137">
        <v>1.2896890637775869</v>
      </c>
      <c r="E207">
        <f t="shared" si="5"/>
        <v>1.0975857545336667</v>
      </c>
    </row>
    <row r="208" spans="4:5">
      <c r="D208" s="137">
        <v>1.2897177963091053</v>
      </c>
      <c r="E208">
        <f t="shared" si="5"/>
        <v>1.0978280950146899</v>
      </c>
    </row>
    <row r="209" spans="4:5">
      <c r="D209" s="137">
        <v>1.2908823967100034</v>
      </c>
      <c r="E209">
        <f t="shared" si="5"/>
        <v>1.1076673431572919</v>
      </c>
    </row>
    <row r="210" spans="4:5">
      <c r="D210" s="137">
        <v>1.2922324525416116</v>
      </c>
      <c r="E210">
        <f t="shared" si="5"/>
        <v>1.1191133149324641</v>
      </c>
    </row>
    <row r="211" spans="4:5">
      <c r="D211" s="137">
        <v>1.2924555960980797</v>
      </c>
      <c r="E211">
        <f t="shared" si="5"/>
        <v>1.1210092106813263</v>
      </c>
    </row>
    <row r="212" spans="4:5">
      <c r="D212" s="137">
        <v>1.2925395547940752</v>
      </c>
      <c r="E212">
        <f t="shared" si="5"/>
        <v>1.1217228437412416</v>
      </c>
    </row>
    <row r="213" spans="4:5">
      <c r="D213" s="137">
        <v>1.2926511265723093</v>
      </c>
      <c r="E213">
        <f t="shared" si="5"/>
        <v>1.1226714311434813</v>
      </c>
    </row>
    <row r="214" spans="4:5">
      <c r="D214" s="137">
        <v>1.2928462838967789</v>
      </c>
      <c r="E214">
        <f t="shared" si="5"/>
        <v>1.1243313456486785</v>
      </c>
    </row>
    <row r="215" spans="4:5">
      <c r="D215" s="137">
        <v>1.2936235548468176</v>
      </c>
      <c r="E215">
        <f t="shared" si="5"/>
        <v>1.1309509584125055</v>
      </c>
    </row>
    <row r="216" spans="4:5">
      <c r="D216" s="137">
        <v>1.2937896064900087</v>
      </c>
      <c r="E216">
        <f t="shared" si="5"/>
        <v>1.1323668857376048</v>
      </c>
    </row>
    <row r="217" spans="4:5">
      <c r="D217" s="137">
        <v>1.2939280450509614</v>
      </c>
      <c r="E217">
        <f t="shared" si="5"/>
        <v>1.1335478233691545</v>
      </c>
    </row>
    <row r="218" spans="4:5">
      <c r="D218" s="137">
        <v>1.2940933503946326</v>
      </c>
      <c r="E218">
        <f t="shared" si="5"/>
        <v>1.1349585011451022</v>
      </c>
    </row>
    <row r="219" spans="4:5">
      <c r="D219" s="137">
        <v>1.2943138819027808</v>
      </c>
      <c r="E219">
        <f t="shared" si="5"/>
        <v>1.1368414041762898</v>
      </c>
    </row>
    <row r="220" spans="4:5">
      <c r="D220" s="137">
        <v>1.29508257040834</v>
      </c>
      <c r="E220">
        <f t="shared" si="5"/>
        <v>1.1434127967337293</v>
      </c>
    </row>
    <row r="221" spans="4:5">
      <c r="D221" s="137">
        <v>1.2958467811167793</v>
      </c>
      <c r="E221">
        <f t="shared" si="5"/>
        <v>1.1499585538386237</v>
      </c>
    </row>
    <row r="222" spans="4:5">
      <c r="D222" s="137">
        <v>1.2961460472242834</v>
      </c>
      <c r="E222">
        <f t="shared" si="5"/>
        <v>1.1525252716095846</v>
      </c>
    </row>
    <row r="223" spans="4:5">
      <c r="D223" s="137">
        <v>1.2962818737369162</v>
      </c>
      <c r="E223">
        <f t="shared" si="5"/>
        <v>1.1536908394873413</v>
      </c>
    </row>
    <row r="224" spans="4:5">
      <c r="D224" s="137">
        <v>1.2965796472453803</v>
      </c>
      <c r="E224">
        <f t="shared" si="5"/>
        <v>1.1562474778802336</v>
      </c>
    </row>
    <row r="225" spans="4:5">
      <c r="D225" s="137">
        <v>1.2973625154418187</v>
      </c>
      <c r="E225">
        <f t="shared" si="5"/>
        <v>1.1629778614047592</v>
      </c>
    </row>
    <row r="226" spans="4:5">
      <c r="D226" s="137">
        <v>1.2977386503998787</v>
      </c>
      <c r="E226">
        <f t="shared" si="5"/>
        <v>1.1662160060521058</v>
      </c>
    </row>
    <row r="227" spans="4:5">
      <c r="D227" s="137">
        <v>1.2985677891665546</v>
      </c>
      <c r="E227">
        <f t="shared" si="5"/>
        <v>1.1733641690778505</v>
      </c>
    </row>
    <row r="228" spans="4:5">
      <c r="D228" s="137">
        <v>1.2986476432151903</v>
      </c>
      <c r="E228">
        <f t="shared" si="5"/>
        <v>1.1740533327185403</v>
      </c>
    </row>
    <row r="229" spans="4:5">
      <c r="D229" s="137">
        <v>1.2986476432151903</v>
      </c>
      <c r="E229">
        <f t="shared" si="5"/>
        <v>1.1740533327185403</v>
      </c>
    </row>
    <row r="230" spans="4:5">
      <c r="D230" s="137">
        <v>1.2988073513124618</v>
      </c>
      <c r="E230">
        <f t="shared" si="5"/>
        <v>1.1754320396730618</v>
      </c>
    </row>
    <row r="231" spans="4:5">
      <c r="D231" s="137">
        <v>1.2988872053610976</v>
      </c>
      <c r="E231">
        <f t="shared" si="5"/>
        <v>1.176121582482383</v>
      </c>
    </row>
    <row r="232" spans="4:5">
      <c r="D232" s="137">
        <v>1.2993652102036322</v>
      </c>
      <c r="E232">
        <f t="shared" si="5"/>
        <v>1.180251796174407</v>
      </c>
    </row>
    <row r="233" spans="4:5">
      <c r="D233" s="137">
        <v>1.2997092542823339</v>
      </c>
      <c r="E233">
        <f t="shared" si="5"/>
        <v>1.1832272794291379</v>
      </c>
    </row>
    <row r="234" spans="4:5">
      <c r="D234" s="137">
        <v>1.2999208301962426</v>
      </c>
      <c r="E234">
        <f t="shared" si="5"/>
        <v>1.1850582423758822</v>
      </c>
    </row>
    <row r="235" spans="4:5">
      <c r="D235" s="137">
        <v>1.2999734443123998</v>
      </c>
      <c r="E235">
        <f t="shared" si="5"/>
        <v>1.1855136950059169</v>
      </c>
    </row>
    <row r="236" spans="4:5">
      <c r="D236" s="137">
        <v>1.3003159957920616</v>
      </c>
      <c r="E236">
        <f t="shared" si="5"/>
        <v>1.1884802784742274</v>
      </c>
    </row>
    <row r="237" spans="4:5">
      <c r="D237" s="137">
        <v>1.3007365355715592</v>
      </c>
      <c r="E237">
        <f t="shared" si="5"/>
        <v>1.1921253113338248</v>
      </c>
    </row>
    <row r="238" spans="4:5">
      <c r="D238" s="137">
        <v>1.3015473899999961</v>
      </c>
      <c r="E238">
        <f t="shared" si="5"/>
        <v>1.1991627598910428</v>
      </c>
    </row>
    <row r="239" spans="4:5">
      <c r="D239" s="137">
        <v>1.3027418423816925</v>
      </c>
      <c r="E239">
        <f t="shared" si="5"/>
        <v>1.2095514333051707</v>
      </c>
    </row>
    <row r="240" spans="4:5">
      <c r="D240" s="137">
        <v>1.3046926693268688</v>
      </c>
      <c r="E240">
        <f t="shared" si="5"/>
        <v>1.2265727848870078</v>
      </c>
    </row>
    <row r="241" spans="4:5">
      <c r="D241" s="137">
        <v>1.3046926693268688</v>
      </c>
      <c r="E241">
        <f t="shared" si="5"/>
        <v>1.2265727848870078</v>
      </c>
    </row>
    <row r="242" spans="4:5">
      <c r="D242" s="137">
        <v>1.3048710349121393</v>
      </c>
      <c r="E242">
        <f t="shared" si="5"/>
        <v>1.2281323020811641</v>
      </c>
    </row>
    <row r="243" spans="4:5">
      <c r="D243" s="137">
        <v>1.3049217832794966</v>
      </c>
      <c r="E243">
        <f t="shared" si="5"/>
        <v>1.2285761111185394</v>
      </c>
    </row>
    <row r="244" spans="4:5">
      <c r="D244" s="137">
        <v>1.3051508972321244</v>
      </c>
      <c r="E244">
        <f t="shared" si="5"/>
        <v>1.2305803108952251</v>
      </c>
    </row>
    <row r="245" spans="4:5">
      <c r="D245" s="137">
        <v>1.3052016455994817</v>
      </c>
      <c r="E245">
        <f t="shared" si="5"/>
        <v>1.2310243554145428</v>
      </c>
    </row>
    <row r="246" spans="4:5">
      <c r="D246" s="137">
        <v>1.3057083829735348</v>
      </c>
      <c r="E246">
        <f t="shared" si="5"/>
        <v>1.2354605886220316</v>
      </c>
    </row>
    <row r="247" spans="4:5">
      <c r="D247" s="137">
        <v>1.3060875031296746</v>
      </c>
      <c r="E247">
        <f t="shared" si="5"/>
        <v>1.2387823244900062</v>
      </c>
    </row>
    <row r="248" spans="4:5">
      <c r="D248" s="137">
        <v>1.3062390019322265</v>
      </c>
      <c r="E248">
        <f t="shared" si="5"/>
        <v>1.2401103565468397</v>
      </c>
    </row>
    <row r="249" spans="4:5">
      <c r="D249" s="137">
        <v>1.3065408800880505</v>
      </c>
      <c r="E249">
        <f t="shared" si="5"/>
        <v>1.2427576963619755</v>
      </c>
    </row>
    <row r="250" spans="4:5">
      <c r="D250" s="137">
        <v>1.3075435334931171</v>
      </c>
      <c r="E250">
        <f t="shared" si="5"/>
        <v>1.2515607630381202</v>
      </c>
    </row>
    <row r="251" spans="4:5">
      <c r="D251" s="137">
        <v>1.3079920595046133</v>
      </c>
      <c r="E251">
        <f t="shared" si="5"/>
        <v>1.2555037075924234</v>
      </c>
    </row>
    <row r="252" spans="4:5">
      <c r="D252" s="137">
        <v>1.3080666894566093</v>
      </c>
      <c r="E252">
        <f t="shared" si="5"/>
        <v>1.2561600654312779</v>
      </c>
    </row>
    <row r="253" spans="4:5">
      <c r="D253" s="137">
        <v>1.3081166915244467</v>
      </c>
      <c r="E253">
        <f t="shared" si="5"/>
        <v>1.2565998717605529</v>
      </c>
    </row>
    <row r="254" spans="4:5">
      <c r="D254" s="137">
        <v>1.3097484754248399</v>
      </c>
      <c r="E254">
        <f t="shared" si="5"/>
        <v>1.2709727245852751</v>
      </c>
    </row>
    <row r="255" spans="4:5">
      <c r="D255" s="137">
        <v>1.3113130923684366</v>
      </c>
      <c r="E255">
        <f t="shared" si="5"/>
        <v>1.2847890365669314</v>
      </c>
    </row>
    <row r="256" spans="4:5">
      <c r="D256" s="137">
        <v>1.3117500507373734</v>
      </c>
      <c r="E256">
        <f t="shared" si="5"/>
        <v>1.288653423146541</v>
      </c>
    </row>
    <row r="257" spans="4:5">
      <c r="D257" s="137">
        <v>1.3118228149405695</v>
      </c>
      <c r="E257">
        <f t="shared" si="5"/>
        <v>1.2892971778165236</v>
      </c>
    </row>
    <row r="258" spans="4:5">
      <c r="D258" s="137">
        <v>1.3118713244093669</v>
      </c>
      <c r="E258">
        <f t="shared" si="5"/>
        <v>1.2897263853929228</v>
      </c>
    </row>
    <row r="259" spans="4:5">
      <c r="D259" s="137">
        <v>1.3119922249316005</v>
      </c>
      <c r="E259">
        <f t="shared" ref="E259:E322" si="6">_xlfn.NORM.DIST(D259,$B$2,$B$4,FALSE)</f>
        <v>1.2907962338572991</v>
      </c>
    </row>
    <row r="260" spans="4:5">
      <c r="D260" s="137">
        <v>1.3123064170295038</v>
      </c>
      <c r="E260">
        <f t="shared" si="6"/>
        <v>1.293577387929141</v>
      </c>
    </row>
    <row r="261" spans="4:5">
      <c r="D261" s="137">
        <v>1.3125235901898122</v>
      </c>
      <c r="E261">
        <f t="shared" si="6"/>
        <v>1.2955004796299177</v>
      </c>
    </row>
    <row r="262" spans="4:5">
      <c r="D262" s="137">
        <v>1.3127403902003607</v>
      </c>
      <c r="E262">
        <f t="shared" si="6"/>
        <v>1.2974208524976876</v>
      </c>
    </row>
    <row r="263" spans="4:5">
      <c r="D263" s="137">
        <v>1.3128605444230743</v>
      </c>
      <c r="E263">
        <f t="shared" si="6"/>
        <v>1.2984854053181276</v>
      </c>
    </row>
    <row r="264" spans="4:5">
      <c r="D264" s="137">
        <v>1.3131251076029002</v>
      </c>
      <c r="E264">
        <f t="shared" si="6"/>
        <v>1.3008300272581035</v>
      </c>
    </row>
    <row r="265" spans="4:5">
      <c r="D265" s="137">
        <v>1.3135087055561598</v>
      </c>
      <c r="E265">
        <f t="shared" si="6"/>
        <v>1.3042310650608862</v>
      </c>
    </row>
    <row r="266" spans="4:5">
      <c r="D266" s="137">
        <v>1.313580350310076</v>
      </c>
      <c r="E266">
        <f t="shared" si="6"/>
        <v>1.3048664730367807</v>
      </c>
    </row>
    <row r="267" spans="4:5">
      <c r="D267" s="137">
        <v>1.3141773899260443</v>
      </c>
      <c r="E267">
        <f t="shared" si="6"/>
        <v>1.3101638821029071</v>
      </c>
    </row>
    <row r="268" spans="4:5">
      <c r="D268" s="137">
        <v>1.3154352777669374</v>
      </c>
      <c r="E268">
        <f t="shared" si="6"/>
        <v>1.3213381165740636</v>
      </c>
    </row>
    <row r="269" spans="4:5">
      <c r="D269" s="137">
        <v>1.3160718712574635</v>
      </c>
      <c r="E269">
        <f t="shared" si="6"/>
        <v>1.326999746239385</v>
      </c>
    </row>
    <row r="270" spans="4:5">
      <c r="D270" s="137">
        <v>1.3161894134318572</v>
      </c>
      <c r="E270">
        <f t="shared" si="6"/>
        <v>1.3280455879415942</v>
      </c>
    </row>
    <row r="271" spans="4:5">
      <c r="D271" s="137">
        <v>1.3166588358299123</v>
      </c>
      <c r="E271">
        <f t="shared" si="6"/>
        <v>1.3322237254020315</v>
      </c>
    </row>
    <row r="272" spans="4:5">
      <c r="D272" s="137">
        <v>1.3167058526996698</v>
      </c>
      <c r="E272">
        <f t="shared" si="6"/>
        <v>1.332642326214452</v>
      </c>
    </row>
    <row r="273" spans="4:5">
      <c r="D273" s="137">
        <v>1.3177558961242539</v>
      </c>
      <c r="E273">
        <f t="shared" si="6"/>
        <v>1.3419967254058947</v>
      </c>
    </row>
    <row r="274" spans="4:5">
      <c r="D274" s="137">
        <v>1.3189372882643511</v>
      </c>
      <c r="E274">
        <f t="shared" si="6"/>
        <v>1.3525335809992725</v>
      </c>
    </row>
    <row r="275" spans="4:5">
      <c r="D275" s="137">
        <v>1.3189835588345886</v>
      </c>
      <c r="E275">
        <f t="shared" si="6"/>
        <v>1.3529465215839886</v>
      </c>
    </row>
    <row r="276" spans="4:5">
      <c r="D276" s="137">
        <v>1.3190529646899449</v>
      </c>
      <c r="E276">
        <f t="shared" si="6"/>
        <v>1.3535659671170863</v>
      </c>
    </row>
    <row r="277" spans="4:5">
      <c r="D277" s="137">
        <v>1.3193753660825678</v>
      </c>
      <c r="E277">
        <f t="shared" si="6"/>
        <v>1.3564439312017322</v>
      </c>
    </row>
    <row r="278" spans="4:5">
      <c r="D278" s="137">
        <v>1.3194902962086417</v>
      </c>
      <c r="E278">
        <f t="shared" si="6"/>
        <v>1.3574700842622804</v>
      </c>
    </row>
    <row r="279" spans="4:5">
      <c r="D279" s="137">
        <v>1.3201324869455675</v>
      </c>
      <c r="E279">
        <f t="shared" si="6"/>
        <v>1.3632058801857916</v>
      </c>
    </row>
    <row r="280" spans="4:5">
      <c r="D280" s="137">
        <v>1.3201783843660451</v>
      </c>
      <c r="E280">
        <f t="shared" si="6"/>
        <v>1.3636159452260981</v>
      </c>
    </row>
    <row r="281" spans="4:5">
      <c r="D281" s="137">
        <v>1.3202698060572402</v>
      </c>
      <c r="E281">
        <f t="shared" si="6"/>
        <v>1.3644327910403364</v>
      </c>
    </row>
    <row r="282" spans="4:5">
      <c r="D282" s="137">
        <v>1.3204981737103481</v>
      </c>
      <c r="E282">
        <f t="shared" si="6"/>
        <v>1.3664735243305399</v>
      </c>
    </row>
    <row r="283" spans="4:5">
      <c r="D283" s="137">
        <v>1.3208858763109674</v>
      </c>
      <c r="E283">
        <f t="shared" si="6"/>
        <v>1.3699390200160164</v>
      </c>
    </row>
    <row r="284" spans="4:5">
      <c r="D284" s="137">
        <v>1.3209769248524026</v>
      </c>
      <c r="E284">
        <f t="shared" si="6"/>
        <v>1.3707530254332907</v>
      </c>
    </row>
    <row r="285" spans="4:5">
      <c r="D285" s="137">
        <v>1.3214997076661348</v>
      </c>
      <c r="E285">
        <f t="shared" si="6"/>
        <v>1.3754280608061535</v>
      </c>
    </row>
    <row r="286" spans="4:5">
      <c r="D286" s="137">
        <v>1.3217489717058015</v>
      </c>
      <c r="E286">
        <f t="shared" si="6"/>
        <v>1.3776578167552702</v>
      </c>
    </row>
    <row r="287" spans="4:5">
      <c r="D287" s="137">
        <v>1.3218847982184343</v>
      </c>
      <c r="E287">
        <f t="shared" si="6"/>
        <v>1.3788730156837752</v>
      </c>
    </row>
    <row r="288" spans="4:5">
      <c r="D288" s="137">
        <v>1.3219523383249907</v>
      </c>
      <c r="E288">
        <f t="shared" si="6"/>
        <v>1.3794773238969236</v>
      </c>
    </row>
    <row r="289" spans="4:5">
      <c r="D289" s="137">
        <v>1.3222463803358551</v>
      </c>
      <c r="E289">
        <f t="shared" si="6"/>
        <v>1.3821085947394318</v>
      </c>
    </row>
    <row r="290" spans="4:5">
      <c r="D290" s="137">
        <v>1.3223590715633691</v>
      </c>
      <c r="E290">
        <f t="shared" si="6"/>
        <v>1.3831171788762258</v>
      </c>
    </row>
    <row r="291" spans="4:5">
      <c r="D291" s="137">
        <v>1.3227195342315099</v>
      </c>
      <c r="E291">
        <f t="shared" si="6"/>
        <v>1.3863438677174982</v>
      </c>
    </row>
    <row r="292" spans="4:5">
      <c r="D292" s="137">
        <v>1.3232135845137236</v>
      </c>
      <c r="E292">
        <f t="shared" si="6"/>
        <v>1.3907677013190092</v>
      </c>
    </row>
    <row r="293" spans="4:5">
      <c r="D293" s="137">
        <v>1.3233035136058788</v>
      </c>
      <c r="E293">
        <f t="shared" si="6"/>
        <v>1.3915731065539343</v>
      </c>
    </row>
    <row r="294" spans="4:5">
      <c r="D294" s="137">
        <v>1.323639348389861</v>
      </c>
      <c r="E294">
        <f t="shared" si="6"/>
        <v>1.3945812674788256</v>
      </c>
    </row>
    <row r="295" spans="4:5">
      <c r="D295" s="137">
        <v>1.3246199859590888</v>
      </c>
      <c r="E295">
        <f t="shared" si="6"/>
        <v>1.403368731165733</v>
      </c>
    </row>
    <row r="296" spans="4:5">
      <c r="D296" s="137">
        <v>1.3248864148877146</v>
      </c>
      <c r="E296">
        <f t="shared" si="6"/>
        <v>1.4057570727163458</v>
      </c>
    </row>
    <row r="297" spans="4:5">
      <c r="D297" s="137">
        <v>1.325218891323857</v>
      </c>
      <c r="E297">
        <f t="shared" si="6"/>
        <v>1.4087379763304928</v>
      </c>
    </row>
    <row r="298" spans="4:5">
      <c r="D298" s="137">
        <v>1.3264316280437924</v>
      </c>
      <c r="E298">
        <f t="shared" si="6"/>
        <v>1.4196153727065612</v>
      </c>
    </row>
    <row r="299" spans="4:5">
      <c r="D299" s="137">
        <v>1.3264316280437924</v>
      </c>
      <c r="E299">
        <f t="shared" si="6"/>
        <v>1.4196153727065612</v>
      </c>
    </row>
    <row r="300" spans="4:5">
      <c r="D300" s="137">
        <v>1.3266510401026608</v>
      </c>
      <c r="E300">
        <f t="shared" si="6"/>
        <v>1.4215840053166493</v>
      </c>
    </row>
    <row r="301" spans="4:5">
      <c r="D301" s="137">
        <v>1.3277872811218003</v>
      </c>
      <c r="E301">
        <f t="shared" si="6"/>
        <v>1.4317815251686397</v>
      </c>
    </row>
    <row r="302" spans="4:5">
      <c r="D302" s="137">
        <v>1.3288291152516649</v>
      </c>
      <c r="E302">
        <f t="shared" si="6"/>
        <v>1.4411353255371464</v>
      </c>
    </row>
    <row r="303" spans="4:5">
      <c r="D303" s="137">
        <v>1.3295627276797859</v>
      </c>
      <c r="E303">
        <f t="shared" si="6"/>
        <v>1.447723482777665</v>
      </c>
    </row>
    <row r="304" spans="4:5">
      <c r="D304" s="137">
        <v>1.3297563924052156</v>
      </c>
      <c r="E304">
        <f t="shared" si="6"/>
        <v>1.4494628627784005</v>
      </c>
    </row>
    <row r="305" spans="4:5">
      <c r="D305" s="137">
        <v>1.3301858877789527</v>
      </c>
      <c r="E305">
        <f t="shared" si="6"/>
        <v>1.4533205706626433</v>
      </c>
    </row>
    <row r="306" spans="4:5">
      <c r="D306" s="137">
        <v>1.3304213452775002</v>
      </c>
      <c r="E306">
        <f t="shared" si="6"/>
        <v>1.4554355642580534</v>
      </c>
    </row>
    <row r="307" spans="4:5">
      <c r="D307" s="137">
        <v>1.3304642574998979</v>
      </c>
      <c r="E307">
        <f t="shared" si="6"/>
        <v>1.4558210312943243</v>
      </c>
    </row>
    <row r="308" spans="4:5">
      <c r="D308" s="137">
        <v>1.3322732875362817</v>
      </c>
      <c r="E308">
        <f t="shared" si="6"/>
        <v>1.4720726276922003</v>
      </c>
    </row>
    <row r="309" spans="4:5">
      <c r="D309" s="137">
        <v>1.3327595016735359</v>
      </c>
      <c r="E309">
        <f t="shared" si="6"/>
        <v>1.4764408397925384</v>
      </c>
    </row>
    <row r="310" spans="4:5">
      <c r="D310" s="137">
        <v>1.3332860159848678</v>
      </c>
      <c r="E310">
        <f t="shared" si="6"/>
        <v>1.4811710714284498</v>
      </c>
    </row>
    <row r="311" spans="4:5">
      <c r="D311" s="137">
        <v>1.3347726446286288</v>
      </c>
      <c r="E311">
        <f t="shared" si="6"/>
        <v>1.4945259452896784</v>
      </c>
    </row>
    <row r="312" spans="4:5">
      <c r="D312" s="137">
        <v>1.3350222818180555</v>
      </c>
      <c r="E312">
        <f t="shared" si="6"/>
        <v>1.4967682526625203</v>
      </c>
    </row>
    <row r="313" spans="4:5">
      <c r="D313" s="137">
        <v>1.3355834990570656</v>
      </c>
      <c r="E313">
        <f t="shared" si="6"/>
        <v>1.5018088580341957</v>
      </c>
    </row>
    <row r="314" spans="4:5">
      <c r="D314" s="137">
        <v>1.3356663383037812</v>
      </c>
      <c r="E314">
        <f t="shared" si="6"/>
        <v>1.5025528316803483</v>
      </c>
    </row>
    <row r="315" spans="4:5">
      <c r="D315" s="137">
        <v>1.3361835238711137</v>
      </c>
      <c r="E315">
        <f t="shared" si="6"/>
        <v>1.5071972975603238</v>
      </c>
    </row>
    <row r="316" spans="4:5">
      <c r="D316" s="137">
        <v>1.3363074095914271</v>
      </c>
      <c r="E316">
        <f t="shared" si="6"/>
        <v>1.5083097305504736</v>
      </c>
    </row>
    <row r="317" spans="4:5">
      <c r="D317" s="137">
        <v>1.3363488292147849</v>
      </c>
      <c r="E317">
        <f t="shared" si="6"/>
        <v>1.5086816497969071</v>
      </c>
    </row>
    <row r="318" spans="4:5">
      <c r="D318" s="137">
        <v>1.3365137614086962</v>
      </c>
      <c r="E318">
        <f t="shared" si="6"/>
        <v>1.510162581256089</v>
      </c>
    </row>
    <row r="319" spans="4:5">
      <c r="D319" s="137">
        <v>1.3365137614086962</v>
      </c>
      <c r="E319">
        <f t="shared" si="6"/>
        <v>1.510162581256089</v>
      </c>
    </row>
    <row r="320" spans="4:5">
      <c r="D320" s="137">
        <v>1.3367816829363619</v>
      </c>
      <c r="E320">
        <f t="shared" si="6"/>
        <v>1.5125681001087796</v>
      </c>
    </row>
    <row r="321" spans="4:5">
      <c r="D321" s="137">
        <v>1.3368846722701164</v>
      </c>
      <c r="E321">
        <f t="shared" si="6"/>
        <v>1.5134927301455043</v>
      </c>
    </row>
    <row r="322" spans="4:5">
      <c r="D322" s="137">
        <v>1.3379306110473408</v>
      </c>
      <c r="E322">
        <f t="shared" si="6"/>
        <v>1.5228811893062493</v>
      </c>
    </row>
    <row r="323" spans="4:5">
      <c r="D323" s="137">
        <v>1.338114573879011</v>
      </c>
      <c r="E323">
        <f t="shared" ref="E323:E386" si="7">_xlfn.NORM.DIST(D323,$B$2,$B$4,FALSE)</f>
        <v>1.5245320680633563</v>
      </c>
    </row>
    <row r="324" spans="4:5">
      <c r="D324" s="137">
        <v>1.3384407067692337</v>
      </c>
      <c r="E324">
        <f t="shared" si="7"/>
        <v>1.527458460589123</v>
      </c>
    </row>
    <row r="325" spans="4:5">
      <c r="D325" s="137">
        <v>1.3384612300060326</v>
      </c>
      <c r="E325">
        <f t="shared" si="7"/>
        <v>1.5276426017142066</v>
      </c>
    </row>
    <row r="326" spans="4:5">
      <c r="D326" s="137">
        <v>1.3387463164226574</v>
      </c>
      <c r="E326">
        <f t="shared" si="7"/>
        <v>1.5302003114343758</v>
      </c>
    </row>
    <row r="327" spans="4:5">
      <c r="D327" s="137">
        <v>1.3390105064527233</v>
      </c>
      <c r="E327">
        <f t="shared" si="7"/>
        <v>1.5325702392126699</v>
      </c>
    </row>
    <row r="328" spans="4:5">
      <c r="D328" s="137">
        <v>1.3390511797765612</v>
      </c>
      <c r="E328">
        <f t="shared" si="7"/>
        <v>1.5329350739989913</v>
      </c>
    </row>
    <row r="329" spans="4:5">
      <c r="D329" s="137">
        <v>1.3391933498351136</v>
      </c>
      <c r="E329">
        <f t="shared" si="7"/>
        <v>1.5342102643045552</v>
      </c>
    </row>
    <row r="330" spans="4:5">
      <c r="D330" s="137">
        <v>1.3392541732459904</v>
      </c>
      <c r="E330">
        <f t="shared" si="7"/>
        <v>1.5347557903180458</v>
      </c>
    </row>
    <row r="331" spans="4:5">
      <c r="D331" s="137">
        <v>1.3398411378184392</v>
      </c>
      <c r="E331">
        <f t="shared" si="7"/>
        <v>1.5400193915074092</v>
      </c>
    </row>
    <row r="332" spans="4:5">
      <c r="D332" s="137">
        <v>1.3402247357716988</v>
      </c>
      <c r="E332">
        <f t="shared" si="7"/>
        <v>1.5434583857839268</v>
      </c>
    </row>
    <row r="333" spans="4:5">
      <c r="D333" s="137">
        <v>1.3402247357716988</v>
      </c>
      <c r="E333">
        <f t="shared" si="7"/>
        <v>1.5434583857839268</v>
      </c>
    </row>
    <row r="334" spans="4:5">
      <c r="D334" s="137">
        <v>1.3406075874254384</v>
      </c>
      <c r="E334">
        <f t="shared" si="7"/>
        <v>1.5468899198529582</v>
      </c>
    </row>
    <row r="335" spans="4:5">
      <c r="D335" s="137">
        <v>1.340728487947672</v>
      </c>
      <c r="E335">
        <f t="shared" si="7"/>
        <v>1.5479733961919397</v>
      </c>
    </row>
    <row r="336" spans="4:5">
      <c r="D336" s="137">
        <v>1.3407684149719898</v>
      </c>
      <c r="E336">
        <f t="shared" si="7"/>
        <v>1.548331193001103</v>
      </c>
    </row>
    <row r="337" spans="4:5">
      <c r="D337" s="137">
        <v>1.3409292425185413</v>
      </c>
      <c r="E337">
        <f t="shared" si="7"/>
        <v>1.5497723206752243</v>
      </c>
    </row>
    <row r="338" spans="4:5">
      <c r="D338" s="137">
        <v>1.3409893196298981</v>
      </c>
      <c r="E338">
        <f t="shared" si="7"/>
        <v>1.5503106158406135</v>
      </c>
    </row>
    <row r="339" spans="4:5">
      <c r="D339" s="137">
        <v>1.3413904556218768</v>
      </c>
      <c r="E339">
        <f t="shared" si="7"/>
        <v>1.5539042807991961</v>
      </c>
    </row>
    <row r="340" spans="4:5">
      <c r="D340" s="137">
        <v>1.3415106098445904</v>
      </c>
      <c r="E340">
        <f t="shared" si="7"/>
        <v>1.5549805211113152</v>
      </c>
    </row>
    <row r="341" spans="4:5">
      <c r="D341" s="137">
        <v>1.3419703303488859</v>
      </c>
      <c r="E341">
        <f t="shared" si="7"/>
        <v>1.5590974807260833</v>
      </c>
    </row>
    <row r="342" spans="4:5">
      <c r="D342" s="137">
        <v>1.3423293004179868</v>
      </c>
      <c r="E342">
        <f t="shared" si="7"/>
        <v>1.5623112379646298</v>
      </c>
    </row>
    <row r="343" spans="4:5">
      <c r="D343" s="137">
        <v>1.3425281892400562</v>
      </c>
      <c r="E343">
        <f t="shared" si="7"/>
        <v>1.5640914625937168</v>
      </c>
    </row>
    <row r="344" spans="4:5">
      <c r="D344" s="137">
        <v>1.342607670138932</v>
      </c>
      <c r="E344">
        <f t="shared" si="7"/>
        <v>1.5648028088892865</v>
      </c>
    </row>
    <row r="345" spans="4:5">
      <c r="D345" s="137">
        <v>1.3426475971632499</v>
      </c>
      <c r="E345">
        <f t="shared" si="7"/>
        <v>1.5651601354052758</v>
      </c>
    </row>
    <row r="346" spans="4:5">
      <c r="D346" s="137">
        <v>1.3426875241875678</v>
      </c>
      <c r="E346">
        <f t="shared" si="7"/>
        <v>1.5655174508548351</v>
      </c>
    </row>
    <row r="347" spans="4:5">
      <c r="D347" s="137">
        <v>1.3427073011248467</v>
      </c>
      <c r="E347">
        <f t="shared" si="7"/>
        <v>1.5656944347691237</v>
      </c>
    </row>
    <row r="348" spans="4:5">
      <c r="D348" s="137">
        <v>1.3431043324694656</v>
      </c>
      <c r="E348">
        <f t="shared" si="7"/>
        <v>1.5692468851315269</v>
      </c>
    </row>
    <row r="349" spans="4:5">
      <c r="D349" s="137">
        <v>1.3434606904902466</v>
      </c>
      <c r="E349">
        <f t="shared" si="7"/>
        <v>1.5724344358553055</v>
      </c>
    </row>
    <row r="350" spans="4:5">
      <c r="D350" s="137">
        <v>1.3436386829257572</v>
      </c>
      <c r="E350">
        <f t="shared" si="7"/>
        <v>1.5740261869382326</v>
      </c>
    </row>
    <row r="351" spans="4:5">
      <c r="D351" s="137">
        <v>1.3440730292463741</v>
      </c>
      <c r="E351">
        <f t="shared" si="7"/>
        <v>1.5779094357987271</v>
      </c>
    </row>
    <row r="352" spans="4:5">
      <c r="D352" s="137">
        <v>1.3450365019266428</v>
      </c>
      <c r="E352">
        <f t="shared" si="7"/>
        <v>1.5865178721567699</v>
      </c>
    </row>
    <row r="353" spans="4:5">
      <c r="D353" s="137">
        <v>1.3454477129621409</v>
      </c>
      <c r="E353">
        <f t="shared" si="7"/>
        <v>1.5901895576400831</v>
      </c>
    </row>
    <row r="354" spans="4:5">
      <c r="D354" s="137">
        <v>1.3456040627115726</v>
      </c>
      <c r="E354">
        <f t="shared" si="7"/>
        <v>1.591585204402115</v>
      </c>
    </row>
    <row r="355" spans="4:5">
      <c r="D355" s="137">
        <v>1.345916389060676</v>
      </c>
      <c r="E355">
        <f t="shared" si="7"/>
        <v>1.5943725028365383</v>
      </c>
    </row>
    <row r="356" spans="4:5">
      <c r="D356" s="137">
        <v>1.3460141542977908</v>
      </c>
      <c r="E356">
        <f t="shared" si="7"/>
        <v>1.5952448058979816</v>
      </c>
    </row>
    <row r="357" spans="4:5">
      <c r="D357" s="137">
        <v>1.3460335580853098</v>
      </c>
      <c r="E357">
        <f t="shared" si="7"/>
        <v>1.5954179241644018</v>
      </c>
    </row>
    <row r="358" spans="4:5">
      <c r="D358" s="137">
        <v>1.3462089384725004</v>
      </c>
      <c r="E358">
        <f t="shared" si="7"/>
        <v>1.5969824867121145</v>
      </c>
    </row>
    <row r="359" spans="4:5">
      <c r="D359" s="137">
        <v>1.3465395491598429</v>
      </c>
      <c r="E359">
        <f t="shared" si="7"/>
        <v>1.5999310583696009</v>
      </c>
    </row>
    <row r="360" spans="4:5">
      <c r="D360" s="137">
        <v>1.3467339601847925</v>
      </c>
      <c r="E360">
        <f t="shared" si="7"/>
        <v>1.6016644312844728</v>
      </c>
    </row>
    <row r="361" spans="4:5">
      <c r="D361" s="137">
        <v>1.3469668056350201</v>
      </c>
      <c r="E361">
        <f t="shared" si="7"/>
        <v>1.603739996156204</v>
      </c>
    </row>
    <row r="362" spans="4:5">
      <c r="D362" s="137">
        <v>1.3471798741479688</v>
      </c>
      <c r="E362">
        <f t="shared" si="7"/>
        <v>1.6056387956267733</v>
      </c>
    </row>
    <row r="363" spans="4:5">
      <c r="D363" s="137">
        <v>1.3474317502359554</v>
      </c>
      <c r="E363">
        <f t="shared" si="7"/>
        <v>1.6078828401887983</v>
      </c>
    </row>
    <row r="364" spans="4:5">
      <c r="D364" s="137">
        <v>1.3479336366631287</v>
      </c>
      <c r="E364">
        <f t="shared" si="7"/>
        <v>1.6123523383219975</v>
      </c>
    </row>
    <row r="365" spans="4:5">
      <c r="D365" s="137">
        <v>1.3481265550890384</v>
      </c>
      <c r="E365">
        <f t="shared" si="7"/>
        <v>1.6140696409147099</v>
      </c>
    </row>
    <row r="366" spans="4:5">
      <c r="D366" s="137">
        <v>1.3481265550890384</v>
      </c>
      <c r="E366">
        <f t="shared" si="7"/>
        <v>1.6140696409147099</v>
      </c>
    </row>
    <row r="367" spans="4:5">
      <c r="D367" s="137">
        <v>1.3483191003651882</v>
      </c>
      <c r="E367">
        <f t="shared" si="7"/>
        <v>1.6157832193200559</v>
      </c>
    </row>
    <row r="368" spans="4:5">
      <c r="D368" s="137">
        <v>1.3489530818073945</v>
      </c>
      <c r="E368">
        <f t="shared" si="7"/>
        <v>1.6214225025960438</v>
      </c>
    </row>
    <row r="369" spans="4:5">
      <c r="D369" s="137">
        <v>1.3490295775081904</v>
      </c>
      <c r="E369">
        <f t="shared" si="7"/>
        <v>1.622102626748988</v>
      </c>
    </row>
    <row r="370" spans="4:5">
      <c r="D370" s="137">
        <v>1.3497184119651138</v>
      </c>
      <c r="E370">
        <f t="shared" si="7"/>
        <v>1.628223991861419</v>
      </c>
    </row>
    <row r="371" spans="4:5">
      <c r="D371" s="137">
        <v>1.3498519995791867</v>
      </c>
      <c r="E371">
        <f t="shared" si="7"/>
        <v>1.6294104738119299</v>
      </c>
    </row>
    <row r="372" spans="4:5">
      <c r="D372" s="137">
        <v>1.3500807403820545</v>
      </c>
      <c r="E372">
        <f t="shared" si="7"/>
        <v>1.6314415734415624</v>
      </c>
    </row>
    <row r="373" spans="4:5">
      <c r="D373" s="137">
        <v>1.3503281386729213</v>
      </c>
      <c r="E373">
        <f t="shared" si="7"/>
        <v>1.6336376194969247</v>
      </c>
    </row>
    <row r="374" spans="4:5">
      <c r="D374" s="137">
        <v>1.3503852305861983</v>
      </c>
      <c r="E374">
        <f t="shared" si="7"/>
        <v>1.6341442916267066</v>
      </c>
    </row>
    <row r="375" spans="4:5">
      <c r="D375" s="137">
        <v>1.3506326288770651</v>
      </c>
      <c r="E375">
        <f t="shared" si="7"/>
        <v>1.6363393989941588</v>
      </c>
    </row>
    <row r="376" spans="4:5">
      <c r="D376" s="137">
        <v>1.3512013091112749</v>
      </c>
      <c r="E376">
        <f t="shared" si="7"/>
        <v>1.641382210029898</v>
      </c>
    </row>
    <row r="377" spans="4:5">
      <c r="D377" s="137">
        <v>1.3522965036568166</v>
      </c>
      <c r="E377">
        <f t="shared" si="7"/>
        <v>1.6510818925319382</v>
      </c>
    </row>
    <row r="378" spans="4:5">
      <c r="D378" s="137">
        <v>1.3525786048753616</v>
      </c>
      <c r="E378">
        <f t="shared" si="7"/>
        <v>1.6535776886185678</v>
      </c>
    </row>
    <row r="379" spans="4:5">
      <c r="D379" s="137">
        <v>1.3526162930011196</v>
      </c>
      <c r="E379">
        <f t="shared" si="7"/>
        <v>1.6539110371945587</v>
      </c>
    </row>
    <row r="380" spans="4:5">
      <c r="D380" s="137">
        <v>1.3528976479201447</v>
      </c>
      <c r="E380">
        <f t="shared" si="7"/>
        <v>1.656398963903398</v>
      </c>
    </row>
    <row r="381" spans="4:5">
      <c r="D381" s="137">
        <v>1.3529166785579037</v>
      </c>
      <c r="E381">
        <f t="shared" si="7"/>
        <v>1.6565672046839675</v>
      </c>
    </row>
    <row r="382" spans="4:5">
      <c r="D382" s="137">
        <v>1.3529353360459027</v>
      </c>
      <c r="E382">
        <f t="shared" si="7"/>
        <v>1.6567321415877616</v>
      </c>
    </row>
    <row r="383" spans="4:5">
      <c r="D383" s="137">
        <v>1.3539267949581699</v>
      </c>
      <c r="E383">
        <f t="shared" si="7"/>
        <v>1.6654895873286839</v>
      </c>
    </row>
    <row r="384" spans="4:5">
      <c r="D384" s="137">
        <v>1.3539454524461689</v>
      </c>
      <c r="E384">
        <f t="shared" si="7"/>
        <v>1.6656542470643569</v>
      </c>
    </row>
    <row r="385" spans="4:5">
      <c r="D385" s="137">
        <v>1.3542062841283951</v>
      </c>
      <c r="E385">
        <f t="shared" si="7"/>
        <v>1.6679556381728791</v>
      </c>
    </row>
    <row r="386" spans="4:5">
      <c r="D386" s="137">
        <v>1.3544111433466242</v>
      </c>
      <c r="E386">
        <f t="shared" si="7"/>
        <v>1.6697624404858422</v>
      </c>
    </row>
    <row r="387" spans="4:5">
      <c r="D387" s="137">
        <v>1.3544857732986202</v>
      </c>
      <c r="E387">
        <f t="shared" ref="E387:E450" si="8">_xlfn.NORM.DIST(D387,$B$2,$B$4,FALSE)</f>
        <v>1.6704204957047786</v>
      </c>
    </row>
    <row r="388" spans="4:5">
      <c r="D388" s="137">
        <v>1.3545600301008562</v>
      </c>
      <c r="E388">
        <f t="shared" si="8"/>
        <v>1.6710751750634176</v>
      </c>
    </row>
    <row r="389" spans="4:5">
      <c r="D389" s="137">
        <v>1.3548201154835624</v>
      </c>
      <c r="E389">
        <f t="shared" si="8"/>
        <v>1.6733675202308045</v>
      </c>
    </row>
    <row r="390" spans="4:5">
      <c r="D390" s="137">
        <v>1.3548201154835624</v>
      </c>
      <c r="E390">
        <f t="shared" si="8"/>
        <v>1.6733675202308045</v>
      </c>
    </row>
    <row r="391" spans="4:5">
      <c r="D391" s="137">
        <v>1.3552652831472187</v>
      </c>
      <c r="E391">
        <f t="shared" si="8"/>
        <v>1.6772886707099457</v>
      </c>
    </row>
    <row r="392" spans="4:5">
      <c r="D392" s="137">
        <v>1.3563918222725988</v>
      </c>
      <c r="E392">
        <f t="shared" si="8"/>
        <v>1.6871971513460982</v>
      </c>
    </row>
    <row r="393" spans="4:5">
      <c r="D393" s="137">
        <v>1.3567045217714622</v>
      </c>
      <c r="E393">
        <f t="shared" si="8"/>
        <v>1.6899437459318254</v>
      </c>
    </row>
    <row r="394" spans="4:5">
      <c r="D394" s="137">
        <v>1.3568146009506563</v>
      </c>
      <c r="E394">
        <f t="shared" si="8"/>
        <v>1.690910228644424</v>
      </c>
    </row>
    <row r="395" spans="4:5">
      <c r="D395" s="137">
        <v>1.3571448384882387</v>
      </c>
      <c r="E395">
        <f t="shared" si="8"/>
        <v>1.693808422092044</v>
      </c>
    </row>
    <row r="396" spans="4:5">
      <c r="D396" s="137">
        <v>1.3578038209643637</v>
      </c>
      <c r="E396">
        <f t="shared" si="8"/>
        <v>1.6995859963519293</v>
      </c>
    </row>
    <row r="397" spans="4:5">
      <c r="D397" s="137">
        <v>1.3578952426555588</v>
      </c>
      <c r="E397">
        <f t="shared" si="8"/>
        <v>1.7003869180024493</v>
      </c>
    </row>
    <row r="398" spans="4:5">
      <c r="D398" s="137">
        <v>1.3588788654228665</v>
      </c>
      <c r="E398">
        <f t="shared" si="8"/>
        <v>1.7089945445813686</v>
      </c>
    </row>
    <row r="399" spans="4:5">
      <c r="D399" s="137">
        <v>1.3592785088158053</v>
      </c>
      <c r="E399">
        <f t="shared" si="8"/>
        <v>1.7124866620750472</v>
      </c>
    </row>
    <row r="400" spans="4:5">
      <c r="D400" s="137">
        <v>1.3593326155310024</v>
      </c>
      <c r="E400">
        <f t="shared" si="8"/>
        <v>1.7129592184834175</v>
      </c>
    </row>
    <row r="401" spans="4:5">
      <c r="D401" s="137">
        <v>1.3593691842074804</v>
      </c>
      <c r="E401">
        <f t="shared" si="8"/>
        <v>1.7132785698169184</v>
      </c>
    </row>
    <row r="402" spans="4:5">
      <c r="D402" s="137">
        <v>1.359640837232746</v>
      </c>
      <c r="E402">
        <f t="shared" si="8"/>
        <v>1.7156500918410302</v>
      </c>
    </row>
    <row r="403" spans="4:5">
      <c r="D403" s="137">
        <v>1.3597132282861821</v>
      </c>
      <c r="E403">
        <f t="shared" si="8"/>
        <v>1.7162818235819741</v>
      </c>
    </row>
    <row r="404" spans="4:5">
      <c r="D404" s="137">
        <v>1.3597311394746612</v>
      </c>
      <c r="E404">
        <f t="shared" si="8"/>
        <v>1.7164381126975927</v>
      </c>
    </row>
    <row r="405" spans="4:5">
      <c r="D405" s="137">
        <v>1.3598397260548154</v>
      </c>
      <c r="E405">
        <f t="shared" si="8"/>
        <v>1.7173854822556018</v>
      </c>
    </row>
    <row r="406" spans="4:5">
      <c r="D406" s="137">
        <v>1.360561397690617</v>
      </c>
      <c r="E406">
        <f t="shared" si="8"/>
        <v>1.7236758721323602</v>
      </c>
    </row>
    <row r="407" spans="4:5">
      <c r="D407" s="137">
        <v>1.3608136469283636</v>
      </c>
      <c r="E407">
        <f t="shared" si="8"/>
        <v>1.725872139848643</v>
      </c>
    </row>
    <row r="408" spans="4:5">
      <c r="D408" s="137">
        <v>1.3613166528048168</v>
      </c>
      <c r="E408">
        <f t="shared" si="8"/>
        <v>1.7302478342728751</v>
      </c>
    </row>
    <row r="409" spans="4:5">
      <c r="D409" s="137">
        <v>1.3622651994946864</v>
      </c>
      <c r="E409">
        <f t="shared" si="8"/>
        <v>1.7384850997984096</v>
      </c>
    </row>
    <row r="410" spans="4:5">
      <c r="D410" s="137">
        <v>1.3623006487218845</v>
      </c>
      <c r="E410">
        <f t="shared" si="8"/>
        <v>1.7387925771325938</v>
      </c>
    </row>
    <row r="411" spans="4:5">
      <c r="D411" s="137">
        <v>1.3623543822873216</v>
      </c>
      <c r="E411">
        <f t="shared" si="8"/>
        <v>1.7392585970026653</v>
      </c>
    </row>
    <row r="412" spans="4:5">
      <c r="D412" s="137">
        <v>1.3623722934758007</v>
      </c>
      <c r="E412">
        <f t="shared" si="8"/>
        <v>1.7394139232754968</v>
      </c>
    </row>
    <row r="413" spans="4:5">
      <c r="D413" s="137">
        <v>1.3623900180893997</v>
      </c>
      <c r="E413">
        <f t="shared" si="8"/>
        <v>1.7395676248238643</v>
      </c>
    </row>
    <row r="414" spans="4:5">
      <c r="D414" s="137">
        <v>1.3630491871404047</v>
      </c>
      <c r="E414">
        <f t="shared" si="8"/>
        <v>1.745278902822635</v>
      </c>
    </row>
    <row r="415" spans="4:5">
      <c r="D415" s="137">
        <v>1.3630667251791238</v>
      </c>
      <c r="E415">
        <f t="shared" si="8"/>
        <v>1.7454307299535803</v>
      </c>
    </row>
    <row r="416" spans="4:5">
      <c r="D416" s="137">
        <v>1.3632447176146343</v>
      </c>
      <c r="E416">
        <f t="shared" si="8"/>
        <v>1.7469712325306943</v>
      </c>
    </row>
    <row r="417" spans="4:5">
      <c r="D417" s="137">
        <v>1.3642016601741034</v>
      </c>
      <c r="E417">
        <f t="shared" si="8"/>
        <v>1.7552413971272396</v>
      </c>
    </row>
    <row r="418" spans="4:5">
      <c r="D418" s="137">
        <v>1.364378346585454</v>
      </c>
      <c r="E418">
        <f t="shared" si="8"/>
        <v>1.7567661141856865</v>
      </c>
    </row>
    <row r="419" spans="4:5">
      <c r="D419" s="137">
        <v>1.364395884624173</v>
      </c>
      <c r="E419">
        <f t="shared" si="8"/>
        <v>1.7569174199951327</v>
      </c>
    </row>
    <row r="420" spans="4:5">
      <c r="D420" s="137">
        <v>1.365242188279808</v>
      </c>
      <c r="E420">
        <f t="shared" si="8"/>
        <v>1.7642102940560589</v>
      </c>
    </row>
    <row r="421" spans="4:5">
      <c r="D421" s="137">
        <v>1.3656638475085856</v>
      </c>
      <c r="E421">
        <f t="shared" si="8"/>
        <v>1.767837613094221</v>
      </c>
    </row>
    <row r="422" spans="4:5">
      <c r="D422" s="137">
        <v>1.3658216898570572</v>
      </c>
      <c r="E422">
        <f t="shared" si="8"/>
        <v>1.7691943635682439</v>
      </c>
    </row>
    <row r="423" spans="4:5">
      <c r="D423" s="137">
        <v>1.3658918420119335</v>
      </c>
      <c r="E423">
        <f t="shared" si="8"/>
        <v>1.7697971724619697</v>
      </c>
    </row>
    <row r="424" spans="4:5">
      <c r="D424" s="137">
        <v>1.3671848059302647</v>
      </c>
      <c r="E424">
        <f t="shared" si="8"/>
        <v>1.780886034409793</v>
      </c>
    </row>
    <row r="425" spans="4:5">
      <c r="D425" s="137">
        <v>1.3672892878630591</v>
      </c>
      <c r="E425">
        <f t="shared" si="8"/>
        <v>1.7817803026747649</v>
      </c>
    </row>
    <row r="426" spans="4:5">
      <c r="D426" s="137">
        <v>1.3677935997636723</v>
      </c>
      <c r="E426">
        <f t="shared" si="8"/>
        <v>1.7860928825147984</v>
      </c>
    </row>
    <row r="427" spans="4:5">
      <c r="D427" s="137">
        <v>1.367949762938224</v>
      </c>
      <c r="E427">
        <f t="shared" si="8"/>
        <v>1.7874269913022243</v>
      </c>
    </row>
    <row r="428" spans="4:5">
      <c r="D428" s="137">
        <v>1.3681579805042929</v>
      </c>
      <c r="E428">
        <f t="shared" si="8"/>
        <v>1.7892048331683668</v>
      </c>
    </row>
    <row r="429" spans="4:5">
      <c r="D429" s="137">
        <v>1.3682966056401256</v>
      </c>
      <c r="E429">
        <f t="shared" si="8"/>
        <v>1.79038785036208</v>
      </c>
    </row>
    <row r="430" spans="4:5">
      <c r="D430" s="137">
        <v>1.3683658249206019</v>
      </c>
      <c r="E430">
        <f t="shared" si="8"/>
        <v>1.790978377276752</v>
      </c>
    </row>
    <row r="431" spans="4:5">
      <c r="D431" s="137">
        <v>1.3683658249206019</v>
      </c>
      <c r="E431">
        <f t="shared" si="8"/>
        <v>1.790978377276752</v>
      </c>
    </row>
    <row r="432" spans="4:5">
      <c r="D432" s="137">
        <v>1.3685218015202736</v>
      </c>
      <c r="E432">
        <f t="shared" si="8"/>
        <v>1.7923085977933315</v>
      </c>
    </row>
    <row r="433" spans="4:5">
      <c r="D433" s="137">
        <v>1.368815656956258</v>
      </c>
      <c r="E433">
        <f t="shared" si="8"/>
        <v>1.7948129752980675</v>
      </c>
    </row>
    <row r="434" spans="4:5">
      <c r="D434" s="137">
        <v>1.3690574580007251</v>
      </c>
      <c r="E434">
        <f t="shared" si="8"/>
        <v>1.7968720238053713</v>
      </c>
    </row>
    <row r="435" spans="4:5">
      <c r="D435" s="137">
        <v>1.3697121492546103</v>
      </c>
      <c r="E435">
        <f t="shared" si="8"/>
        <v>1.8024392493571937</v>
      </c>
    </row>
    <row r="436" spans="4:5">
      <c r="D436" s="137">
        <v>1.3697983468491657</v>
      </c>
      <c r="E436">
        <f t="shared" si="8"/>
        <v>1.803171384347964</v>
      </c>
    </row>
    <row r="437" spans="4:5">
      <c r="D437" s="137">
        <v>1.3698155117381248</v>
      </c>
      <c r="E437">
        <f t="shared" si="8"/>
        <v>1.8033171535691122</v>
      </c>
    </row>
    <row r="438" spans="4:5">
      <c r="D438" s="137">
        <v>1.3700218635553938</v>
      </c>
      <c r="E438">
        <f t="shared" si="8"/>
        <v>1.8050689301583465</v>
      </c>
    </row>
    <row r="439" spans="4:5">
      <c r="D439" s="137">
        <v>1.3702965017787392</v>
      </c>
      <c r="E439">
        <f t="shared" si="8"/>
        <v>1.8073986160916349</v>
      </c>
    </row>
    <row r="440" spans="4:5">
      <c r="D440" s="137">
        <v>1.3705879317412837</v>
      </c>
      <c r="E440">
        <f t="shared" si="8"/>
        <v>1.8098684874360074</v>
      </c>
    </row>
    <row r="441" spans="4:5">
      <c r="D441" s="137">
        <v>1.3706050966302428</v>
      </c>
      <c r="E441">
        <f t="shared" si="8"/>
        <v>1.8100138872279909</v>
      </c>
    </row>
    <row r="442" spans="4:5">
      <c r="D442" s="137">
        <v>1.3709644398491037</v>
      </c>
      <c r="E442">
        <f t="shared" si="8"/>
        <v>1.813055929802375</v>
      </c>
    </row>
    <row r="443" spans="4:5">
      <c r="D443" s="137">
        <v>1.3718348116642574</v>
      </c>
      <c r="E443">
        <f t="shared" si="8"/>
        <v>1.8204091513723153</v>
      </c>
    </row>
    <row r="444" spans="4:5">
      <c r="D444" s="137">
        <v>1.3719029114954537</v>
      </c>
      <c r="E444">
        <f t="shared" si="8"/>
        <v>1.8209835797162683</v>
      </c>
    </row>
    <row r="445" spans="4:5">
      <c r="D445" s="137">
        <v>1.3719200763844128</v>
      </c>
      <c r="E445">
        <f t="shared" si="8"/>
        <v>1.8211283462533099</v>
      </c>
    </row>
    <row r="446" spans="4:5">
      <c r="D446" s="137">
        <v>1.3722260591875965</v>
      </c>
      <c r="E446">
        <f t="shared" si="8"/>
        <v>1.8237075515153041</v>
      </c>
    </row>
    <row r="447" spans="4:5">
      <c r="D447" s="137">
        <v>1.3727693652381276</v>
      </c>
      <c r="E447">
        <f t="shared" si="8"/>
        <v>1.8282805568597582</v>
      </c>
    </row>
    <row r="448" spans="4:5">
      <c r="D448" s="137">
        <v>1.3731253501091487</v>
      </c>
      <c r="E448">
        <f t="shared" si="8"/>
        <v>1.8312722132466099</v>
      </c>
    </row>
    <row r="449" spans="4:5">
      <c r="D449" s="137">
        <v>1.3731421418483478</v>
      </c>
      <c r="E449">
        <f t="shared" si="8"/>
        <v>1.8314132371317366</v>
      </c>
    </row>
    <row r="450" spans="4:5">
      <c r="D450" s="137">
        <v>1.3734466320524916</v>
      </c>
      <c r="E450">
        <f t="shared" si="8"/>
        <v>1.8339690243322431</v>
      </c>
    </row>
    <row r="451" spans="4:5">
      <c r="D451" s="137">
        <v>1.37366604411136</v>
      </c>
      <c r="E451">
        <f t="shared" ref="E451:E514" si="9">_xlfn.NORM.DIST(D451,$B$2,$B$4,FALSE)</f>
        <v>1.8358089876559469</v>
      </c>
    </row>
    <row r="452" spans="4:5">
      <c r="D452" s="137">
        <v>1.3739024344843074</v>
      </c>
      <c r="E452">
        <f t="shared" si="9"/>
        <v>1.8377897188250376</v>
      </c>
    </row>
    <row r="453" spans="4:5">
      <c r="D453" s="137">
        <v>1.3739697880159838</v>
      </c>
      <c r="E453">
        <f t="shared" si="9"/>
        <v>1.8383537715932521</v>
      </c>
    </row>
    <row r="454" spans="4:5">
      <c r="D454" s="137">
        <v>1.3740877033401375</v>
      </c>
      <c r="E454">
        <f t="shared" si="9"/>
        <v>1.8393409254589417</v>
      </c>
    </row>
    <row r="455" spans="4:5">
      <c r="D455" s="137">
        <v>1.374172035185893</v>
      </c>
      <c r="E455">
        <f t="shared" si="9"/>
        <v>1.8400466703893537</v>
      </c>
    </row>
    <row r="456" spans="4:5">
      <c r="D456" s="137">
        <v>1.3742563670316486</v>
      </c>
      <c r="E456">
        <f t="shared" si="9"/>
        <v>1.8407522000475611</v>
      </c>
    </row>
    <row r="457" spans="4:5">
      <c r="D457" s="137">
        <v>1.3746265315935489</v>
      </c>
      <c r="E457">
        <f t="shared" si="9"/>
        <v>1.8438464804817247</v>
      </c>
    </row>
    <row r="458" spans="4:5">
      <c r="D458" s="137">
        <v>1.3746601150719471</v>
      </c>
      <c r="E458">
        <f t="shared" si="9"/>
        <v>1.8441270045922615</v>
      </c>
    </row>
    <row r="459" spans="4:5">
      <c r="D459" s="137">
        <v>1.3750631168127256</v>
      </c>
      <c r="E459">
        <f t="shared" si="9"/>
        <v>1.8474905902319272</v>
      </c>
    </row>
    <row r="460" spans="4:5">
      <c r="D460" s="137">
        <v>1.3754149970363869</v>
      </c>
      <c r="E460">
        <f t="shared" si="9"/>
        <v>1.8504233904851064</v>
      </c>
    </row>
    <row r="461" spans="4:5">
      <c r="D461" s="137">
        <v>1.375582354703738</v>
      </c>
      <c r="E461">
        <f t="shared" si="9"/>
        <v>1.8518169047508743</v>
      </c>
    </row>
    <row r="462" spans="4:5">
      <c r="D462" s="137">
        <v>1.3757161288926909</v>
      </c>
      <c r="E462">
        <f t="shared" si="9"/>
        <v>1.8529301529746829</v>
      </c>
    </row>
    <row r="463" spans="4:5">
      <c r="D463" s="137">
        <v>1.375883299985162</v>
      </c>
      <c r="E463">
        <f t="shared" si="9"/>
        <v>1.8543205339806379</v>
      </c>
    </row>
    <row r="464" spans="4:5">
      <c r="D464" s="137">
        <v>1.3760504710776331</v>
      </c>
      <c r="E464">
        <f t="shared" si="9"/>
        <v>1.8557100327726748</v>
      </c>
    </row>
    <row r="465" spans="4:5">
      <c r="D465" s="137">
        <v>1.3762172690203442</v>
      </c>
      <c r="E465">
        <f t="shared" si="9"/>
        <v>1.8570955472114477</v>
      </c>
    </row>
    <row r="466" spans="4:5">
      <c r="D466" s="137">
        <v>1.3764674659344109</v>
      </c>
      <c r="E466">
        <f t="shared" si="9"/>
        <v>1.8591721577722846</v>
      </c>
    </row>
    <row r="467" spans="4:5">
      <c r="D467" s="137">
        <v>1.3770833496132582</v>
      </c>
      <c r="E467">
        <f t="shared" si="9"/>
        <v>1.8642753713979483</v>
      </c>
    </row>
    <row r="468" spans="4:5">
      <c r="D468" s="137">
        <v>1.3775479210644335</v>
      </c>
      <c r="E468">
        <f t="shared" si="9"/>
        <v>1.8681166697558773</v>
      </c>
    </row>
    <row r="469" spans="4:5">
      <c r="D469" s="137">
        <v>1.3776971809684255</v>
      </c>
      <c r="E469">
        <f t="shared" si="9"/>
        <v>1.8693493214752057</v>
      </c>
    </row>
    <row r="470" spans="4:5">
      <c r="D470" s="137">
        <v>1.3777469964613829</v>
      </c>
      <c r="E470">
        <f t="shared" si="9"/>
        <v>1.8697605557542907</v>
      </c>
    </row>
    <row r="471" spans="4:5">
      <c r="D471" s="137">
        <v>1.3779789090372105</v>
      </c>
      <c r="E471">
        <f t="shared" si="9"/>
        <v>1.8716739494661847</v>
      </c>
    </row>
    <row r="472" spans="4:5">
      <c r="D472" s="137">
        <v>1.3794470667678524</v>
      </c>
      <c r="E472">
        <f t="shared" si="9"/>
        <v>1.8837452073317498</v>
      </c>
    </row>
    <row r="473" spans="4:5">
      <c r="D473" s="137">
        <v>1.3796278578265628</v>
      </c>
      <c r="E473">
        <f t="shared" si="9"/>
        <v>1.8852266194763903</v>
      </c>
    </row>
    <row r="474" spans="4:5">
      <c r="D474" s="137">
        <v>1.3796606950054411</v>
      </c>
      <c r="E474">
        <f t="shared" si="9"/>
        <v>1.8854955686185551</v>
      </c>
    </row>
    <row r="475" spans="4:5">
      <c r="D475" s="137">
        <v>1.380169298128294</v>
      </c>
      <c r="E475">
        <f t="shared" si="9"/>
        <v>1.8896564664327118</v>
      </c>
    </row>
    <row r="476" spans="4:5">
      <c r="D476" s="137">
        <v>1.3805950620044314</v>
      </c>
      <c r="E476">
        <f t="shared" si="9"/>
        <v>1.8931327321949274</v>
      </c>
    </row>
    <row r="477" spans="4:5">
      <c r="D477" s="137">
        <v>1.380676781801867</v>
      </c>
      <c r="E477">
        <f t="shared" si="9"/>
        <v>1.89379922898343</v>
      </c>
    </row>
    <row r="478" spans="4:5">
      <c r="D478" s="137">
        <v>1.3807096189807453</v>
      </c>
      <c r="E478">
        <f t="shared" si="9"/>
        <v>1.8940669788556785</v>
      </c>
    </row>
    <row r="479" spans="4:5">
      <c r="D479" s="137">
        <v>1.3809057091796149</v>
      </c>
      <c r="E479">
        <f t="shared" si="9"/>
        <v>1.8956650799369619</v>
      </c>
    </row>
    <row r="480" spans="4:5">
      <c r="D480" s="137">
        <v>1.3814441642832662</v>
      </c>
      <c r="E480">
        <f t="shared" si="9"/>
        <v>1.9000463824636915</v>
      </c>
    </row>
    <row r="481" spans="4:5">
      <c r="D481" s="137">
        <v>1.3816070441534976</v>
      </c>
      <c r="E481">
        <f t="shared" si="9"/>
        <v>1.9013696652646457</v>
      </c>
    </row>
    <row r="482" spans="4:5">
      <c r="D482" s="137">
        <v>1.3817048093906124</v>
      </c>
      <c r="E482">
        <f t="shared" si="9"/>
        <v>1.9021634808199739</v>
      </c>
    </row>
    <row r="483" spans="4:5">
      <c r="D483" s="137">
        <v>1.381786156038288</v>
      </c>
      <c r="E483">
        <f t="shared" si="9"/>
        <v>1.9028237217452861</v>
      </c>
    </row>
    <row r="484" spans="4:5">
      <c r="D484" s="137">
        <v>1.3820626600104333</v>
      </c>
      <c r="E484">
        <f t="shared" si="9"/>
        <v>1.9050661495807815</v>
      </c>
    </row>
    <row r="485" spans="4:5">
      <c r="D485" s="137">
        <v>1.3827119405927988</v>
      </c>
      <c r="E485">
        <f t="shared" si="9"/>
        <v>1.9103208460617067</v>
      </c>
    </row>
    <row r="486" spans="4:5">
      <c r="D486" s="137">
        <v>1.3827929140907145</v>
      </c>
      <c r="E486">
        <f t="shared" si="9"/>
        <v>1.9109750910743666</v>
      </c>
    </row>
    <row r="487" spans="4:5">
      <c r="D487" s="137">
        <v>1.3830033705553433</v>
      </c>
      <c r="E487">
        <f t="shared" si="9"/>
        <v>1.9126743954760512</v>
      </c>
    </row>
    <row r="488" spans="4:5">
      <c r="D488" s="137">
        <v>1.3830518800241407</v>
      </c>
      <c r="E488">
        <f t="shared" si="9"/>
        <v>1.9130658472039894</v>
      </c>
    </row>
    <row r="489" spans="4:5">
      <c r="D489" s="137">
        <v>1.3830518800241407</v>
      </c>
      <c r="E489">
        <f t="shared" si="9"/>
        <v>1.9130658472039894</v>
      </c>
    </row>
    <row r="490" spans="4:5">
      <c r="D490" s="137">
        <v>1.3837306394375446</v>
      </c>
      <c r="E490">
        <f t="shared" si="9"/>
        <v>1.9185339889443482</v>
      </c>
    </row>
    <row r="491" spans="4:5">
      <c r="D491" s="137">
        <v>1.3842946552997546</v>
      </c>
      <c r="E491">
        <f t="shared" si="9"/>
        <v>1.9230646105629754</v>
      </c>
    </row>
    <row r="492" spans="4:5">
      <c r="D492" s="137">
        <v>1.3846164969677375</v>
      </c>
      <c r="E492">
        <f t="shared" si="9"/>
        <v>1.9256444981214671</v>
      </c>
    </row>
    <row r="493" spans="4:5">
      <c r="D493" s="137">
        <v>1.385114278747551</v>
      </c>
      <c r="E493">
        <f t="shared" si="9"/>
        <v>1.9296269267000792</v>
      </c>
    </row>
    <row r="494" spans="4:5">
      <c r="D494" s="137">
        <v>1.3853866780723365</v>
      </c>
      <c r="E494">
        <f t="shared" si="9"/>
        <v>1.9318021783317736</v>
      </c>
    </row>
    <row r="495" spans="4:5">
      <c r="D495" s="137">
        <v>1.3861225293990174</v>
      </c>
      <c r="E495">
        <f t="shared" si="9"/>
        <v>1.9376639161054829</v>
      </c>
    </row>
    <row r="496" spans="4:5">
      <c r="D496" s="137">
        <v>1.386505381052757</v>
      </c>
      <c r="E496">
        <f t="shared" si="9"/>
        <v>1.9407052844356387</v>
      </c>
    </row>
    <row r="497" spans="4:5">
      <c r="D497" s="137">
        <v>1.3870949576735256</v>
      </c>
      <c r="E497">
        <f t="shared" si="9"/>
        <v>1.9453775062551864</v>
      </c>
    </row>
    <row r="498" spans="4:5">
      <c r="D498" s="137">
        <v>1.3871901108623206</v>
      </c>
      <c r="E498">
        <f t="shared" si="9"/>
        <v>1.9461302668979326</v>
      </c>
    </row>
    <row r="499" spans="4:5">
      <c r="D499" s="137">
        <v>1.3876031876466186</v>
      </c>
      <c r="E499">
        <f t="shared" si="9"/>
        <v>1.9493939145134864</v>
      </c>
    </row>
    <row r="500" spans="4:5">
      <c r="D500" s="137">
        <v>1.3876031876466186</v>
      </c>
      <c r="E500">
        <f t="shared" si="9"/>
        <v>1.9493939145134864</v>
      </c>
    </row>
    <row r="501" spans="4:5">
      <c r="D501" s="137">
        <v>1.3886327078344038</v>
      </c>
      <c r="E501">
        <f t="shared" si="9"/>
        <v>1.957497840484423</v>
      </c>
    </row>
    <row r="502" spans="4:5">
      <c r="D502" s="137">
        <v>1.3886644255640022</v>
      </c>
      <c r="E502">
        <f t="shared" si="9"/>
        <v>1.9577468192363199</v>
      </c>
    </row>
    <row r="503" spans="4:5">
      <c r="D503" s="137">
        <v>1.388948765681107</v>
      </c>
      <c r="E503">
        <f t="shared" si="9"/>
        <v>1.9599769855267539</v>
      </c>
    </row>
    <row r="504" spans="4:5">
      <c r="D504" s="137">
        <v>1.389137952609417</v>
      </c>
      <c r="E504">
        <f t="shared" si="9"/>
        <v>1.9614589815308685</v>
      </c>
    </row>
    <row r="505" spans="4:5">
      <c r="D505" s="137">
        <v>1.3894058741370827</v>
      </c>
      <c r="E505">
        <f t="shared" si="9"/>
        <v>1.9635551981533814</v>
      </c>
    </row>
    <row r="506" spans="4:5">
      <c r="D506" s="137">
        <v>1.3896107333553118</v>
      </c>
      <c r="E506">
        <f t="shared" si="9"/>
        <v>1.9651559933866394</v>
      </c>
    </row>
    <row r="507" spans="4:5">
      <c r="D507" s="137">
        <v>1.3901139258066451</v>
      </c>
      <c r="E507">
        <f t="shared" si="9"/>
        <v>1.9690805191492022</v>
      </c>
    </row>
    <row r="508" spans="4:5">
      <c r="D508" s="137">
        <v>1.3904749481994259</v>
      </c>
      <c r="E508">
        <f t="shared" si="9"/>
        <v>1.971889630846684</v>
      </c>
    </row>
    <row r="509" spans="4:5">
      <c r="D509" s="137">
        <v>1.3907257048381325</v>
      </c>
      <c r="E509">
        <f t="shared" si="9"/>
        <v>1.9738375025058346</v>
      </c>
    </row>
    <row r="510" spans="4:5">
      <c r="D510" s="137">
        <v>1.3911014666464325</v>
      </c>
      <c r="E510">
        <f t="shared" si="9"/>
        <v>1.9767513746257777</v>
      </c>
    </row>
    <row r="511" spans="4:5">
      <c r="D511" s="137">
        <v>1.3915705158947276</v>
      </c>
      <c r="E511">
        <f t="shared" si="9"/>
        <v>1.9803801193277986</v>
      </c>
    </row>
    <row r="512" spans="4:5">
      <c r="D512" s="137">
        <v>1.3915861881846467</v>
      </c>
      <c r="E512">
        <f t="shared" si="9"/>
        <v>1.9805012017969261</v>
      </c>
    </row>
    <row r="513" spans="4:5">
      <c r="D513" s="137">
        <v>1.3916641764844826</v>
      </c>
      <c r="E513">
        <f t="shared" si="9"/>
        <v>1.9811035726707629</v>
      </c>
    </row>
    <row r="514" spans="4:5">
      <c r="D514" s="137">
        <v>1.3926302612130712</v>
      </c>
      <c r="E514">
        <f t="shared" si="9"/>
        <v>1.9885434507750754</v>
      </c>
    </row>
    <row r="515" spans="4:5">
      <c r="D515" s="137">
        <v>1.3926769049330687</v>
      </c>
      <c r="E515">
        <f t="shared" ref="E515:E578" si="10">_xlfn.NORM.DIST(D515,$B$2,$B$4,FALSE)</f>
        <v>1.9889016190021878</v>
      </c>
    </row>
    <row r="516" spans="4:5">
      <c r="D516" s="137">
        <v>1.3927078763631471</v>
      </c>
      <c r="E516">
        <f t="shared" si="10"/>
        <v>1.9891393895756364</v>
      </c>
    </row>
    <row r="517" spans="4:5">
      <c r="D517" s="137">
        <v>1.3931582681234431</v>
      </c>
      <c r="E517">
        <f t="shared" si="10"/>
        <v>1.9925922835266663</v>
      </c>
    </row>
    <row r="518" spans="4:5">
      <c r="D518" s="137">
        <v>1.393499513578945</v>
      </c>
      <c r="E518">
        <f t="shared" si="10"/>
        <v>1.9952024000460082</v>
      </c>
    </row>
    <row r="519" spans="4:5">
      <c r="D519" s="137">
        <v>1.3936855287342951</v>
      </c>
      <c r="E519">
        <f t="shared" si="10"/>
        <v>1.9966229959595339</v>
      </c>
    </row>
    <row r="520" spans="4:5">
      <c r="D520" s="137">
        <v>1.3939485993150811</v>
      </c>
      <c r="E520">
        <f t="shared" si="10"/>
        <v>1.9986294068491226</v>
      </c>
    </row>
    <row r="521" spans="4:5">
      <c r="D521" s="137">
        <v>1.3943349958915405</v>
      </c>
      <c r="E521">
        <f t="shared" si="10"/>
        <v>2.0015707430212961</v>
      </c>
    </row>
    <row r="522" spans="4:5">
      <c r="D522" s="137">
        <v>1.3945049656072115</v>
      </c>
      <c r="E522">
        <f t="shared" si="10"/>
        <v>2.0028624444092071</v>
      </c>
    </row>
    <row r="523" spans="4:5">
      <c r="D523" s="137">
        <v>1.3946128058878458</v>
      </c>
      <c r="E523">
        <f t="shared" si="10"/>
        <v>2.0036813049017432</v>
      </c>
    </row>
    <row r="524" spans="4:5">
      <c r="D524" s="137">
        <v>1.3947053470283208</v>
      </c>
      <c r="E524">
        <f t="shared" si="10"/>
        <v>2.0043835717696474</v>
      </c>
    </row>
    <row r="525" spans="4:5">
      <c r="D525" s="137">
        <v>1.3947671033135975</v>
      </c>
      <c r="E525">
        <f t="shared" si="10"/>
        <v>2.0048520039104458</v>
      </c>
    </row>
    <row r="526" spans="4:5">
      <c r="D526" s="137">
        <v>1.3948288595988743</v>
      </c>
      <c r="E526">
        <f t="shared" si="10"/>
        <v>2.0053202615639569</v>
      </c>
    </row>
    <row r="527" spans="4:5">
      <c r="D527" s="137">
        <v>1.3952139501511738</v>
      </c>
      <c r="E527">
        <f t="shared" si="10"/>
        <v>2.0082362051100735</v>
      </c>
    </row>
    <row r="528" spans="4:5">
      <c r="D528" s="137">
        <v>1.3954600424178807</v>
      </c>
      <c r="E528">
        <f t="shared" si="10"/>
        <v>2.0100960638382857</v>
      </c>
    </row>
    <row r="529" spans="4:5">
      <c r="D529" s="137">
        <v>1.3955523969834758</v>
      </c>
      <c r="E529">
        <f t="shared" si="10"/>
        <v>2.0107933172317072</v>
      </c>
    </row>
    <row r="530" spans="4:5">
      <c r="D530" s="137">
        <v>1.3956137801189925</v>
      </c>
      <c r="E530">
        <f t="shared" si="10"/>
        <v>2.0112565256715418</v>
      </c>
    </row>
    <row r="531" spans="4:5">
      <c r="D531" s="137">
        <v>1.3957520321050652</v>
      </c>
      <c r="E531">
        <f t="shared" si="10"/>
        <v>2.0122991603934368</v>
      </c>
    </row>
    <row r="532" spans="4:5">
      <c r="D532" s="137">
        <v>1.3959977512220121</v>
      </c>
      <c r="E532">
        <f t="shared" si="10"/>
        <v>2.0141500705317554</v>
      </c>
    </row>
    <row r="533" spans="4:5">
      <c r="D533" s="137">
        <v>1.396074433497688</v>
      </c>
      <c r="E533">
        <f t="shared" si="10"/>
        <v>2.0147271132064724</v>
      </c>
    </row>
    <row r="534" spans="4:5">
      <c r="D534" s="137">
        <v>1.3963352651799141</v>
      </c>
      <c r="E534">
        <f t="shared" si="10"/>
        <v>2.0166878426080457</v>
      </c>
    </row>
    <row r="535" spans="4:5">
      <c r="D535" s="137">
        <v>1.3964423591610284</v>
      </c>
      <c r="E535">
        <f t="shared" si="10"/>
        <v>2.0174919684281494</v>
      </c>
    </row>
    <row r="536" spans="4:5">
      <c r="D536" s="137">
        <v>1.3967181168336538</v>
      </c>
      <c r="E536">
        <f t="shared" si="10"/>
        <v>2.0195600401983191</v>
      </c>
    </row>
    <row r="537" spans="4:5">
      <c r="D537" s="137">
        <v>1.3969629030762007</v>
      </c>
      <c r="E537">
        <f t="shared" si="10"/>
        <v>2.0213928330957454</v>
      </c>
    </row>
    <row r="538" spans="4:5">
      <c r="D538" s="137">
        <v>1.3976804700646426</v>
      </c>
      <c r="E538">
        <f t="shared" si="10"/>
        <v>2.0267490939776578</v>
      </c>
    </row>
    <row r="539" spans="4:5">
      <c r="D539" s="137">
        <v>1.3977259943353602</v>
      </c>
      <c r="E539">
        <f t="shared" si="10"/>
        <v>2.0270880798446345</v>
      </c>
    </row>
    <row r="540" spans="4:5">
      <c r="D540" s="137">
        <v>1.3983200487532486</v>
      </c>
      <c r="E540">
        <f t="shared" si="10"/>
        <v>2.0315024389943064</v>
      </c>
    </row>
    <row r="541" spans="4:5">
      <c r="D541" s="137">
        <v>1.3987152143490675</v>
      </c>
      <c r="E541">
        <f t="shared" si="10"/>
        <v>2.0344294341604527</v>
      </c>
    </row>
    <row r="542" spans="4:5">
      <c r="D542" s="137">
        <v>1.3987454394796259</v>
      </c>
      <c r="E542">
        <f t="shared" si="10"/>
        <v>2.0346529998610259</v>
      </c>
    </row>
    <row r="543" spans="4:5">
      <c r="D543" s="137">
        <v>1.3988215620306619</v>
      </c>
      <c r="E543">
        <f t="shared" si="10"/>
        <v>2.0352158572086259</v>
      </c>
    </row>
    <row r="544" spans="4:5">
      <c r="D544" s="137">
        <v>1.3992006821868017</v>
      </c>
      <c r="E544">
        <f t="shared" si="10"/>
        <v>2.0380148972370482</v>
      </c>
    </row>
    <row r="545" spans="4:5">
      <c r="D545" s="137">
        <v>1.399382779269672</v>
      </c>
      <c r="E545">
        <f t="shared" si="10"/>
        <v>2.0393568171421501</v>
      </c>
    </row>
    <row r="546" spans="4:5">
      <c r="D546" s="137">
        <v>1.3994130044002304</v>
      </c>
      <c r="E546">
        <f t="shared" si="10"/>
        <v>2.0395793963437954</v>
      </c>
    </row>
    <row r="547" spans="4:5">
      <c r="D547" s="137">
        <v>1.3996551785944575</v>
      </c>
      <c r="E547">
        <f t="shared" si="10"/>
        <v>2.0413611551743647</v>
      </c>
    </row>
    <row r="548" spans="4:5">
      <c r="D548" s="137">
        <v>1.400305205476343</v>
      </c>
      <c r="E548">
        <f t="shared" si="10"/>
        <v>2.0461292963425781</v>
      </c>
    </row>
    <row r="549" spans="4:5">
      <c r="D549" s="137">
        <v>1.400380581727859</v>
      </c>
      <c r="E549">
        <f t="shared" si="10"/>
        <v>2.0466808462227188</v>
      </c>
    </row>
    <row r="550" spans="4:5">
      <c r="D550" s="137">
        <v>1.4004410319889757</v>
      </c>
      <c r="E550">
        <f t="shared" si="10"/>
        <v>2.0471229736915193</v>
      </c>
    </row>
    <row r="551" spans="4:5">
      <c r="D551" s="137">
        <v>1.4006824598836829</v>
      </c>
      <c r="E551">
        <f t="shared" si="10"/>
        <v>2.0488869348525474</v>
      </c>
    </row>
    <row r="552" spans="4:5">
      <c r="D552" s="137">
        <v>1.4009686657495877</v>
      </c>
      <c r="E552">
        <f t="shared" si="10"/>
        <v>2.0509742796140773</v>
      </c>
    </row>
    <row r="553" spans="4:5">
      <c r="D553" s="137">
        <v>1.4010440420011037</v>
      </c>
      <c r="E553">
        <f t="shared" si="10"/>
        <v>2.0515233262425041</v>
      </c>
    </row>
    <row r="554" spans="4:5">
      <c r="D554" s="137">
        <v>1.4011041191124605</v>
      </c>
      <c r="E554">
        <f t="shared" si="10"/>
        <v>2.051960727977713</v>
      </c>
    </row>
    <row r="555" spans="4:5">
      <c r="D555" s="137">
        <v>1.4014653280801213</v>
      </c>
      <c r="E555">
        <f t="shared" si="10"/>
        <v>2.0545867343730349</v>
      </c>
    </row>
    <row r="556" spans="4:5">
      <c r="D556" s="137">
        <v>1.4017657136369053</v>
      </c>
      <c r="E556">
        <f t="shared" si="10"/>
        <v>2.0567655227152901</v>
      </c>
    </row>
    <row r="557" spans="4:5">
      <c r="D557" s="137">
        <v>1.4019910960919333</v>
      </c>
      <c r="E557">
        <f t="shared" si="10"/>
        <v>2.058397279421218</v>
      </c>
    </row>
    <row r="558" spans="4:5">
      <c r="D558" s="137">
        <v>1.4022310313876005</v>
      </c>
      <c r="E558">
        <f t="shared" si="10"/>
        <v>2.0601315506303459</v>
      </c>
    </row>
    <row r="559" spans="4:5">
      <c r="D559" s="137">
        <v>1.4025306706448646</v>
      </c>
      <c r="E559">
        <f t="shared" si="10"/>
        <v>2.0622932288085485</v>
      </c>
    </row>
    <row r="560" spans="4:5">
      <c r="D560" s="137">
        <v>1.402635525727419</v>
      </c>
      <c r="E560">
        <f t="shared" si="10"/>
        <v>2.0630485927900533</v>
      </c>
    </row>
    <row r="561" spans="4:5">
      <c r="D561" s="137">
        <v>1.4027702327907718</v>
      </c>
      <c r="E561">
        <f t="shared" si="10"/>
        <v>2.0640181765294909</v>
      </c>
    </row>
    <row r="562" spans="4:5">
      <c r="D562" s="137">
        <v>1.4028299367523687</v>
      </c>
      <c r="E562">
        <f t="shared" si="10"/>
        <v>2.064447609812694</v>
      </c>
    </row>
    <row r="563" spans="4:5">
      <c r="D563" s="137">
        <v>1.4030243477773183</v>
      </c>
      <c r="E563">
        <f t="shared" si="10"/>
        <v>2.0658446765175289</v>
      </c>
    </row>
    <row r="564" spans="4:5">
      <c r="D564" s="137">
        <v>1.4030541997581167</v>
      </c>
      <c r="E564">
        <f t="shared" si="10"/>
        <v>2.0660590242547348</v>
      </c>
    </row>
    <row r="565" spans="4:5">
      <c r="D565" s="137">
        <v>1.4030991643041943</v>
      </c>
      <c r="E565">
        <f t="shared" si="10"/>
        <v>2.0663817984624098</v>
      </c>
    </row>
    <row r="566" spans="4:5">
      <c r="D566" s="137">
        <v>1.4039049812108715</v>
      </c>
      <c r="E566">
        <f t="shared" si="10"/>
        <v>2.0721484711446378</v>
      </c>
    </row>
    <row r="567" spans="4:5">
      <c r="D567" s="137">
        <v>1.4039646851724683</v>
      </c>
      <c r="E567">
        <f t="shared" si="10"/>
        <v>2.0725743825200218</v>
      </c>
    </row>
    <row r="568" spans="4:5">
      <c r="D568" s="137">
        <v>1.4042475326905333</v>
      </c>
      <c r="E568">
        <f t="shared" si="10"/>
        <v>2.0745895961315841</v>
      </c>
    </row>
    <row r="569" spans="4:5">
      <c r="D569" s="137">
        <v>1.4044557502566022</v>
      </c>
      <c r="E569">
        <f t="shared" si="10"/>
        <v>2.0760704023642647</v>
      </c>
    </row>
    <row r="570" spans="4:5">
      <c r="D570" s="137">
        <v>1.404515454218199</v>
      </c>
      <c r="E570">
        <f t="shared" si="10"/>
        <v>2.0764945846270844</v>
      </c>
    </row>
    <row r="571" spans="4:5">
      <c r="D571" s="137">
        <v>1.4047085592189887</v>
      </c>
      <c r="E571">
        <f t="shared" si="10"/>
        <v>2.0778652595527216</v>
      </c>
    </row>
    <row r="572" spans="4:5">
      <c r="D572" s="137">
        <v>1.4050945826456882</v>
      </c>
      <c r="E572">
        <f t="shared" si="10"/>
        <v>2.0805993628170389</v>
      </c>
    </row>
    <row r="573" spans="4:5">
      <c r="D573" s="137">
        <v>1.4051244346264866</v>
      </c>
      <c r="E573">
        <f t="shared" si="10"/>
        <v>2.0808104668429794</v>
      </c>
    </row>
    <row r="574" spans="4:5">
      <c r="D574" s="137">
        <v>1.4055543031499838</v>
      </c>
      <c r="E574">
        <f t="shared" si="10"/>
        <v>2.0838450958279569</v>
      </c>
    </row>
    <row r="575" spans="4:5">
      <c r="D575" s="137">
        <v>1.4060871610072354</v>
      </c>
      <c r="E575">
        <f t="shared" si="10"/>
        <v>2.0875930338668764</v>
      </c>
    </row>
    <row r="576" spans="4:5">
      <c r="D576" s="137">
        <v>1.4061020869976346</v>
      </c>
      <c r="E576">
        <f t="shared" si="10"/>
        <v>2.0876977982379472</v>
      </c>
    </row>
    <row r="577" spans="4:5">
      <c r="D577" s="137">
        <v>1.4061905234907499</v>
      </c>
      <c r="E577">
        <f t="shared" si="10"/>
        <v>2.0883182806206277</v>
      </c>
    </row>
    <row r="578" spans="4:5">
      <c r="D578" s="137">
        <v>1.4065599417531303</v>
      </c>
      <c r="E578">
        <f t="shared" si="10"/>
        <v>2.0909055983154121</v>
      </c>
    </row>
    <row r="579" spans="4:5">
      <c r="D579" s="137">
        <v>1.4066633042366448</v>
      </c>
      <c r="E579">
        <f t="shared" ref="E579:E642" si="11">_xlfn.NORM.DIST(D579,$B$2,$B$4,FALSE)</f>
        <v>2.091628200798322</v>
      </c>
    </row>
    <row r="580" spans="4:5">
      <c r="D580" s="137">
        <v>1.4068256243822361</v>
      </c>
      <c r="E580">
        <f t="shared" si="11"/>
        <v>2.092761802219715</v>
      </c>
    </row>
    <row r="581" spans="4:5">
      <c r="D581" s="137">
        <v>1.4074592326746824</v>
      </c>
      <c r="E581">
        <f t="shared" si="11"/>
        <v>2.0971730052618294</v>
      </c>
    </row>
    <row r="582" spans="4:5">
      <c r="D582" s="137">
        <v>1.4080473166964111</v>
      </c>
      <c r="E582">
        <f t="shared" si="11"/>
        <v>2.1012475600831837</v>
      </c>
    </row>
    <row r="583" spans="4:5">
      <c r="D583" s="137">
        <v>1.4086048024378215</v>
      </c>
      <c r="E583">
        <f t="shared" si="11"/>
        <v>2.105092464788807</v>
      </c>
    </row>
    <row r="584" spans="4:5">
      <c r="D584" s="137">
        <v>1.4091615418797119</v>
      </c>
      <c r="E584">
        <f t="shared" si="11"/>
        <v>2.1089149569301111</v>
      </c>
    </row>
    <row r="585" spans="4:5">
      <c r="D585" s="137">
        <v>1.409234679232668</v>
      </c>
      <c r="E585">
        <f t="shared" si="11"/>
        <v>2.1094158188851511</v>
      </c>
    </row>
    <row r="586" spans="4:5">
      <c r="D586" s="137">
        <v>1.4093955067792194</v>
      </c>
      <c r="E586">
        <f t="shared" si="11"/>
        <v>2.1105161482384287</v>
      </c>
    </row>
    <row r="587" spans="4:5">
      <c r="D587" s="137">
        <v>1.4097169752974423</v>
      </c>
      <c r="E587">
        <f t="shared" si="11"/>
        <v>2.1127111699598089</v>
      </c>
    </row>
    <row r="588" spans="4:5">
      <c r="D588" s="137">
        <v>1.4100089649846268</v>
      </c>
      <c r="E588">
        <f t="shared" si="11"/>
        <v>2.1146998533642223</v>
      </c>
    </row>
    <row r="589" spans="4:5">
      <c r="D589" s="137">
        <v>1.4106649622626719</v>
      </c>
      <c r="E589">
        <f t="shared" si="11"/>
        <v>2.1191500840060153</v>
      </c>
    </row>
    <row r="590" spans="4:5">
      <c r="D590" s="137">
        <v>1.4106795151033111</v>
      </c>
      <c r="E590">
        <f t="shared" si="11"/>
        <v>2.1192485314475316</v>
      </c>
    </row>
    <row r="591" spans="4:5">
      <c r="D591" s="137">
        <v>1.4107813849877857</v>
      </c>
      <c r="E591">
        <f t="shared" si="11"/>
        <v>2.1199373248511972</v>
      </c>
    </row>
    <row r="592" spans="4:5">
      <c r="D592" s="137">
        <v>1.4109560190754564</v>
      </c>
      <c r="E592">
        <f t="shared" si="11"/>
        <v>2.1211167330008762</v>
      </c>
    </row>
    <row r="593" spans="4:5">
      <c r="D593" s="137">
        <v>1.411377305154474</v>
      </c>
      <c r="E593">
        <f t="shared" si="11"/>
        <v>2.1239547315158247</v>
      </c>
    </row>
    <row r="594" spans="4:5">
      <c r="D594" s="137">
        <v>1.4114646221983094</v>
      </c>
      <c r="E594">
        <f t="shared" si="11"/>
        <v>2.124541667114821</v>
      </c>
    </row>
    <row r="595" spans="4:5">
      <c r="D595" s="137">
        <v>1.4118709822869278</v>
      </c>
      <c r="E595">
        <f t="shared" si="11"/>
        <v>2.127267387182465</v>
      </c>
    </row>
    <row r="596" spans="4:5">
      <c r="D596" s="137">
        <v>1.4118709822869278</v>
      </c>
      <c r="E596">
        <f t="shared" si="11"/>
        <v>2.127267387182465</v>
      </c>
    </row>
    <row r="597" spans="4:5">
      <c r="D597" s="137">
        <v>1.4121463668097931</v>
      </c>
      <c r="E597">
        <f t="shared" si="11"/>
        <v>2.129109136379959</v>
      </c>
    </row>
    <row r="598" spans="4:5">
      <c r="D598" s="137">
        <v>1.4129710277793492</v>
      </c>
      <c r="E598">
        <f t="shared" si="11"/>
        <v>2.1345979949535256</v>
      </c>
    </row>
    <row r="599" spans="4:5">
      <c r="D599" s="137">
        <v>1.413202007480777</v>
      </c>
      <c r="E599">
        <f t="shared" si="11"/>
        <v>2.1361282377992494</v>
      </c>
    </row>
    <row r="600" spans="4:5">
      <c r="D600" s="137">
        <v>1.413202007480777</v>
      </c>
      <c r="E600">
        <f t="shared" si="11"/>
        <v>2.1361282377992494</v>
      </c>
    </row>
    <row r="601" spans="4:5">
      <c r="D601" s="137">
        <v>1.4132165603214162</v>
      </c>
      <c r="E601">
        <f t="shared" si="11"/>
        <v>2.1362245455362689</v>
      </c>
    </row>
    <row r="602" spans="4:5">
      <c r="D602" s="137">
        <v>1.413822368956744</v>
      </c>
      <c r="E602">
        <f t="shared" si="11"/>
        <v>2.1402225864650273</v>
      </c>
    </row>
    <row r="603" spans="4:5">
      <c r="D603" s="137">
        <v>1.4138800205946609</v>
      </c>
      <c r="E603">
        <f t="shared" si="11"/>
        <v>2.1406019287890112</v>
      </c>
    </row>
    <row r="604" spans="4:5">
      <c r="D604" s="137">
        <v>1.414254289803921</v>
      </c>
      <c r="E604">
        <f t="shared" si="11"/>
        <v>2.1430597889719025</v>
      </c>
    </row>
    <row r="605" spans="4:5">
      <c r="D605" s="137">
        <v>1.4145278085779864</v>
      </c>
      <c r="E605">
        <f t="shared" si="11"/>
        <v>2.1448507414055373</v>
      </c>
    </row>
    <row r="606" spans="4:5">
      <c r="D606" s="137">
        <v>1.414743302564375</v>
      </c>
      <c r="E606">
        <f t="shared" si="11"/>
        <v>2.1462586130993437</v>
      </c>
    </row>
    <row r="607" spans="4:5">
      <c r="D607" s="137">
        <v>1.4147576688301342</v>
      </c>
      <c r="E607">
        <f t="shared" si="11"/>
        <v>2.1463523724824327</v>
      </c>
    </row>
    <row r="608" spans="4:5">
      <c r="D608" s="137">
        <v>1.414987529082282</v>
      </c>
      <c r="E608">
        <f t="shared" si="11"/>
        <v>2.1478508413375077</v>
      </c>
    </row>
    <row r="609" spans="4:5">
      <c r="D609" s="137">
        <v>1.4152170161846698</v>
      </c>
      <c r="E609">
        <f t="shared" si="11"/>
        <v>2.1493437150225962</v>
      </c>
    </row>
    <row r="610" spans="4:5">
      <c r="D610" s="137">
        <v>1.4152457487161882</v>
      </c>
      <c r="E610">
        <f t="shared" si="11"/>
        <v>2.1495304046708621</v>
      </c>
    </row>
    <row r="611" spans="4:5">
      <c r="D611" s="137">
        <v>1.4152457487161882</v>
      </c>
      <c r="E611">
        <f t="shared" si="11"/>
        <v>2.1495304046708621</v>
      </c>
    </row>
    <row r="612" spans="4:5">
      <c r="D612" s="137">
        <v>1.4152457487161882</v>
      </c>
      <c r="E612">
        <f t="shared" si="11"/>
        <v>2.1495304046708621</v>
      </c>
    </row>
    <row r="613" spans="4:5">
      <c r="D613" s="137">
        <v>1.4154608695528168</v>
      </c>
      <c r="E613">
        <f t="shared" si="11"/>
        <v>2.1509265730851057</v>
      </c>
    </row>
    <row r="614" spans="4:5">
      <c r="D614" s="137">
        <v>1.4156472578579269</v>
      </c>
      <c r="E614">
        <f t="shared" si="11"/>
        <v>2.1521340060576817</v>
      </c>
    </row>
    <row r="615" spans="4:5">
      <c r="D615" s="137">
        <v>1.4157043497712039</v>
      </c>
      <c r="E615">
        <f t="shared" si="11"/>
        <v>2.152503430501024</v>
      </c>
    </row>
    <row r="616" spans="4:5">
      <c r="D616" s="137">
        <v>1.41577599452512</v>
      </c>
      <c r="E616">
        <f t="shared" si="11"/>
        <v>2.1529667430362642</v>
      </c>
    </row>
    <row r="617" spans="4:5">
      <c r="D617" s="137">
        <v>1.4160194747435071</v>
      </c>
      <c r="E617">
        <f t="shared" si="11"/>
        <v>2.1545389582797014</v>
      </c>
    </row>
    <row r="618" spans="4:5">
      <c r="D618" s="137">
        <v>1.4162625818121342</v>
      </c>
      <c r="E618">
        <f t="shared" si="11"/>
        <v>2.1561051745605186</v>
      </c>
    </row>
    <row r="619" spans="4:5">
      <c r="D619" s="137">
        <v>1.4162913143436526</v>
      </c>
      <c r="E619">
        <f t="shared" si="11"/>
        <v>2.1562900463292052</v>
      </c>
    </row>
    <row r="620" spans="4:5">
      <c r="D620" s="137">
        <v>1.4165200551465205</v>
      </c>
      <c r="E620">
        <f t="shared" si="11"/>
        <v>2.1577600240226973</v>
      </c>
    </row>
    <row r="621" spans="4:5">
      <c r="D621" s="137">
        <v>1.4165342348373997</v>
      </c>
      <c r="E621">
        <f t="shared" si="11"/>
        <v>2.1578510432441798</v>
      </c>
    </row>
    <row r="622" spans="4:5">
      <c r="D622" s="137">
        <v>1.4165627807940382</v>
      </c>
      <c r="E622">
        <f t="shared" si="11"/>
        <v>2.1580342420910186</v>
      </c>
    </row>
    <row r="623" spans="4:5">
      <c r="D623" s="137">
        <v>1.4167198768429898</v>
      </c>
      <c r="E623">
        <f t="shared" si="11"/>
        <v>2.1590415438703885</v>
      </c>
    </row>
    <row r="624" spans="4:5">
      <c r="D624" s="137">
        <v>1.4168913391577007</v>
      </c>
      <c r="E624">
        <f t="shared" si="11"/>
        <v>2.1601392398074828</v>
      </c>
    </row>
    <row r="625" spans="4:5">
      <c r="D625" s="137">
        <v>1.4171051539701693</v>
      </c>
      <c r="E625">
        <f t="shared" si="11"/>
        <v>2.1615055513189714</v>
      </c>
    </row>
    <row r="626" spans="4:5">
      <c r="D626" s="137">
        <v>1.4172193377967233</v>
      </c>
      <c r="E626">
        <f t="shared" si="11"/>
        <v>2.1622340551798369</v>
      </c>
    </row>
    <row r="627" spans="4:5">
      <c r="D627" s="137">
        <v>1.417318968782638</v>
      </c>
      <c r="E627">
        <f t="shared" si="11"/>
        <v>2.1628690557378967</v>
      </c>
    </row>
    <row r="628" spans="4:5">
      <c r="D628" s="137">
        <v>1.4175613295517451</v>
      </c>
      <c r="E628">
        <f t="shared" si="11"/>
        <v>2.1644111963576447</v>
      </c>
    </row>
    <row r="629" spans="4:5">
      <c r="D629" s="137">
        <v>1.417675326803419</v>
      </c>
      <c r="E629">
        <f t="shared" si="11"/>
        <v>2.1651353077383004</v>
      </c>
    </row>
    <row r="630" spans="4:5">
      <c r="D630" s="137">
        <v>1.4178174968619714</v>
      </c>
      <c r="E630">
        <f t="shared" si="11"/>
        <v>2.1660372479875325</v>
      </c>
    </row>
    <row r="631" spans="4:5">
      <c r="D631" s="137">
        <v>1.4179598534954039</v>
      </c>
      <c r="E631">
        <f t="shared" si="11"/>
        <v>2.1669391189375271</v>
      </c>
    </row>
    <row r="632" spans="4:5">
      <c r="D632" s="137">
        <v>1.418144749201474</v>
      </c>
      <c r="E632">
        <f t="shared" si="11"/>
        <v>2.1681086125585751</v>
      </c>
    </row>
    <row r="633" spans="4:5">
      <c r="D633" s="137">
        <v>1.418201654539871</v>
      </c>
      <c r="E633">
        <f t="shared" si="11"/>
        <v>2.1684681206120877</v>
      </c>
    </row>
    <row r="634" spans="4:5">
      <c r="D634" s="137">
        <v>1.4185141674638544</v>
      </c>
      <c r="E634">
        <f t="shared" si="11"/>
        <v>2.1704388792563063</v>
      </c>
    </row>
    <row r="635" spans="4:5">
      <c r="D635" s="137">
        <v>1.4185567065364921</v>
      </c>
      <c r="E635">
        <f t="shared" si="11"/>
        <v>2.1707066675571056</v>
      </c>
    </row>
    <row r="636" spans="4:5">
      <c r="D636" s="137">
        <v>1.4189966501035087</v>
      </c>
      <c r="E636">
        <f t="shared" si="11"/>
        <v>2.1734695361039895</v>
      </c>
    </row>
    <row r="637" spans="4:5">
      <c r="D637" s="137">
        <v>1.4191809860849389</v>
      </c>
      <c r="E637">
        <f t="shared" si="11"/>
        <v>2.1746235750623009</v>
      </c>
    </row>
    <row r="638" spans="4:5">
      <c r="D638" s="137">
        <v>1.4191951657758182</v>
      </c>
      <c r="E638">
        <f t="shared" si="11"/>
        <v>2.1747122590220016</v>
      </c>
    </row>
    <row r="639" spans="4:5">
      <c r="D639" s="137">
        <v>1.4194360339458854</v>
      </c>
      <c r="E639">
        <f t="shared" si="11"/>
        <v>2.1762167901608898</v>
      </c>
    </row>
    <row r="640" spans="4:5">
      <c r="D640" s="137">
        <v>1.4196625358501933</v>
      </c>
      <c r="E640">
        <f t="shared" si="11"/>
        <v>2.1776282555363258</v>
      </c>
    </row>
    <row r="641" spans="4:5">
      <c r="D641" s="137">
        <v>1.419931390252259</v>
      </c>
      <c r="E641">
        <f t="shared" si="11"/>
        <v>2.1792994441807227</v>
      </c>
    </row>
    <row r="642" spans="4:5">
      <c r="D642" s="137">
        <v>1.419987735866016</v>
      </c>
      <c r="E642">
        <f t="shared" si="11"/>
        <v>2.1796491074318891</v>
      </c>
    </row>
    <row r="643" spans="4:5">
      <c r="D643" s="137">
        <v>1.4201858783885655</v>
      </c>
      <c r="E643">
        <f t="shared" ref="E643:E706" si="12">_xlfn.NORM.DIST(D643,$B$2,$B$4,FALSE)</f>
        <v>2.1808771219776162</v>
      </c>
    </row>
    <row r="644" spans="4:5">
      <c r="D644" s="137">
        <v>1.4202422240023225</v>
      </c>
      <c r="E644">
        <f t="shared" si="12"/>
        <v>2.1812258770696826</v>
      </c>
    </row>
    <row r="645" spans="4:5">
      <c r="D645" s="137">
        <v>1.4202847630749602</v>
      </c>
      <c r="E645">
        <f t="shared" si="12"/>
        <v>2.1814890422077671</v>
      </c>
    </row>
    <row r="646" spans="4:5">
      <c r="D646" s="137">
        <v>1.4203694680704757</v>
      </c>
      <c r="E646">
        <f t="shared" si="12"/>
        <v>2.182012721975402</v>
      </c>
    </row>
    <row r="647" spans="4:5">
      <c r="D647" s="137">
        <v>1.4206375761730214</v>
      </c>
      <c r="E647">
        <f t="shared" si="12"/>
        <v>2.1836672664288419</v>
      </c>
    </row>
    <row r="648" spans="4:5">
      <c r="D648" s="137">
        <v>1.4206517558639007</v>
      </c>
      <c r="E648">
        <f t="shared" si="12"/>
        <v>2.1837546445608291</v>
      </c>
    </row>
    <row r="649" spans="4:5">
      <c r="D649" s="137">
        <v>1.4206941083616584</v>
      </c>
      <c r="E649">
        <f t="shared" si="12"/>
        <v>2.184015552986144</v>
      </c>
    </row>
    <row r="650" spans="4:5">
      <c r="D650" s="137">
        <v>1.4217504953321622</v>
      </c>
      <c r="E650">
        <f t="shared" si="12"/>
        <v>2.1904862164578351</v>
      </c>
    </row>
    <row r="651" spans="4:5">
      <c r="D651" s="137">
        <v>1.421961511521431</v>
      </c>
      <c r="E651">
        <f t="shared" si="12"/>
        <v>2.1917701625349957</v>
      </c>
    </row>
    <row r="652" spans="4:5">
      <c r="D652" s="137">
        <v>1.4222005139426983</v>
      </c>
      <c r="E652">
        <f t="shared" si="12"/>
        <v>2.1932209229335866</v>
      </c>
    </row>
    <row r="653" spans="4:5">
      <c r="D653" s="137">
        <v>1.4226917656017122</v>
      </c>
      <c r="E653">
        <f t="shared" si="12"/>
        <v>2.1961912425845607</v>
      </c>
    </row>
    <row r="654" spans="4:5">
      <c r="D654" s="137">
        <v>1.423014353569215</v>
      </c>
      <c r="E654">
        <f t="shared" si="12"/>
        <v>2.1981332231583171</v>
      </c>
    </row>
    <row r="655" spans="4:5">
      <c r="D655" s="137">
        <v>1.4232804093480809</v>
      </c>
      <c r="E655">
        <f t="shared" si="12"/>
        <v>2.1997297763157029</v>
      </c>
    </row>
    <row r="656" spans="4:5">
      <c r="D656" s="137">
        <v>1.4242313815113903</v>
      </c>
      <c r="E656">
        <f t="shared" si="12"/>
        <v>2.2053984907736761</v>
      </c>
    </row>
    <row r="657" spans="4:5">
      <c r="D657" s="137">
        <v>1.4248592059825569</v>
      </c>
      <c r="E657">
        <f t="shared" si="12"/>
        <v>2.2091082847951733</v>
      </c>
    </row>
    <row r="658" spans="4:5">
      <c r="D658" s="137">
        <v>1.4250125705339087</v>
      </c>
      <c r="E658">
        <f t="shared" si="12"/>
        <v>2.2100105434340214</v>
      </c>
    </row>
    <row r="659" spans="4:5">
      <c r="D659" s="137">
        <v>1.425082349539025</v>
      </c>
      <c r="E659">
        <f t="shared" si="12"/>
        <v>2.2104205431539636</v>
      </c>
    </row>
    <row r="660" spans="4:5">
      <c r="D660" s="137">
        <v>1.425402512033088</v>
      </c>
      <c r="E660">
        <f t="shared" si="12"/>
        <v>2.2122975662827336</v>
      </c>
    </row>
    <row r="661" spans="4:5">
      <c r="D661" s="137">
        <v>1.4254722910382043</v>
      </c>
      <c r="E661">
        <f t="shared" si="12"/>
        <v>2.2127057548562048</v>
      </c>
    </row>
    <row r="662" spans="4:5">
      <c r="D662" s="137">
        <v>1.4259034655858613</v>
      </c>
      <c r="E662">
        <f t="shared" si="12"/>
        <v>2.2152207991851576</v>
      </c>
    </row>
    <row r="663" spans="4:5">
      <c r="D663" s="137">
        <v>1.4260146642143354</v>
      </c>
      <c r="E663">
        <f t="shared" si="12"/>
        <v>2.2158674041779132</v>
      </c>
    </row>
    <row r="664" spans="4:5">
      <c r="D664" s="137">
        <v>1.4261812755821666</v>
      </c>
      <c r="E664">
        <f t="shared" si="12"/>
        <v>2.2168346751397485</v>
      </c>
    </row>
    <row r="665" spans="4:5">
      <c r="D665" s="137">
        <v>1.4263756866071162</v>
      </c>
      <c r="E665">
        <f t="shared" si="12"/>
        <v>2.2179609822904696</v>
      </c>
    </row>
    <row r="666" spans="4:5">
      <c r="D666" s="137">
        <v>1.426417479380234</v>
      </c>
      <c r="E666">
        <f t="shared" si="12"/>
        <v>2.2182027741093209</v>
      </c>
    </row>
    <row r="667" spans="4:5">
      <c r="D667" s="137">
        <v>1.4264868852355903</v>
      </c>
      <c r="E667">
        <f t="shared" si="12"/>
        <v>2.2186040615976466</v>
      </c>
    </row>
    <row r="668" spans="4:5">
      <c r="D668" s="137">
        <v>1.4266533100285415</v>
      </c>
      <c r="E668">
        <f t="shared" si="12"/>
        <v>2.219564967124906</v>
      </c>
    </row>
    <row r="669" spans="4:5">
      <c r="D669" s="137">
        <v>1.4267921217392541</v>
      </c>
      <c r="E669">
        <f t="shared" si="12"/>
        <v>2.2203650117105664</v>
      </c>
    </row>
    <row r="670" spans="4:5">
      <c r="D670" s="137">
        <v>1.4269585465322052</v>
      </c>
      <c r="E670">
        <f t="shared" si="12"/>
        <v>2.2213224902544</v>
      </c>
    </row>
    <row r="671" spans="4:5">
      <c r="D671" s="137">
        <v>1.4269723530733245</v>
      </c>
      <c r="E671">
        <f t="shared" si="12"/>
        <v>2.2214018382572838</v>
      </c>
    </row>
    <row r="672" spans="4:5">
      <c r="D672" s="137">
        <v>1.4270969850931579</v>
      </c>
      <c r="E672">
        <f t="shared" si="12"/>
        <v>2.2221175313463482</v>
      </c>
    </row>
    <row r="673" spans="4:5">
      <c r="D673" s="137">
        <v>1.4271801974896334</v>
      </c>
      <c r="E673">
        <f t="shared" si="12"/>
        <v>2.2225947890768527</v>
      </c>
    </row>
    <row r="674" spans="4:5">
      <c r="D674" s="137">
        <v>1.427470881152658</v>
      </c>
      <c r="E674">
        <f t="shared" si="12"/>
        <v>2.2242582976077148</v>
      </c>
    </row>
    <row r="675" spans="4:5">
      <c r="D675" s="137">
        <v>1.4281623276579012</v>
      </c>
      <c r="E675">
        <f t="shared" si="12"/>
        <v>2.2281921836978134</v>
      </c>
    </row>
    <row r="676" spans="4:5">
      <c r="D676" s="137">
        <v>1.4288664612549837</v>
      </c>
      <c r="E676">
        <f t="shared" si="12"/>
        <v>2.232164680017255</v>
      </c>
    </row>
    <row r="677" spans="4:5">
      <c r="D677" s="137">
        <v>1.4290455731397742</v>
      </c>
      <c r="E677">
        <f t="shared" si="12"/>
        <v>2.2331697427161847</v>
      </c>
    </row>
    <row r="678" spans="4:5">
      <c r="D678" s="137">
        <v>1.429086992763132</v>
      </c>
      <c r="E678">
        <f t="shared" si="12"/>
        <v>2.2334018491554866</v>
      </c>
    </row>
    <row r="679" spans="4:5">
      <c r="D679" s="137">
        <v>1.4292661046479225</v>
      </c>
      <c r="E679">
        <f t="shared" si="12"/>
        <v>2.2344041919497712</v>
      </c>
    </row>
    <row r="680" spans="4:5">
      <c r="D680" s="137">
        <v>1.4295552957119071</v>
      </c>
      <c r="E680">
        <f t="shared" si="12"/>
        <v>2.2360178857690336</v>
      </c>
    </row>
    <row r="681" spans="4:5">
      <c r="D681" s="137">
        <v>1.4297616475291761</v>
      </c>
      <c r="E681">
        <f t="shared" si="12"/>
        <v>2.2371657999207621</v>
      </c>
    </row>
    <row r="682" spans="4:5">
      <c r="D682" s="137">
        <v>1.4301193115741171</v>
      </c>
      <c r="E682">
        <f t="shared" si="12"/>
        <v>2.2391484590993898</v>
      </c>
    </row>
    <row r="683" spans="4:5">
      <c r="D683" s="137">
        <v>1.4303254768165061</v>
      </c>
      <c r="E683">
        <f t="shared" si="12"/>
        <v>2.2402872701950303</v>
      </c>
    </row>
    <row r="684" spans="4:5">
      <c r="D684" s="137">
        <v>1.4303665232901039</v>
      </c>
      <c r="E684">
        <f t="shared" si="12"/>
        <v>2.2405136488806137</v>
      </c>
    </row>
    <row r="685" spans="4:5">
      <c r="D685" s="137">
        <v>1.4304353694208203</v>
      </c>
      <c r="E685">
        <f t="shared" si="12"/>
        <v>2.2408930842975447</v>
      </c>
    </row>
    <row r="686" spans="4:5">
      <c r="D686" s="137">
        <v>1.4308745666883169</v>
      </c>
      <c r="E686">
        <f t="shared" si="12"/>
        <v>2.243305876490354</v>
      </c>
    </row>
    <row r="687" spans="4:5">
      <c r="D687" s="137">
        <v>1.4309157997367947</v>
      </c>
      <c r="E687">
        <f t="shared" si="12"/>
        <v>2.2435317043447971</v>
      </c>
    </row>
    <row r="688" spans="4:5">
      <c r="D688" s="137">
        <v>1.4309978926839904</v>
      </c>
      <c r="E688">
        <f t="shared" si="12"/>
        <v>2.2439809622940809</v>
      </c>
    </row>
    <row r="689" spans="4:5">
      <c r="D689" s="137">
        <v>1.4312173047428587</v>
      </c>
      <c r="E689">
        <f t="shared" si="12"/>
        <v>2.2451793905217929</v>
      </c>
    </row>
    <row r="690" spans="4:5">
      <c r="D690" s="137">
        <v>1.4312995842649343</v>
      </c>
      <c r="E690">
        <f t="shared" si="12"/>
        <v>2.2456279312504743</v>
      </c>
    </row>
    <row r="691" spans="4:5">
      <c r="D691" s="137">
        <v>1.4316421357445961</v>
      </c>
      <c r="E691">
        <f t="shared" si="12"/>
        <v>2.2474902167367437</v>
      </c>
    </row>
    <row r="692" spans="4:5">
      <c r="D692" s="137">
        <v>1.4316968021844332</v>
      </c>
      <c r="E692">
        <f t="shared" si="12"/>
        <v>2.2477866482718336</v>
      </c>
    </row>
    <row r="693" spans="4:5">
      <c r="D693" s="137">
        <v>1.431888414586183</v>
      </c>
      <c r="E693">
        <f t="shared" si="12"/>
        <v>2.2488240148337075</v>
      </c>
    </row>
    <row r="694" spans="4:5">
      <c r="D694" s="137">
        <v>1.4320662204468135</v>
      </c>
      <c r="E694">
        <f t="shared" si="12"/>
        <v>2.2497843192818214</v>
      </c>
    </row>
    <row r="695" spans="4:5">
      <c r="D695" s="137">
        <v>1.4322714528148026</v>
      </c>
      <c r="E695">
        <f t="shared" si="12"/>
        <v>2.2508899753531009</v>
      </c>
    </row>
    <row r="696" spans="4:5">
      <c r="D696" s="137">
        <v>1.4330770831465998</v>
      </c>
      <c r="E696">
        <f t="shared" si="12"/>
        <v>2.255201337750905</v>
      </c>
    </row>
    <row r="697" spans="4:5">
      <c r="D697" s="137">
        <v>1.433240895891231</v>
      </c>
      <c r="E697">
        <f t="shared" si="12"/>
        <v>2.2560723465530645</v>
      </c>
    </row>
    <row r="698" spans="4:5">
      <c r="D698" s="137">
        <v>1.433786067690562</v>
      </c>
      <c r="E698">
        <f t="shared" si="12"/>
        <v>2.2589572939062132</v>
      </c>
    </row>
    <row r="699" spans="4:5">
      <c r="D699" s="137">
        <v>1.4339901806092712</v>
      </c>
      <c r="E699">
        <f t="shared" si="12"/>
        <v>2.2600319535043063</v>
      </c>
    </row>
    <row r="700" spans="4:5">
      <c r="D700" s="137">
        <v>1.4345342329593223</v>
      </c>
      <c r="E700">
        <f t="shared" si="12"/>
        <v>2.2628818012273362</v>
      </c>
    </row>
    <row r="701" spans="4:5">
      <c r="D701" s="137">
        <v>1.4353626254264782</v>
      </c>
      <c r="E701">
        <f t="shared" si="12"/>
        <v>2.2671801260604729</v>
      </c>
    </row>
    <row r="702" spans="4:5">
      <c r="D702" s="137">
        <v>1.4356339053019838</v>
      </c>
      <c r="E702">
        <f t="shared" si="12"/>
        <v>2.2685769407908092</v>
      </c>
    </row>
    <row r="703" spans="4:5">
      <c r="D703" s="137">
        <v>1.4357965985973351</v>
      </c>
      <c r="E703">
        <f t="shared" si="12"/>
        <v>2.2694120835367104</v>
      </c>
    </row>
    <row r="704" spans="4:5">
      <c r="D704" s="137">
        <v>1.4357965985973351</v>
      </c>
      <c r="E704">
        <f t="shared" si="12"/>
        <v>2.2694120835367104</v>
      </c>
    </row>
    <row r="705" spans="4:5">
      <c r="D705" s="137">
        <v>1.4360133986078836</v>
      </c>
      <c r="E705">
        <f t="shared" si="12"/>
        <v>2.2705219785943833</v>
      </c>
    </row>
    <row r="706" spans="4:5">
      <c r="D706" s="137">
        <v>1.4361895252945942</v>
      </c>
      <c r="E706">
        <f t="shared" si="12"/>
        <v>2.2714211303119822</v>
      </c>
    </row>
    <row r="707" spans="4:5">
      <c r="D707" s="137">
        <v>1.4362029586859535</v>
      </c>
      <c r="E707">
        <f t="shared" ref="E707:E770" si="13">_xlfn.NORM.DIST(D707,$B$2,$B$4,FALSE)</f>
        <v>2.2714896169124006</v>
      </c>
    </row>
    <row r="708" spans="4:5">
      <c r="D708" s="137">
        <v>1.4367443989876847</v>
      </c>
      <c r="E708">
        <f t="shared" si="13"/>
        <v>2.2742390427189378</v>
      </c>
    </row>
    <row r="709" spans="4:5">
      <c r="D709" s="137">
        <v>1.4367712657704033</v>
      </c>
      <c r="E709">
        <f t="shared" si="13"/>
        <v>2.2743749137931251</v>
      </c>
    </row>
    <row r="710" spans="4:5">
      <c r="D710" s="137">
        <v>1.4369201525246353</v>
      </c>
      <c r="E710">
        <f t="shared" si="13"/>
        <v>2.2751269079225094</v>
      </c>
    </row>
    <row r="711" spans="4:5">
      <c r="D711" s="137">
        <v>1.4372712864487767</v>
      </c>
      <c r="E711">
        <f t="shared" si="13"/>
        <v>2.2768939712319725</v>
      </c>
    </row>
    <row r="712" spans="4:5">
      <c r="D712" s="137">
        <v>1.4372712864487767</v>
      </c>
      <c r="E712">
        <f t="shared" si="13"/>
        <v>2.2768939712319725</v>
      </c>
    </row>
    <row r="713" spans="4:5">
      <c r="D713" s="137">
        <v>1.4373929332705302</v>
      </c>
      <c r="E713">
        <f t="shared" si="13"/>
        <v>2.2775040409500424</v>
      </c>
    </row>
    <row r="714" spans="4:5">
      <c r="D714" s="137">
        <v>1.4375007735511645</v>
      </c>
      <c r="E714">
        <f t="shared" si="13"/>
        <v>2.2780439597004603</v>
      </c>
    </row>
    <row r="715" spans="4:5">
      <c r="D715" s="137">
        <v>1.4377033938708337</v>
      </c>
      <c r="E715">
        <f t="shared" si="13"/>
        <v>2.279056093804138</v>
      </c>
    </row>
    <row r="716" spans="4:5">
      <c r="D716" s="137">
        <v>1.438053968070335</v>
      </c>
      <c r="E716">
        <f t="shared" si="13"/>
        <v>2.2808001414484242</v>
      </c>
    </row>
    <row r="717" spans="4:5">
      <c r="D717" s="137">
        <v>1.4388754572669313</v>
      </c>
      <c r="E717">
        <f t="shared" si="13"/>
        <v>2.284851300420776</v>
      </c>
    </row>
    <row r="718" spans="4:5">
      <c r="D718" s="137">
        <v>1.4388888906582906</v>
      </c>
      <c r="E718">
        <f t="shared" si="13"/>
        <v>2.2849171309479055</v>
      </c>
    </row>
    <row r="719" spans="4:5">
      <c r="D719" s="137">
        <v>1.4391713650265956</v>
      </c>
      <c r="E719">
        <f t="shared" si="13"/>
        <v>2.286298292253182</v>
      </c>
    </row>
    <row r="720" spans="4:5">
      <c r="D720" s="137">
        <v>1.4393598056553856</v>
      </c>
      <c r="E720">
        <f t="shared" si="13"/>
        <v>2.2872163708662558</v>
      </c>
    </row>
    <row r="721" spans="4:5">
      <c r="D721" s="137">
        <v>1.439426972612182</v>
      </c>
      <c r="E721">
        <f t="shared" si="13"/>
        <v>2.2875429668282101</v>
      </c>
    </row>
    <row r="722" spans="4:5">
      <c r="D722" s="137">
        <v>1.4395075729603377</v>
      </c>
      <c r="E722">
        <f t="shared" si="13"/>
        <v>2.2879344376674795</v>
      </c>
    </row>
    <row r="723" spans="4:5">
      <c r="D723" s="137">
        <v>1.4396687736566491</v>
      </c>
      <c r="E723">
        <f t="shared" si="13"/>
        <v>2.288715924182346</v>
      </c>
    </row>
    <row r="724" spans="4:5">
      <c r="D724" s="137">
        <v>1.4402460363353384</v>
      </c>
      <c r="E724">
        <f t="shared" si="13"/>
        <v>2.2914984973979595</v>
      </c>
    </row>
    <row r="725" spans="4:5">
      <c r="D725" s="137">
        <v>1.4402861499345363</v>
      </c>
      <c r="E725">
        <f t="shared" si="13"/>
        <v>2.2916909286059943</v>
      </c>
    </row>
    <row r="726" spans="4:5">
      <c r="D726" s="137">
        <v>1.4406749719844356</v>
      </c>
      <c r="E726">
        <f t="shared" si="13"/>
        <v>2.2935499051769765</v>
      </c>
    </row>
    <row r="727" spans="4:5">
      <c r="D727" s="137">
        <v>1.4407419523663521</v>
      </c>
      <c r="E727">
        <f t="shared" si="13"/>
        <v>2.2938689936698302</v>
      </c>
    </row>
    <row r="728" spans="4:5">
      <c r="D728" s="137">
        <v>1.4410098738940178</v>
      </c>
      <c r="E728">
        <f t="shared" si="13"/>
        <v>2.295141968505042</v>
      </c>
    </row>
    <row r="729" spans="4:5">
      <c r="D729" s="137">
        <v>1.4416524377807036</v>
      </c>
      <c r="E729">
        <f t="shared" si="13"/>
        <v>2.2981728993723838</v>
      </c>
    </row>
    <row r="730" spans="4:5">
      <c r="D730" s="137">
        <v>1.4417860253947765</v>
      </c>
      <c r="E730">
        <f t="shared" si="13"/>
        <v>2.2987991007594903</v>
      </c>
    </row>
    <row r="731" spans="4:5">
      <c r="D731" s="137">
        <v>1.4417994587861358</v>
      </c>
      <c r="E731">
        <f t="shared" si="13"/>
        <v>2.2988619958850647</v>
      </c>
    </row>
    <row r="732" spans="4:5">
      <c r="D732" s="137">
        <v>1.4422537686189116</v>
      </c>
      <c r="E732">
        <f t="shared" si="13"/>
        <v>2.3009810102743988</v>
      </c>
    </row>
    <row r="733" spans="4:5">
      <c r="D733" s="137">
        <v>1.4428543531575997</v>
      </c>
      <c r="E733">
        <f t="shared" si="13"/>
        <v>2.3037581884212721</v>
      </c>
    </row>
    <row r="734" spans="4:5">
      <c r="D734" s="137">
        <v>1.4430144344046312</v>
      </c>
      <c r="E734">
        <f t="shared" si="13"/>
        <v>2.3044937803034888</v>
      </c>
    </row>
    <row r="735" spans="4:5">
      <c r="D735" s="137">
        <v>1.4434409445802885</v>
      </c>
      <c r="E735">
        <f t="shared" si="13"/>
        <v>2.3064440781923996</v>
      </c>
    </row>
    <row r="736" spans="4:5">
      <c r="D736" s="137">
        <v>1.4435741590446014</v>
      </c>
      <c r="E736">
        <f t="shared" si="13"/>
        <v>2.3070503710569659</v>
      </c>
    </row>
    <row r="737" spans="4:5">
      <c r="D737" s="137">
        <v>1.4437073735089143</v>
      </c>
      <c r="E737">
        <f t="shared" si="13"/>
        <v>2.3076553027934934</v>
      </c>
    </row>
    <row r="738" spans="4:5">
      <c r="D738" s="137">
        <v>1.4438137211905087</v>
      </c>
      <c r="E738">
        <f t="shared" si="13"/>
        <v>2.3081372536776317</v>
      </c>
    </row>
    <row r="739" spans="4:5">
      <c r="D739" s="137">
        <v>1.4446518155514241</v>
      </c>
      <c r="E739">
        <f t="shared" si="13"/>
        <v>2.3119049164601515</v>
      </c>
    </row>
    <row r="740" spans="4:5">
      <c r="D740" s="137">
        <v>1.444691742575742</v>
      </c>
      <c r="E740">
        <f t="shared" si="13"/>
        <v>2.3120830575180755</v>
      </c>
    </row>
    <row r="741" spans="4:5">
      <c r="D741" s="137">
        <v>1.444784656865977</v>
      </c>
      <c r="E741">
        <f t="shared" si="13"/>
        <v>2.3124971333301052</v>
      </c>
    </row>
    <row r="742" spans="4:5">
      <c r="D742" s="137">
        <v>1.4449174981805299</v>
      </c>
      <c r="E742">
        <f t="shared" si="13"/>
        <v>2.3130879863452143</v>
      </c>
    </row>
    <row r="743" spans="4:5">
      <c r="D743" s="137">
        <v>1.4452096744425944</v>
      </c>
      <c r="E743">
        <f t="shared" si="13"/>
        <v>2.3143827268114019</v>
      </c>
    </row>
    <row r="744" spans="4:5">
      <c r="D744" s="137">
        <v>1.4453025887328295</v>
      </c>
      <c r="E744">
        <f t="shared" si="13"/>
        <v>2.3147930784682993</v>
      </c>
    </row>
    <row r="745" spans="4:5">
      <c r="D745" s="137">
        <v>1.4453555759987466</v>
      </c>
      <c r="E745">
        <f t="shared" si="13"/>
        <v>2.3150267945943019</v>
      </c>
    </row>
    <row r="746" spans="4:5">
      <c r="D746" s="137">
        <v>1.4456738727440097</v>
      </c>
      <c r="E746">
        <f t="shared" si="13"/>
        <v>2.3164261518751585</v>
      </c>
    </row>
    <row r="747" spans="4:5">
      <c r="D747" s="137">
        <v>1.4457932806672034</v>
      </c>
      <c r="E747">
        <f t="shared" si="13"/>
        <v>2.3169490859801973</v>
      </c>
    </row>
    <row r="748" spans="4:5">
      <c r="D748" s="137">
        <v>1.4458727615660791</v>
      </c>
      <c r="E748">
        <f t="shared" si="13"/>
        <v>2.3172965493873119</v>
      </c>
    </row>
    <row r="749" spans="4:5">
      <c r="D749" s="137">
        <v>1.4462173653694208</v>
      </c>
      <c r="E749">
        <f t="shared" si="13"/>
        <v>2.3187973516180715</v>
      </c>
    </row>
    <row r="750" spans="4:5">
      <c r="D750" s="137">
        <v>1.446270352635338</v>
      </c>
      <c r="E750">
        <f t="shared" si="13"/>
        <v>2.3190272984827129</v>
      </c>
    </row>
    <row r="751" spans="4:5">
      <c r="D751" s="137">
        <v>1.4463365867177345</v>
      </c>
      <c r="E751">
        <f t="shared" si="13"/>
        <v>2.3193144241305648</v>
      </c>
    </row>
    <row r="752" spans="4:5">
      <c r="D752" s="137">
        <v>1.4464690548825274</v>
      </c>
      <c r="E752">
        <f t="shared" si="13"/>
        <v>2.3198876484668425</v>
      </c>
    </row>
    <row r="753" spans="4:5">
      <c r="D753" s="137">
        <v>1.4465750294143618</v>
      </c>
      <c r="E753">
        <f t="shared" si="13"/>
        <v>2.3203452414557648</v>
      </c>
    </row>
    <row r="754" spans="4:5">
      <c r="D754" s="137">
        <v>1.4466145832889197</v>
      </c>
      <c r="E754">
        <f t="shared" si="13"/>
        <v>2.3205158083619168</v>
      </c>
    </row>
    <row r="755" spans="4:5">
      <c r="D755" s="137">
        <v>1.4470909089575343</v>
      </c>
      <c r="E755">
        <f t="shared" si="13"/>
        <v>2.3225602421266025</v>
      </c>
    </row>
    <row r="756" spans="4:5">
      <c r="D756" s="137">
        <v>1.4471041557740136</v>
      </c>
      <c r="E756">
        <f t="shared" si="13"/>
        <v>2.3226168447878273</v>
      </c>
    </row>
    <row r="757" spans="4:5">
      <c r="D757" s="137">
        <v>1.4471174025904929</v>
      </c>
      <c r="E757">
        <f t="shared" si="13"/>
        <v>2.3226734336955119</v>
      </c>
    </row>
    <row r="758" spans="4:5">
      <c r="D758" s="137">
        <v>1.447209943730968</v>
      </c>
      <c r="E758">
        <f t="shared" si="13"/>
        <v>2.323068375285199</v>
      </c>
    </row>
    <row r="759" spans="4:5">
      <c r="D759" s="137">
        <v>1.4476592160419841</v>
      </c>
      <c r="E759">
        <f t="shared" si="13"/>
        <v>2.3249762010176829</v>
      </c>
    </row>
    <row r="760" spans="4:5">
      <c r="D760" s="137">
        <v>1.4478706053810129</v>
      </c>
      <c r="E760">
        <f t="shared" si="13"/>
        <v>2.3258683733076175</v>
      </c>
    </row>
    <row r="761" spans="4:5">
      <c r="D761" s="137">
        <v>1.4482269634017939</v>
      </c>
      <c r="E761">
        <f t="shared" si="13"/>
        <v>2.3273644218942757</v>
      </c>
    </row>
    <row r="762" spans="4:5">
      <c r="D762" s="137">
        <v>1.448319317967389</v>
      </c>
      <c r="E762">
        <f t="shared" si="13"/>
        <v>2.3277505074793075</v>
      </c>
    </row>
    <row r="763" spans="4:5">
      <c r="D763" s="137">
        <v>1.4487939644620837</v>
      </c>
      <c r="E763">
        <f t="shared" si="13"/>
        <v>2.3297241243232696</v>
      </c>
    </row>
    <row r="764" spans="4:5">
      <c r="D764" s="137">
        <v>1.4488202715201624</v>
      </c>
      <c r="E764">
        <f t="shared" si="13"/>
        <v>2.3298329900311714</v>
      </c>
    </row>
    <row r="765" spans="4:5">
      <c r="D765" s="137">
        <v>1.4494132064887708</v>
      </c>
      <c r="E765">
        <f t="shared" si="13"/>
        <v>2.3322721673296605</v>
      </c>
    </row>
    <row r="766" spans="4:5">
      <c r="D766" s="137">
        <v>1.449597355895321</v>
      </c>
      <c r="E766">
        <f t="shared" si="13"/>
        <v>2.3330240308948547</v>
      </c>
    </row>
    <row r="767" spans="4:5">
      <c r="D767" s="137">
        <v>1.4499789015249007</v>
      </c>
      <c r="E767">
        <f t="shared" si="13"/>
        <v>2.3345732603914673</v>
      </c>
    </row>
    <row r="768" spans="4:5">
      <c r="D768" s="137">
        <v>1.4503470137631211</v>
      </c>
      <c r="E768">
        <f t="shared" si="13"/>
        <v>2.3360569522209427</v>
      </c>
    </row>
    <row r="769" spans="4:5">
      <c r="D769" s="137">
        <v>1.4503602605796004</v>
      </c>
      <c r="E769">
        <f t="shared" si="13"/>
        <v>2.3361101425538791</v>
      </c>
    </row>
    <row r="770" spans="4:5">
      <c r="D770" s="137">
        <v>1.4504520554205556</v>
      </c>
      <c r="E770">
        <f t="shared" si="13"/>
        <v>2.3364783441224084</v>
      </c>
    </row>
    <row r="771" spans="4:5">
      <c r="D771" s="137">
        <v>1.4508330413254953</v>
      </c>
      <c r="E771">
        <f t="shared" ref="E771:E834" si="14">_xlfn.NORM.DIST(D771,$B$2,$B$4,FALSE)</f>
        <v>2.3379993326470747</v>
      </c>
    </row>
    <row r="772" spans="4:5">
      <c r="D772" s="137">
        <v>1.4510431246403641</v>
      </c>
      <c r="E772">
        <f t="shared" si="14"/>
        <v>2.3388330683391767</v>
      </c>
    </row>
    <row r="773" spans="4:5">
      <c r="D773" s="137">
        <v>1.4510957387565213</v>
      </c>
      <c r="E773">
        <f t="shared" si="14"/>
        <v>2.3390413188547341</v>
      </c>
    </row>
    <row r="774" spans="4:5">
      <c r="D774" s="137">
        <v>1.4511481662977985</v>
      </c>
      <c r="E774">
        <f t="shared" si="14"/>
        <v>2.3392486101815697</v>
      </c>
    </row>
    <row r="775" spans="4:5">
      <c r="D775" s="137">
        <v>1.4511875335974764</v>
      </c>
      <c r="E775">
        <f t="shared" si="14"/>
        <v>2.3394041182323608</v>
      </c>
    </row>
    <row r="776" spans="4:5">
      <c r="D776" s="137">
        <v>1.4515942668358548</v>
      </c>
      <c r="E776">
        <f t="shared" si="14"/>
        <v>2.3410035088815797</v>
      </c>
    </row>
    <row r="777" spans="4:5">
      <c r="D777" s="137">
        <v>1.451777669942885</v>
      </c>
      <c r="E777">
        <f t="shared" si="14"/>
        <v>2.3417203544547047</v>
      </c>
    </row>
    <row r="778" spans="4:5">
      <c r="D778" s="137">
        <v>1.4520922351905483</v>
      </c>
      <c r="E778">
        <f t="shared" si="14"/>
        <v>2.3429435554803466</v>
      </c>
    </row>
    <row r="779" spans="4:5">
      <c r="D779" s="137">
        <v>1.4521577229734248</v>
      </c>
      <c r="E779">
        <f t="shared" si="14"/>
        <v>2.3431972053228276</v>
      </c>
    </row>
    <row r="780" spans="4:5">
      <c r="D780" s="137">
        <v>1.4523541863220544</v>
      </c>
      <c r="E780">
        <f t="shared" si="14"/>
        <v>2.3439560802069055</v>
      </c>
    </row>
    <row r="781" spans="4:5">
      <c r="D781" s="137">
        <v>1.4523672465636537</v>
      </c>
      <c r="E781">
        <f t="shared" si="14"/>
        <v>2.3440064173646369</v>
      </c>
    </row>
    <row r="782" spans="4:5">
      <c r="D782" s="137">
        <v>1.4529038359185051</v>
      </c>
      <c r="E782">
        <f t="shared" si="14"/>
        <v>2.3460626447674837</v>
      </c>
    </row>
    <row r="783" spans="4:5">
      <c r="D783" s="137">
        <v>1.4532047811999291</v>
      </c>
      <c r="E783">
        <f t="shared" si="14"/>
        <v>2.3472056829001602</v>
      </c>
    </row>
    <row r="784" spans="4:5">
      <c r="D784" s="137">
        <v>1.4532178414415284</v>
      </c>
      <c r="E784">
        <f t="shared" si="14"/>
        <v>2.3472551216821724</v>
      </c>
    </row>
    <row r="785" spans="4:5">
      <c r="D785" s="137">
        <v>1.4534792328483945</v>
      </c>
      <c r="E785">
        <f t="shared" si="14"/>
        <v>2.3482416951991456</v>
      </c>
    </row>
    <row r="786" spans="4:5">
      <c r="D786" s="137">
        <v>1.4536490159891855</v>
      </c>
      <c r="E786">
        <f t="shared" si="14"/>
        <v>2.3488795401761258</v>
      </c>
    </row>
    <row r="787" spans="4:5">
      <c r="D787" s="137">
        <v>1.4539104073960516</v>
      </c>
      <c r="E787">
        <f t="shared" si="14"/>
        <v>2.3498569631265829</v>
      </c>
    </row>
    <row r="788" spans="4:5">
      <c r="D788" s="137">
        <v>1.4539626483624488</v>
      </c>
      <c r="E788">
        <f t="shared" si="14"/>
        <v>2.3500516421315867</v>
      </c>
    </row>
    <row r="789" spans="4:5">
      <c r="D789" s="137">
        <v>1.4542889678275515</v>
      </c>
      <c r="E789">
        <f t="shared" si="14"/>
        <v>2.3512626635397589</v>
      </c>
    </row>
    <row r="790" spans="4:5">
      <c r="D790" s="137">
        <v>1.45469327559249</v>
      </c>
      <c r="E790">
        <f t="shared" si="14"/>
        <v>2.3527510747376503</v>
      </c>
    </row>
    <row r="791" spans="4:5">
      <c r="D791" s="137">
        <v>1.454993287999514</v>
      </c>
      <c r="E791">
        <f t="shared" si="14"/>
        <v>2.3538469102373223</v>
      </c>
    </row>
    <row r="792" spans="4:5">
      <c r="D792" s="137">
        <v>1.4550584026326305</v>
      </c>
      <c r="E792">
        <f t="shared" si="14"/>
        <v>2.3540837785282429</v>
      </c>
    </row>
    <row r="793" spans="4:5">
      <c r="D793" s="137">
        <v>1.4551757582321443</v>
      </c>
      <c r="E793">
        <f t="shared" si="14"/>
        <v>2.3545098086017511</v>
      </c>
    </row>
    <row r="794" spans="4:5">
      <c r="D794" s="137">
        <v>1.4556576811471587</v>
      </c>
      <c r="E794">
        <f t="shared" si="14"/>
        <v>2.3562474842811825</v>
      </c>
    </row>
    <row r="795" spans="4:5">
      <c r="D795" s="137">
        <v>1.455800784080111</v>
      </c>
      <c r="E795">
        <f t="shared" si="14"/>
        <v>2.3567598059518788</v>
      </c>
    </row>
    <row r="796" spans="4:5">
      <c r="D796" s="137">
        <v>1.4559050794380255</v>
      </c>
      <c r="E796">
        <f t="shared" si="14"/>
        <v>2.3571321340165077</v>
      </c>
    </row>
    <row r="797" spans="4:5">
      <c r="D797" s="137">
        <v>1.4559179531047448</v>
      </c>
      <c r="E797">
        <f t="shared" si="14"/>
        <v>2.3571780302923226</v>
      </c>
    </row>
    <row r="798" spans="4:5">
      <c r="D798" s="137">
        <v>1.4560220618877793</v>
      </c>
      <c r="E798">
        <f t="shared" si="14"/>
        <v>2.3575486912854595</v>
      </c>
    </row>
    <row r="799" spans="4:5">
      <c r="D799" s="137">
        <v>1.4564644309282357</v>
      </c>
      <c r="E799">
        <f t="shared" si="14"/>
        <v>2.3591137310493138</v>
      </c>
    </row>
    <row r="800" spans="4:5">
      <c r="D800" s="137">
        <v>1.4566465280111061</v>
      </c>
      <c r="E800">
        <f t="shared" si="14"/>
        <v>2.3597532853381087</v>
      </c>
    </row>
    <row r="801" spans="4:5">
      <c r="D801" s="137">
        <v>1.4575948881260956</v>
      </c>
      <c r="E801">
        <f t="shared" si="14"/>
        <v>2.3630398514941788</v>
      </c>
    </row>
    <row r="802" spans="4:5">
      <c r="D802" s="137">
        <v>1.4577116840009694</v>
      </c>
      <c r="E802">
        <f t="shared" si="14"/>
        <v>2.3634394685764737</v>
      </c>
    </row>
    <row r="803" spans="4:5">
      <c r="D803" s="137">
        <v>1.457737617909288</v>
      </c>
      <c r="E803">
        <f t="shared" si="14"/>
        <v>2.363528048196113</v>
      </c>
    </row>
    <row r="804" spans="4:5">
      <c r="D804" s="137">
        <v>1.4578934079340797</v>
      </c>
      <c r="E804">
        <f t="shared" si="14"/>
        <v>2.3640589905620351</v>
      </c>
    </row>
    <row r="805" spans="4:5">
      <c r="D805" s="137">
        <v>1.4581915545923039</v>
      </c>
      <c r="E805">
        <f t="shared" si="14"/>
        <v>2.3650694837218063</v>
      </c>
    </row>
    <row r="806" spans="4:5">
      <c r="D806" s="137">
        <v>1.4586195573670011</v>
      </c>
      <c r="E806">
        <f t="shared" si="14"/>
        <v>2.3665071925030912</v>
      </c>
    </row>
    <row r="807" spans="4:5">
      <c r="D807" s="137">
        <v>1.4587878479087522</v>
      </c>
      <c r="E807">
        <f t="shared" si="14"/>
        <v>2.3670683286934504</v>
      </c>
    </row>
    <row r="808" spans="4:5">
      <c r="D808" s="137">
        <v>1.4588266554837901</v>
      </c>
      <c r="E808">
        <f t="shared" si="14"/>
        <v>2.3671973916380193</v>
      </c>
    </row>
    <row r="809" spans="4:5">
      <c r="D809" s="137">
        <v>1.4589951326004211</v>
      </c>
      <c r="E809">
        <f t="shared" si="14"/>
        <v>2.3677562450784886</v>
      </c>
    </row>
    <row r="810" spans="4:5">
      <c r="D810" s="137">
        <v>1.4593835815005605</v>
      </c>
      <c r="E810">
        <f t="shared" si="14"/>
        <v>2.3690357526076613</v>
      </c>
    </row>
    <row r="811" spans="4:5">
      <c r="D811" s="137">
        <v>1.4594225756504784</v>
      </c>
      <c r="E811">
        <f t="shared" si="14"/>
        <v>2.3691635000995062</v>
      </c>
    </row>
    <row r="812" spans="4:5">
      <c r="D812" s="137">
        <v>1.4594613832255163</v>
      </c>
      <c r="E812">
        <f t="shared" si="14"/>
        <v>2.369290510395663</v>
      </c>
    </row>
    <row r="813" spans="4:5">
      <c r="D813" s="137">
        <v>1.4596035532840688</v>
      </c>
      <c r="E813">
        <f t="shared" si="14"/>
        <v>2.3697547339655936</v>
      </c>
    </row>
    <row r="814" spans="4:5">
      <c r="D814" s="137">
        <v>1.4601339856678806</v>
      </c>
      <c r="E814">
        <f t="shared" si="14"/>
        <v>2.3714718346540447</v>
      </c>
    </row>
    <row r="815" spans="4:5">
      <c r="D815" s="137">
        <v>1.4603925784515468</v>
      </c>
      <c r="E815">
        <f t="shared" si="14"/>
        <v>2.3723004090703861</v>
      </c>
    </row>
    <row r="816" spans="4:5">
      <c r="D816" s="137">
        <v>1.460444259693304</v>
      </c>
      <c r="E816">
        <f t="shared" si="14"/>
        <v>2.3724653328418395</v>
      </c>
    </row>
    <row r="817" spans="4:5">
      <c r="D817" s="137">
        <v>1.460483067268342</v>
      </c>
      <c r="E817">
        <f t="shared" si="14"/>
        <v>2.372589027381701</v>
      </c>
    </row>
    <row r="818" spans="4:5">
      <c r="D818" s="137">
        <v>1.460689792235371</v>
      </c>
      <c r="E818">
        <f t="shared" si="14"/>
        <v>2.3732458110741432</v>
      </c>
    </row>
    <row r="819" spans="4:5">
      <c r="D819" s="137">
        <v>1.4607155395688096</v>
      </c>
      <c r="E819">
        <f t="shared" si="14"/>
        <v>2.3733273616634851</v>
      </c>
    </row>
    <row r="820" spans="4:5">
      <c r="D820" s="137">
        <v>1.4607155395688096</v>
      </c>
      <c r="E820">
        <f t="shared" si="14"/>
        <v>2.3733273616634851</v>
      </c>
    </row>
    <row r="821" spans="4:5">
      <c r="D821" s="137">
        <v>1.4607285998104089</v>
      </c>
      <c r="E821">
        <f t="shared" si="14"/>
        <v>2.3733687066442526</v>
      </c>
    </row>
    <row r="822" spans="4:5">
      <c r="D822" s="137">
        <v>1.4607802810521662</v>
      </c>
      <c r="E822">
        <f t="shared" si="14"/>
        <v>2.373532174271145</v>
      </c>
    </row>
    <row r="823" spans="4:5">
      <c r="D823" s="137">
        <v>1.4608189020523241</v>
      </c>
      <c r="E823">
        <f t="shared" si="14"/>
        <v>2.3736541860579718</v>
      </c>
    </row>
    <row r="824" spans="4:5">
      <c r="D824" s="137">
        <v>1.4608965172024</v>
      </c>
      <c r="E824">
        <f t="shared" si="14"/>
        <v>2.3738990098693589</v>
      </c>
    </row>
    <row r="825" spans="4:5">
      <c r="D825" s="137">
        <v>1.4610256270193531</v>
      </c>
      <c r="E825">
        <f t="shared" si="14"/>
        <v>2.3743051443568444</v>
      </c>
    </row>
    <row r="826" spans="4:5">
      <c r="D826" s="137">
        <v>1.4610513743527918</v>
      </c>
      <c r="E826">
        <f t="shared" si="14"/>
        <v>2.3743859690527018</v>
      </c>
    </row>
    <row r="827" spans="4:5">
      <c r="D827" s="137">
        <v>1.4613226542282973</v>
      </c>
      <c r="E827">
        <f t="shared" si="14"/>
        <v>2.375234170948028</v>
      </c>
    </row>
    <row r="828" spans="4:5">
      <c r="D828" s="137">
        <v>1.4617484181044347</v>
      </c>
      <c r="E828">
        <f t="shared" si="14"/>
        <v>2.3765529102401626</v>
      </c>
    </row>
    <row r="829" spans="4:5">
      <c r="D829" s="137">
        <v>1.4618773413465078</v>
      </c>
      <c r="E829">
        <f t="shared" si="14"/>
        <v>2.3769492192992483</v>
      </c>
    </row>
    <row r="830" spans="4:5">
      <c r="D830" s="137">
        <v>1.4618773413465078</v>
      </c>
      <c r="E830">
        <f t="shared" si="14"/>
        <v>2.3769492192992483</v>
      </c>
    </row>
    <row r="831" spans="4:5">
      <c r="D831" s="137">
        <v>1.4618773413465078</v>
      </c>
      <c r="E831">
        <f t="shared" si="14"/>
        <v>2.3769492192992483</v>
      </c>
    </row>
    <row r="832" spans="4:5">
      <c r="D832" s="137">
        <v>1.4619159623466658</v>
      </c>
      <c r="E832">
        <f t="shared" si="14"/>
        <v>2.3770676672742832</v>
      </c>
    </row>
    <row r="833" spans="4:5">
      <c r="D833" s="137">
        <v>1.461967643588423</v>
      </c>
      <c r="E833">
        <f t="shared" si="14"/>
        <v>2.3772259733928673</v>
      </c>
    </row>
    <row r="834" spans="4:5">
      <c r="D834" s="137">
        <v>1.4623544133146424</v>
      </c>
      <c r="E834">
        <f t="shared" si="14"/>
        <v>2.3784035446390339</v>
      </c>
    </row>
    <row r="835" spans="4:5">
      <c r="D835" s="137">
        <v>1.4623801606480811</v>
      </c>
      <c r="E835">
        <f t="shared" ref="E835:E898" si="15">_xlfn.NORM.DIST(D835,$B$2,$B$4,FALSE)</f>
        <v>2.3784814874999105</v>
      </c>
    </row>
    <row r="836" spans="4:5">
      <c r="D836" s="137">
        <v>1.4626380071322274</v>
      </c>
      <c r="E836">
        <f t="shared" si="15"/>
        <v>2.3792589567437448</v>
      </c>
    </row>
    <row r="837" spans="4:5">
      <c r="D837" s="137">
        <v>1.4626380071322274</v>
      </c>
      <c r="E837">
        <f t="shared" si="15"/>
        <v>2.3792589567437448</v>
      </c>
    </row>
    <row r="838" spans="4:5">
      <c r="D838" s="137">
        <v>1.4627538701327012</v>
      </c>
      <c r="E838">
        <f t="shared" si="15"/>
        <v>2.3796064815494797</v>
      </c>
    </row>
    <row r="839" spans="4:5">
      <c r="D839" s="137">
        <v>1.4628570460413357</v>
      </c>
      <c r="E839">
        <f t="shared" si="15"/>
        <v>2.3799149963443349</v>
      </c>
    </row>
    <row r="840" spans="4:5">
      <c r="D840" s="137">
        <v>1.4628827933747743</v>
      </c>
      <c r="E840">
        <f t="shared" si="15"/>
        <v>2.3799918451421784</v>
      </c>
    </row>
    <row r="841" spans="4:5">
      <c r="D841" s="137">
        <v>1.4629857827085289</v>
      </c>
      <c r="E841">
        <f t="shared" si="15"/>
        <v>2.380298679267939</v>
      </c>
    </row>
    <row r="842" spans="4:5">
      <c r="D842" s="137">
        <v>1.4630630247088448</v>
      </c>
      <c r="E842">
        <f t="shared" si="15"/>
        <v>2.38052821558705</v>
      </c>
    </row>
    <row r="843" spans="4:5">
      <c r="D843" s="137">
        <v>1.4630630247088448</v>
      </c>
      <c r="E843">
        <f t="shared" si="15"/>
        <v>2.38052821558705</v>
      </c>
    </row>
    <row r="844" spans="4:5">
      <c r="D844" s="137">
        <v>1.4631016457090027</v>
      </c>
      <c r="E844">
        <f t="shared" si="15"/>
        <v>2.380642794283423</v>
      </c>
    </row>
    <row r="845" spans="4:5">
      <c r="D845" s="137">
        <v>1.4635134164691408</v>
      </c>
      <c r="E845">
        <f t="shared" si="15"/>
        <v>2.3818565558213036</v>
      </c>
    </row>
    <row r="846" spans="4:5">
      <c r="D846" s="137">
        <v>1.4635906584694567</v>
      </c>
      <c r="E846">
        <f t="shared" si="15"/>
        <v>2.3820826377708468</v>
      </c>
    </row>
    <row r="847" spans="4:5">
      <c r="D847" s="137">
        <v>1.4644653215068502</v>
      </c>
      <c r="E847">
        <f t="shared" si="15"/>
        <v>2.3846073547523181</v>
      </c>
    </row>
    <row r="848" spans="4:5">
      <c r="D848" s="137">
        <v>1.4644908822654088</v>
      </c>
      <c r="E848">
        <f t="shared" si="15"/>
        <v>2.3846801574915935</v>
      </c>
    </row>
    <row r="849" spans="4:5">
      <c r="D849" s="137">
        <v>1.464619432357722</v>
      </c>
      <c r="E849">
        <f t="shared" si="15"/>
        <v>2.3850454533404957</v>
      </c>
    </row>
    <row r="850" spans="4:5">
      <c r="D850" s="137">
        <v>1.4648377249673104</v>
      </c>
      <c r="E850">
        <f t="shared" si="15"/>
        <v>2.3856625420020379</v>
      </c>
    </row>
    <row r="851" spans="4:5">
      <c r="D851" s="137">
        <v>1.4648377249673104</v>
      </c>
      <c r="E851">
        <f t="shared" si="15"/>
        <v>2.3856625420020379</v>
      </c>
    </row>
    <row r="852" spans="4:5">
      <c r="D852" s="137">
        <v>1.4649791487263428</v>
      </c>
      <c r="E852">
        <f t="shared" si="15"/>
        <v>2.3860601628407161</v>
      </c>
    </row>
    <row r="853" spans="4:5">
      <c r="D853" s="137">
        <v>1.4652103150026505</v>
      </c>
      <c r="E853">
        <f t="shared" si="15"/>
        <v>2.3867064262392268</v>
      </c>
    </row>
    <row r="854" spans="4:5">
      <c r="D854" s="137">
        <v>1.4653386785200837</v>
      </c>
      <c r="E854">
        <f t="shared" si="15"/>
        <v>2.3870633180298744</v>
      </c>
    </row>
    <row r="855" spans="4:5">
      <c r="D855" s="137">
        <v>1.4655054764627948</v>
      </c>
      <c r="E855">
        <f t="shared" si="15"/>
        <v>2.3875249674543233</v>
      </c>
    </row>
    <row r="856" spans="4:5">
      <c r="D856" s="137">
        <v>1.4655440974629528</v>
      </c>
      <c r="E856">
        <f t="shared" si="15"/>
        <v>2.3876315205105501</v>
      </c>
    </row>
    <row r="857" spans="4:5">
      <c r="D857" s="137">
        <v>1.4660571783829255</v>
      </c>
      <c r="E857">
        <f t="shared" si="15"/>
        <v>2.3890349772992687</v>
      </c>
    </row>
    <row r="858" spans="4:5">
      <c r="D858" s="137">
        <v>1.4660700520496448</v>
      </c>
      <c r="E858">
        <f t="shared" si="15"/>
        <v>2.3890699016077437</v>
      </c>
    </row>
    <row r="859" spans="4:5">
      <c r="D859" s="137">
        <v>1.4661855419003587</v>
      </c>
      <c r="E859">
        <f t="shared" si="15"/>
        <v>2.3893825733307961</v>
      </c>
    </row>
    <row r="860" spans="4:5">
      <c r="D860" s="137">
        <v>1.4664932038774623</v>
      </c>
      <c r="E860">
        <f t="shared" si="15"/>
        <v>2.3902099456050263</v>
      </c>
    </row>
    <row r="861" spans="4:5">
      <c r="D861" s="137">
        <v>1.4666726889120127</v>
      </c>
      <c r="E861">
        <f t="shared" si="15"/>
        <v>2.3906888729892013</v>
      </c>
    </row>
    <row r="862" spans="4:5">
      <c r="D862" s="137">
        <v>1.4666982496705714</v>
      </c>
      <c r="E862">
        <f t="shared" si="15"/>
        <v>2.3907568530121734</v>
      </c>
    </row>
    <row r="863" spans="4:5">
      <c r="D863" s="137">
        <v>1.4667366840958493</v>
      </c>
      <c r="E863">
        <f t="shared" si="15"/>
        <v>2.390858965616987</v>
      </c>
    </row>
    <row r="864" spans="4:5">
      <c r="D864" s="137">
        <v>1.4667879921878466</v>
      </c>
      <c r="E864">
        <f t="shared" si="15"/>
        <v>2.3909950834010347</v>
      </c>
    </row>
    <row r="865" spans="4:5">
      <c r="D865" s="137">
        <v>1.4670699068315116</v>
      </c>
      <c r="E865">
        <f t="shared" si="15"/>
        <v>2.3917389559391911</v>
      </c>
    </row>
    <row r="866" spans="4:5">
      <c r="D866" s="137">
        <v>1.4671978971991848</v>
      </c>
      <c r="E866">
        <f t="shared" si="15"/>
        <v>2.3920744236047922</v>
      </c>
    </row>
    <row r="867" spans="4:5">
      <c r="D867" s="137">
        <v>1.4675691812103651</v>
      </c>
      <c r="E867">
        <f t="shared" si="15"/>
        <v>2.3930396041883677</v>
      </c>
    </row>
    <row r="868" spans="4:5">
      <c r="D868" s="137">
        <v>1.4675949285438037</v>
      </c>
      <c r="E868">
        <f t="shared" si="15"/>
        <v>2.3931060965935744</v>
      </c>
    </row>
    <row r="869" spans="4:5">
      <c r="D869" s="137">
        <v>1.4679020307962674</v>
      </c>
      <c r="E869">
        <f t="shared" si="15"/>
        <v>2.3938947868562961</v>
      </c>
    </row>
    <row r="870" spans="4:5">
      <c r="D870" s="137">
        <v>1.4679788996468233</v>
      </c>
      <c r="E870">
        <f t="shared" si="15"/>
        <v>2.3940909278520448</v>
      </c>
    </row>
    <row r="871" spans="4:5">
      <c r="D871" s="137">
        <v>1.4689890160470895</v>
      </c>
      <c r="E871">
        <f t="shared" si="15"/>
        <v>2.3966210144812403</v>
      </c>
    </row>
    <row r="872" spans="4:5">
      <c r="D872" s="137">
        <v>1.4691168198398827</v>
      </c>
      <c r="E872">
        <f t="shared" si="15"/>
        <v>2.3969348498510485</v>
      </c>
    </row>
    <row r="873" spans="4:5">
      <c r="D873" s="137">
        <v>1.469206375782278</v>
      </c>
      <c r="E873">
        <f t="shared" si="15"/>
        <v>2.3971539219051738</v>
      </c>
    </row>
    <row r="874" spans="4:5">
      <c r="D874" s="137">
        <v>1.469206375782278</v>
      </c>
      <c r="E874">
        <f t="shared" si="15"/>
        <v>2.3971539219051738</v>
      </c>
    </row>
    <row r="875" spans="4:5">
      <c r="D875" s="137">
        <v>1.4694617967929844</v>
      </c>
      <c r="E875">
        <f t="shared" si="15"/>
        <v>2.3977749213691877</v>
      </c>
    </row>
    <row r="876" spans="4:5">
      <c r="D876" s="137">
        <v>1.4694746704597037</v>
      </c>
      <c r="E876">
        <f t="shared" si="15"/>
        <v>2.3978060713401086</v>
      </c>
    </row>
    <row r="877" spans="4:5">
      <c r="D877" s="137">
        <v>1.4697554656540888</v>
      </c>
      <c r="E877">
        <f t="shared" si="15"/>
        <v>2.3984819308421659</v>
      </c>
    </row>
    <row r="878" spans="4:5">
      <c r="D878" s="137">
        <v>1.4699215172972799</v>
      </c>
      <c r="E878">
        <f t="shared" si="15"/>
        <v>2.3988783937779123</v>
      </c>
    </row>
    <row r="879" spans="4:5">
      <c r="D879" s="137">
        <v>1.4702789947673409</v>
      </c>
      <c r="E879">
        <f t="shared" si="15"/>
        <v>2.399723787680625</v>
      </c>
    </row>
    <row r="880" spans="4:5">
      <c r="D880" s="137">
        <v>1.4705724770535653</v>
      </c>
      <c r="E880">
        <f t="shared" si="15"/>
        <v>2.400409549431179</v>
      </c>
    </row>
    <row r="881" spans="4:5">
      <c r="D881" s="137">
        <v>1.4707510292137158</v>
      </c>
      <c r="E881">
        <f t="shared" si="15"/>
        <v>2.4008231005064209</v>
      </c>
    </row>
    <row r="882" spans="4:5">
      <c r="D882" s="137">
        <v>1.4709424550405856</v>
      </c>
      <c r="E882">
        <f t="shared" si="15"/>
        <v>2.4012633906971117</v>
      </c>
    </row>
    <row r="883" spans="4:5">
      <c r="D883" s="137">
        <v>1.4709933899828229</v>
      </c>
      <c r="E883">
        <f t="shared" si="15"/>
        <v>2.4013800072057863</v>
      </c>
    </row>
    <row r="884" spans="4:5">
      <c r="D884" s="137">
        <v>1.4710316378332209</v>
      </c>
      <c r="E884">
        <f t="shared" si="15"/>
        <v>2.4014674280303523</v>
      </c>
    </row>
    <row r="885" spans="4:5">
      <c r="D885" s="137">
        <v>1.4710316378332209</v>
      </c>
      <c r="E885">
        <f t="shared" si="15"/>
        <v>2.4014674280303523</v>
      </c>
    </row>
    <row r="886" spans="4:5">
      <c r="D886" s="137">
        <v>1.4711081335340168</v>
      </c>
      <c r="E886">
        <f t="shared" si="15"/>
        <v>2.4016418878844106</v>
      </c>
    </row>
    <row r="887" spans="4:5">
      <c r="D887" s="137">
        <v>1.4712228770852107</v>
      </c>
      <c r="E887">
        <f t="shared" si="15"/>
        <v>2.4019026229664844</v>
      </c>
    </row>
    <row r="888" spans="4:5">
      <c r="D888" s="137">
        <v>1.4714906120379965</v>
      </c>
      <c r="E888">
        <f t="shared" si="15"/>
        <v>2.4025065475993772</v>
      </c>
    </row>
    <row r="889" spans="4:5">
      <c r="D889" s="137">
        <v>1.4715542340720731</v>
      </c>
      <c r="E889">
        <f t="shared" si="15"/>
        <v>2.402649140612982</v>
      </c>
    </row>
    <row r="890" spans="4:5">
      <c r="D890" s="137">
        <v>1.4717837211744609</v>
      </c>
      <c r="E890">
        <f t="shared" si="15"/>
        <v>2.4031605484526555</v>
      </c>
    </row>
    <row r="891" spans="4:5">
      <c r="D891" s="137">
        <v>1.4720510829774867</v>
      </c>
      <c r="E891">
        <f t="shared" si="15"/>
        <v>2.4037505688100316</v>
      </c>
    </row>
    <row r="892" spans="4:5">
      <c r="D892" s="137">
        <v>1.4721785136205199</v>
      </c>
      <c r="E892">
        <f t="shared" si="15"/>
        <v>2.404029591485521</v>
      </c>
    </row>
    <row r="893" spans="4:5">
      <c r="D893" s="137">
        <v>1.472420501239867</v>
      </c>
      <c r="E893">
        <f t="shared" si="15"/>
        <v>2.4045555472272517</v>
      </c>
    </row>
    <row r="894" spans="4:5">
      <c r="D894" s="137">
        <v>1.4727005501347321</v>
      </c>
      <c r="E894">
        <f t="shared" si="15"/>
        <v>2.4051578443739068</v>
      </c>
    </row>
    <row r="895" spans="4:5">
      <c r="D895" s="137">
        <v>1.4727134238014514</v>
      </c>
      <c r="E895">
        <f t="shared" si="15"/>
        <v>2.4051853668324421</v>
      </c>
    </row>
    <row r="896" spans="4:5">
      <c r="D896" s="137">
        <v>1.4727897329273674</v>
      </c>
      <c r="E896">
        <f t="shared" si="15"/>
        <v>2.4053482097770607</v>
      </c>
    </row>
    <row r="897" spans="4:5">
      <c r="D897" s="137">
        <v>1.472853354961444</v>
      </c>
      <c r="E897">
        <f t="shared" si="15"/>
        <v>2.4054835894522011</v>
      </c>
    </row>
    <row r="898" spans="4:5">
      <c r="D898" s="137">
        <v>1.4728787291451226</v>
      </c>
      <c r="E898">
        <f t="shared" si="15"/>
        <v>2.4055374837983603</v>
      </c>
    </row>
    <row r="899" spans="4:5">
      <c r="D899" s="137">
        <v>1.4729296640873599</v>
      </c>
      <c r="E899">
        <f t="shared" ref="E899:E962" si="16">_xlfn.NORM.DIST(D899,$B$2,$B$4,FALSE)</f>
        <v>2.4056454988342093</v>
      </c>
    </row>
    <row r="900" spans="4:5">
      <c r="D900" s="137">
        <v>1.4729552248459186</v>
      </c>
      <c r="E900">
        <f t="shared" si="16"/>
        <v>2.4056996186851189</v>
      </c>
    </row>
    <row r="901" spans="4:5">
      <c r="D901" s="137">
        <v>1.4735149494858888</v>
      </c>
      <c r="E901">
        <f t="shared" si="16"/>
        <v>2.40687039226682</v>
      </c>
    </row>
    <row r="902" spans="4:5">
      <c r="D902" s="137">
        <v>1.4735403236695674</v>
      </c>
      <c r="E902">
        <f t="shared" si="16"/>
        <v>2.4069228174468558</v>
      </c>
    </row>
    <row r="903" spans="4:5">
      <c r="D903" s="137">
        <v>1.4735912586118047</v>
      </c>
      <c r="E903">
        <f t="shared" si="16"/>
        <v>2.4070278830500276</v>
      </c>
    </row>
    <row r="904" spans="4:5">
      <c r="D904" s="137">
        <v>1.4739601171495451</v>
      </c>
      <c r="E904">
        <f t="shared" si="16"/>
        <v>2.4077819581775159</v>
      </c>
    </row>
    <row r="905" spans="4:5">
      <c r="D905" s="137">
        <v>1.474150796676895</v>
      </c>
      <c r="E905">
        <f t="shared" si="16"/>
        <v>2.4081670962180359</v>
      </c>
    </row>
    <row r="906" spans="4:5">
      <c r="D906" s="137">
        <v>1.4743668503879235</v>
      </c>
      <c r="E906">
        <f t="shared" si="16"/>
        <v>2.4085996306089275</v>
      </c>
    </row>
    <row r="907" spans="4:5">
      <c r="D907" s="137">
        <v>1.4744049116634415</v>
      </c>
      <c r="E907">
        <f t="shared" si="16"/>
        <v>2.4086754039358693</v>
      </c>
    </row>
    <row r="908" spans="4:5">
      <c r="D908" s="137">
        <v>1.4747224621091846</v>
      </c>
      <c r="E908">
        <f t="shared" si="16"/>
        <v>2.4093026332721443</v>
      </c>
    </row>
    <row r="909" spans="4:5">
      <c r="D909" s="137">
        <v>1.4748623932691771</v>
      </c>
      <c r="E909">
        <f t="shared" si="16"/>
        <v>2.409576215168622</v>
      </c>
    </row>
    <row r="910" spans="4:5">
      <c r="D910" s="137">
        <v>1.4749258287283737</v>
      </c>
      <c r="E910">
        <f t="shared" si="16"/>
        <v>2.4096996720855763</v>
      </c>
    </row>
    <row r="911" spans="4:5">
      <c r="D911" s="137">
        <v>1.4749385158202131</v>
      </c>
      <c r="E911">
        <f t="shared" si="16"/>
        <v>2.4097243210237638</v>
      </c>
    </row>
    <row r="912" spans="4:5">
      <c r="D912" s="137">
        <v>1.4749892641875704</v>
      </c>
      <c r="E912">
        <f t="shared" si="16"/>
        <v>2.409822775277854</v>
      </c>
    </row>
    <row r="913" spans="4:5">
      <c r="D913" s="137">
        <v>1.4750653867386063</v>
      </c>
      <c r="E913">
        <f t="shared" si="16"/>
        <v>2.4099700321147868</v>
      </c>
    </row>
    <row r="914" spans="4:5">
      <c r="D914" s="137">
        <v>1.4750782604053256</v>
      </c>
      <c r="E914">
        <f t="shared" si="16"/>
        <v>2.4099948854747164</v>
      </c>
    </row>
    <row r="915" spans="4:5">
      <c r="D915" s="137">
        <v>1.4751543829563616</v>
      </c>
      <c r="E915">
        <f t="shared" si="16"/>
        <v>2.410141546593612</v>
      </c>
    </row>
    <row r="916" spans="4:5">
      <c r="D916" s="137">
        <v>1.4757766101811285</v>
      </c>
      <c r="E916">
        <f t="shared" si="16"/>
        <v>2.4113212402252313</v>
      </c>
    </row>
    <row r="917" spans="4:5">
      <c r="D917" s="137">
        <v>1.4758146714566465</v>
      </c>
      <c r="E917">
        <f t="shared" si="16"/>
        <v>2.4113922950908417</v>
      </c>
    </row>
    <row r="918" spans="4:5">
      <c r="D918" s="137">
        <v>1.4766518329431619</v>
      </c>
      <c r="E918">
        <f t="shared" si="16"/>
        <v>2.4129228619742888</v>
      </c>
    </row>
    <row r="919" spans="4:5">
      <c r="D919" s="137">
        <v>1.4772477531098502</v>
      </c>
      <c r="E919">
        <f t="shared" si="16"/>
        <v>2.4139746918777027</v>
      </c>
    </row>
    <row r="920" spans="4:5">
      <c r="D920" s="137">
        <v>1.4773111885690469</v>
      </c>
      <c r="E920">
        <f t="shared" si="16"/>
        <v>2.4140848112295337</v>
      </c>
    </row>
    <row r="921" spans="4:5">
      <c r="D921" s="137">
        <v>1.4783375369838723</v>
      </c>
      <c r="E921">
        <f t="shared" si="16"/>
        <v>2.4158170124087581</v>
      </c>
    </row>
    <row r="922" spans="4:5">
      <c r="D922" s="137">
        <v>1.4785526578205008</v>
      </c>
      <c r="E922">
        <f t="shared" si="16"/>
        <v>2.4161682570126626</v>
      </c>
    </row>
    <row r="923" spans="4:5">
      <c r="D923" s="137">
        <v>1.4785780320041795</v>
      </c>
      <c r="E923">
        <f t="shared" si="16"/>
        <v>2.4162094170663662</v>
      </c>
    </row>
    <row r="924" spans="4:5">
      <c r="D924" s="137">
        <v>1.4787425910483307</v>
      </c>
      <c r="E924">
        <f t="shared" si="16"/>
        <v>2.4164749670084587</v>
      </c>
    </row>
    <row r="925" spans="4:5">
      <c r="D925" s="137">
        <v>1.4788819624836833</v>
      </c>
      <c r="E925">
        <f t="shared" si="16"/>
        <v>2.4166979939370181</v>
      </c>
    </row>
    <row r="926" spans="4:5">
      <c r="D926" s="137">
        <v>1.4791476451127892</v>
      </c>
      <c r="E926">
        <f t="shared" si="16"/>
        <v>2.4171183763613109</v>
      </c>
    </row>
    <row r="927" spans="4:5">
      <c r="D927" s="137">
        <v>1.4792741428814224</v>
      </c>
      <c r="E927">
        <f t="shared" si="16"/>
        <v>2.4173163297364559</v>
      </c>
    </row>
    <row r="928" spans="4:5">
      <c r="D928" s="137">
        <v>1.4793248912487797</v>
      </c>
      <c r="E928">
        <f t="shared" si="16"/>
        <v>2.4173953455427712</v>
      </c>
    </row>
    <row r="929" spans="4:5">
      <c r="D929" s="137">
        <v>1.4794640761092523</v>
      </c>
      <c r="E929">
        <f t="shared" si="16"/>
        <v>2.4176108847805393</v>
      </c>
    </row>
    <row r="930" spans="4:5">
      <c r="D930" s="137">
        <v>1.4797803205308355</v>
      </c>
      <c r="E930">
        <f t="shared" si="16"/>
        <v>2.4180942213086305</v>
      </c>
    </row>
    <row r="931" spans="4:5">
      <c r="D931" s="137">
        <v>1.4799068182994688</v>
      </c>
      <c r="E931">
        <f t="shared" si="16"/>
        <v>2.4182850686287147</v>
      </c>
    </row>
    <row r="932" spans="4:5">
      <c r="D932" s="137">
        <v>1.4799446930001068</v>
      </c>
      <c r="E932">
        <f t="shared" si="16"/>
        <v>2.4183419336618766</v>
      </c>
    </row>
    <row r="933" spans="4:5">
      <c r="D933" s="137">
        <v>1.4802103756292126</v>
      </c>
      <c r="E933">
        <f t="shared" si="16"/>
        <v>2.4187372454541971</v>
      </c>
    </row>
    <row r="934" spans="4:5">
      <c r="D934" s="137">
        <v>1.4803368733978459</v>
      </c>
      <c r="E934">
        <f t="shared" si="16"/>
        <v>2.4189232576410338</v>
      </c>
    </row>
    <row r="935" spans="4:5">
      <c r="D935" s="137">
        <v>1.4804126227991219</v>
      </c>
      <c r="E935">
        <f t="shared" si="16"/>
        <v>2.4190339643193668</v>
      </c>
    </row>
    <row r="936" spans="4:5">
      <c r="D936" s="137">
        <v>1.4811331749856436</v>
      </c>
      <c r="E936">
        <f t="shared" si="16"/>
        <v>2.4200615161398531</v>
      </c>
    </row>
    <row r="937" spans="4:5">
      <c r="D937" s="137">
        <v>1.4811712362611615</v>
      </c>
      <c r="E937">
        <f t="shared" si="16"/>
        <v>2.420114508749859</v>
      </c>
    </row>
    <row r="938" spans="4:5">
      <c r="D938" s="137">
        <v>1.4816637939443353</v>
      </c>
      <c r="E938">
        <f t="shared" si="16"/>
        <v>2.4207886543845474</v>
      </c>
    </row>
    <row r="939" spans="4:5">
      <c r="D939" s="137">
        <v>1.48176491752929</v>
      </c>
      <c r="E939">
        <f t="shared" si="16"/>
        <v>2.4209243835790586</v>
      </c>
    </row>
    <row r="940" spans="4:5">
      <c r="D940" s="137">
        <v>1.4823712858892577</v>
      </c>
      <c r="E940">
        <f t="shared" si="16"/>
        <v>2.4217191304340724</v>
      </c>
    </row>
    <row r="941" spans="4:5">
      <c r="D941" s="137">
        <v>1.4825479723006083</v>
      </c>
      <c r="E941">
        <f t="shared" si="16"/>
        <v>2.4219445357608618</v>
      </c>
    </row>
    <row r="942" spans="4:5">
      <c r="D942" s="137">
        <v>1.4826742834943616</v>
      </c>
      <c r="E942">
        <f t="shared" si="16"/>
        <v>2.4221039675296865</v>
      </c>
    </row>
    <row r="943" spans="4:5">
      <c r="D943" s="137">
        <v>1.4829645940076261</v>
      </c>
      <c r="E943">
        <f t="shared" si="16"/>
        <v>2.4224650019919092</v>
      </c>
    </row>
    <row r="944" spans="4:5">
      <c r="D944" s="137">
        <v>1.4834062167485627</v>
      </c>
      <c r="E944">
        <f t="shared" si="16"/>
        <v>2.4229997738932343</v>
      </c>
    </row>
    <row r="945" spans="4:5">
      <c r="D945" s="137">
        <v>1.4834819661498386</v>
      </c>
      <c r="E945">
        <f t="shared" si="16"/>
        <v>2.4230897496456061</v>
      </c>
    </row>
    <row r="946" spans="4:5">
      <c r="D946" s="137">
        <v>1.4836586525611892</v>
      </c>
      <c r="E946">
        <f t="shared" si="16"/>
        <v>2.4232976256564047</v>
      </c>
    </row>
    <row r="947" spans="4:5">
      <c r="D947" s="137">
        <v>1.4838478394894992</v>
      </c>
      <c r="E947">
        <f t="shared" si="16"/>
        <v>2.4235171143722529</v>
      </c>
    </row>
    <row r="948" spans="4:5">
      <c r="D948" s="137">
        <v>1.4839739641083725</v>
      </c>
      <c r="E948">
        <f t="shared" si="16"/>
        <v>2.4236616618762126</v>
      </c>
    </row>
    <row r="949" spans="4:5">
      <c r="D949" s="137">
        <v>1.4839739641083725</v>
      </c>
      <c r="E949">
        <f t="shared" si="16"/>
        <v>2.4236616618762126</v>
      </c>
    </row>
    <row r="950" spans="4:5">
      <c r="D950" s="137">
        <v>1.4845919001108996</v>
      </c>
      <c r="E950">
        <f t="shared" si="16"/>
        <v>2.4243492902872976</v>
      </c>
    </row>
    <row r="951" spans="4:5">
      <c r="D951" s="137">
        <v>1.4846803366040149</v>
      </c>
      <c r="E951">
        <f t="shared" si="16"/>
        <v>2.4244449051804451</v>
      </c>
    </row>
    <row r="952" spans="4:5">
      <c r="D952" s="137">
        <v>1.4848064612228882</v>
      </c>
      <c r="E952">
        <f t="shared" si="16"/>
        <v>2.4245800558058335</v>
      </c>
    </row>
    <row r="953" spans="4:5">
      <c r="D953" s="137">
        <v>1.4850333362769561</v>
      </c>
      <c r="E953">
        <f t="shared" si="16"/>
        <v>2.4248195807962118</v>
      </c>
    </row>
    <row r="954" spans="4:5">
      <c r="D954" s="137">
        <v>1.4850458367939154</v>
      </c>
      <c r="E954">
        <f t="shared" si="16"/>
        <v>2.4248326442940629</v>
      </c>
    </row>
    <row r="955" spans="4:5">
      <c r="D955" s="137">
        <v>1.4852475242391847</v>
      </c>
      <c r="E955">
        <f t="shared" si="16"/>
        <v>2.4250414799774678</v>
      </c>
    </row>
    <row r="956" spans="4:5">
      <c r="D956" s="137">
        <v>1.4857895242655559</v>
      </c>
      <c r="E956">
        <f t="shared" si="16"/>
        <v>2.4255846281488473</v>
      </c>
    </row>
    <row r="957" spans="4:5">
      <c r="D957" s="137">
        <v>1.4860540874453818</v>
      </c>
      <c r="E957">
        <f t="shared" si="16"/>
        <v>2.4258401861440206</v>
      </c>
    </row>
    <row r="958" spans="4:5">
      <c r="D958" s="137">
        <v>1.4863188372000877</v>
      </c>
      <c r="E958">
        <f t="shared" si="16"/>
        <v>2.4260896397224321</v>
      </c>
    </row>
    <row r="959" spans="4:5">
      <c r="D959" s="137">
        <v>1.4865832138050337</v>
      </c>
      <c r="E959">
        <f t="shared" si="16"/>
        <v>2.426332466199649</v>
      </c>
    </row>
    <row r="960" spans="4:5">
      <c r="D960" s="137">
        <v>1.4867345260327056</v>
      </c>
      <c r="E960">
        <f t="shared" si="16"/>
        <v>2.4264686220960447</v>
      </c>
    </row>
    <row r="961" spans="4:5">
      <c r="D961" s="137">
        <v>1.4868477769848596</v>
      </c>
      <c r="E961">
        <f t="shared" si="16"/>
        <v>2.4265691844271706</v>
      </c>
    </row>
    <row r="962" spans="4:5">
      <c r="D962" s="137">
        <v>1.4871752158992422</v>
      </c>
      <c r="E962">
        <f t="shared" si="16"/>
        <v>2.4268534594121061</v>
      </c>
    </row>
    <row r="963" spans="4:5">
      <c r="D963" s="137">
        <v>1.4872255911168395</v>
      </c>
      <c r="E963">
        <f t="shared" ref="E963:E1026" si="17">_xlfn.NORM.DIST(D963,$B$2,$B$4,FALSE)</f>
        <v>2.4268963394889771</v>
      </c>
    </row>
    <row r="964" spans="4:5">
      <c r="D964" s="137">
        <v>1.487741843809772</v>
      </c>
      <c r="E964">
        <f t="shared" si="17"/>
        <v>2.427322642803583</v>
      </c>
    </row>
    <row r="965" spans="4:5">
      <c r="D965" s="137">
        <v>1.4881950341932679</v>
      </c>
      <c r="E965">
        <f t="shared" si="17"/>
        <v>2.4276771325571733</v>
      </c>
    </row>
    <row r="966" spans="4:5">
      <c r="D966" s="137">
        <v>1.4882202218020666</v>
      </c>
      <c r="E966">
        <f t="shared" si="17"/>
        <v>2.4276962930132848</v>
      </c>
    </row>
    <row r="967" spans="4:5">
      <c r="D967" s="137">
        <v>1.4882327223190259</v>
      </c>
      <c r="E967">
        <f t="shared" si="17"/>
        <v>2.4277057810997968</v>
      </c>
    </row>
    <row r="968" spans="4:5">
      <c r="D968" s="137">
        <v>1.4885347870497299</v>
      </c>
      <c r="E968">
        <f t="shared" si="17"/>
        <v>2.4279307813637958</v>
      </c>
    </row>
    <row r="969" spans="4:5">
      <c r="D969" s="137">
        <v>1.4888241646885945</v>
      </c>
      <c r="E969">
        <f t="shared" si="17"/>
        <v>2.4281386359092356</v>
      </c>
    </row>
    <row r="970" spans="4:5">
      <c r="D970" s="137">
        <v>1.4888368517804338</v>
      </c>
      <c r="E970">
        <f t="shared" si="17"/>
        <v>2.4281475764660652</v>
      </c>
    </row>
    <row r="971" spans="4:5">
      <c r="D971" s="137">
        <v>1.4891010418104997</v>
      </c>
      <c r="E971">
        <f t="shared" si="17"/>
        <v>2.4283304603153462</v>
      </c>
    </row>
    <row r="972" spans="4:5">
      <c r="D972" s="137">
        <v>1.4891262294192984</v>
      </c>
      <c r="E972">
        <f t="shared" si="17"/>
        <v>2.4283475684107541</v>
      </c>
    </row>
    <row r="973" spans="4:5">
      <c r="D973" s="137">
        <v>1.4897678604315843</v>
      </c>
      <c r="E973">
        <f t="shared" si="17"/>
        <v>2.4287641305446916</v>
      </c>
    </row>
    <row r="974" spans="4:5">
      <c r="D974" s="137">
        <v>1.4898182356491816</v>
      </c>
      <c r="E974">
        <f t="shared" si="17"/>
        <v>2.4287952665451429</v>
      </c>
    </row>
    <row r="975" spans="4:5">
      <c r="D975" s="137">
        <v>1.4903085544337955</v>
      </c>
      <c r="E975">
        <f t="shared" si="17"/>
        <v>2.4290863892421029</v>
      </c>
    </row>
    <row r="976" spans="4:5">
      <c r="D976" s="137">
        <v>1.4903966177771508</v>
      </c>
      <c r="E976">
        <f t="shared" si="17"/>
        <v>2.4291363828960004</v>
      </c>
    </row>
    <row r="977" spans="4:5">
      <c r="D977" s="137">
        <v>1.4904469929947481</v>
      </c>
      <c r="E977">
        <f t="shared" si="17"/>
        <v>2.4291646669277234</v>
      </c>
    </row>
    <row r="978" spans="4:5">
      <c r="D978" s="137">
        <v>1.4904846811205061</v>
      </c>
      <c r="E978">
        <f t="shared" si="17"/>
        <v>2.4291856781158296</v>
      </c>
    </row>
    <row r="979" spans="4:5">
      <c r="D979" s="137">
        <v>1.4909499988712014</v>
      </c>
      <c r="E979">
        <f t="shared" si="17"/>
        <v>2.4294345521340635</v>
      </c>
    </row>
    <row r="980" spans="4:5">
      <c r="D980" s="137">
        <v>1.4910380622145567</v>
      </c>
      <c r="E980">
        <f t="shared" si="17"/>
        <v>2.4294794575154626</v>
      </c>
    </row>
    <row r="981" spans="4:5">
      <c r="D981" s="137">
        <v>1.491088250857274</v>
      </c>
      <c r="E981">
        <f t="shared" si="17"/>
        <v>2.4295047371962677</v>
      </c>
    </row>
    <row r="982" spans="4:5">
      <c r="D982" s="137">
        <v>1.4912140023263873</v>
      </c>
      <c r="E982">
        <f t="shared" si="17"/>
        <v>2.4295670806101666</v>
      </c>
    </row>
    <row r="983" spans="4:5">
      <c r="D983" s="137">
        <v>1.4912895651527833</v>
      </c>
      <c r="E983">
        <f t="shared" si="17"/>
        <v>2.4296038568035594</v>
      </c>
    </row>
    <row r="984" spans="4:5">
      <c r="D984" s="137">
        <v>1.4914026295300573</v>
      </c>
      <c r="E984">
        <f t="shared" si="17"/>
        <v>2.4296579239608311</v>
      </c>
    </row>
    <row r="985" spans="4:5">
      <c r="D985" s="137">
        <v>1.4914906928734126</v>
      </c>
      <c r="E985">
        <f t="shared" si="17"/>
        <v>2.4296992375875432</v>
      </c>
    </row>
    <row r="986" spans="4:5">
      <c r="D986" s="137">
        <v>1.4916037572506866</v>
      </c>
      <c r="E986">
        <f t="shared" si="17"/>
        <v>2.4297512553586915</v>
      </c>
    </row>
    <row r="987" spans="4:5">
      <c r="D987" s="137">
        <v>1.4916791335022026</v>
      </c>
      <c r="E987">
        <f t="shared" si="17"/>
        <v>2.4297852937827082</v>
      </c>
    </row>
    <row r="988" spans="4:5">
      <c r="D988" s="137">
        <v>1.4917671968455579</v>
      </c>
      <c r="E988">
        <f t="shared" si="17"/>
        <v>2.4298244128017847</v>
      </c>
    </row>
    <row r="989" spans="4:5">
      <c r="D989" s="137">
        <v>1.4918048849713159</v>
      </c>
      <c r="E989">
        <f t="shared" si="17"/>
        <v>2.4298409408224</v>
      </c>
    </row>
    <row r="990" spans="4:5">
      <c r="D990" s="137">
        <v>1.4925715211531951</v>
      </c>
      <c r="E990">
        <f t="shared" si="17"/>
        <v>2.4301493524720561</v>
      </c>
    </row>
    <row r="991" spans="4:5">
      <c r="D991" s="137">
        <v>1.4929735900195737</v>
      </c>
      <c r="E991">
        <f t="shared" si="17"/>
        <v>2.4302899165929324</v>
      </c>
    </row>
    <row r="992" spans="4:5">
      <c r="D992" s="137">
        <v>1.4931622172232437</v>
      </c>
      <c r="E992">
        <f t="shared" si="17"/>
        <v>2.4303508367161024</v>
      </c>
    </row>
    <row r="993" spans="4:5">
      <c r="D993" s="137">
        <v>1.4934512217123483</v>
      </c>
      <c r="E993">
        <f t="shared" si="17"/>
        <v>2.430437949969126</v>
      </c>
    </row>
    <row r="994" spans="4:5">
      <c r="D994" s="137">
        <v>1.4939034792214443</v>
      </c>
      <c r="E994">
        <f t="shared" si="17"/>
        <v>2.4305591512152867</v>
      </c>
    </row>
    <row r="995" spans="4:5">
      <c r="D995" s="137">
        <v>1.4941421084929516</v>
      </c>
      <c r="E995">
        <f t="shared" si="17"/>
        <v>2.4306156650237569</v>
      </c>
    </row>
    <row r="996" spans="4:5">
      <c r="D996" s="137">
        <v>1.4945818654850882</v>
      </c>
      <c r="E996">
        <f t="shared" si="17"/>
        <v>2.4307063527861783</v>
      </c>
    </row>
    <row r="997" spans="4:5">
      <c r="D997" s="137">
        <v>1.4949083715250708</v>
      </c>
      <c r="E997">
        <f t="shared" si="17"/>
        <v>2.4307623977890374</v>
      </c>
    </row>
    <row r="998" spans="4:5">
      <c r="D998" s="137">
        <v>1.4950968121538608</v>
      </c>
      <c r="E998">
        <f t="shared" si="17"/>
        <v>2.4307903654169083</v>
      </c>
    </row>
    <row r="999" spans="4:5">
      <c r="D999" s="137">
        <v>1.4952223770480941</v>
      </c>
      <c r="E999">
        <f t="shared" si="17"/>
        <v>2.4308072221888373</v>
      </c>
    </row>
    <row r="1000" spans="4:5">
      <c r="D1000" s="137">
        <v>1.4956117588226334</v>
      </c>
      <c r="E1000">
        <f t="shared" si="17"/>
        <v>2.430850447875494</v>
      </c>
    </row>
    <row r="1001" spans="4:5">
      <c r="D1001" s="137">
        <v>1.4958378875771814</v>
      </c>
      <c r="E1001">
        <f t="shared" si="17"/>
        <v>2.4308692699030221</v>
      </c>
    </row>
    <row r="1002" spans="4:5">
      <c r="D1002" s="137">
        <v>1.4959382648626161</v>
      </c>
      <c r="E1002">
        <f t="shared" si="17"/>
        <v>2.4308761459247981</v>
      </c>
    </row>
    <row r="1003" spans="4:5">
      <c r="D1003" s="137">
        <v>1.4960009540222927</v>
      </c>
      <c r="E1003">
        <f t="shared" si="17"/>
        <v>2.4308799789310105</v>
      </c>
    </row>
    <row r="1004" spans="4:5">
      <c r="D1004" s="137">
        <v>1.4963024590283567</v>
      </c>
      <c r="E1004">
        <f t="shared" si="17"/>
        <v>2.4308934585637818</v>
      </c>
    </row>
    <row r="1005" spans="4:5">
      <c r="D1005" s="137">
        <v>1.496729342353774</v>
      </c>
      <c r="E1005">
        <f t="shared" si="17"/>
        <v>2.4308985115768635</v>
      </c>
    </row>
    <row r="1006" spans="4:5">
      <c r="D1006" s="137">
        <v>1.4973823544337392</v>
      </c>
      <c r="E1006">
        <f t="shared" si="17"/>
        <v>2.430874417502896</v>
      </c>
    </row>
    <row r="1007" spans="4:5">
      <c r="D1007" s="137">
        <v>1.4974827317191739</v>
      </c>
      <c r="E1007">
        <f t="shared" si="17"/>
        <v>2.430867301204878</v>
      </c>
    </row>
    <row r="1008" spans="4:5">
      <c r="D1008" s="137">
        <v>1.4975454208788506</v>
      </c>
      <c r="E1008">
        <f t="shared" si="17"/>
        <v>2.4308623955172668</v>
      </c>
    </row>
    <row r="1009" spans="4:5">
      <c r="D1009" s="137">
        <v>1.4976334842222059</v>
      </c>
      <c r="E1009">
        <f t="shared" si="17"/>
        <v>2.4308549051066248</v>
      </c>
    </row>
    <row r="1010" spans="4:5">
      <c r="D1010" s="137">
        <v>1.4977213609906812</v>
      </c>
      <c r="E1010">
        <f t="shared" si="17"/>
        <v>2.4308467328700365</v>
      </c>
    </row>
    <row r="1011" spans="4:5">
      <c r="D1011" s="137">
        <v>1.4978719269188332</v>
      </c>
      <c r="E1011">
        <f t="shared" si="17"/>
        <v>2.4308311106936396</v>
      </c>
    </row>
    <row r="1012" spans="4:5">
      <c r="D1012" s="137">
        <v>1.4981984329588158</v>
      </c>
      <c r="E1012">
        <f t="shared" si="17"/>
        <v>2.4307902047366388</v>
      </c>
    </row>
    <row r="1013" spans="4:5">
      <c r="D1013" s="137">
        <v>1.4985249389987985</v>
      </c>
      <c r="E1013">
        <f t="shared" si="17"/>
        <v>2.4307396781319919</v>
      </c>
    </row>
    <row r="1014" spans="4:5">
      <c r="D1014" s="137">
        <v>1.4995919607374617</v>
      </c>
      <c r="E1014">
        <f t="shared" si="17"/>
        <v>2.4305074717781965</v>
      </c>
    </row>
    <row r="1015" spans="4:5">
      <c r="D1015" s="137">
        <v>1.4996171483462604</v>
      </c>
      <c r="E1015">
        <f t="shared" si="17"/>
        <v>2.4305007494058386</v>
      </c>
    </row>
    <row r="1016" spans="4:5">
      <c r="D1016" s="137">
        <v>1.5000690327055963</v>
      </c>
      <c r="E1016">
        <f t="shared" si="17"/>
        <v>2.4303704214655104</v>
      </c>
    </row>
    <row r="1017" spans="4:5">
      <c r="D1017" s="137">
        <v>1.5008224220709963</v>
      </c>
      <c r="E1017">
        <f t="shared" si="17"/>
        <v>2.4301121864723512</v>
      </c>
    </row>
    <row r="1018" spans="4:5">
      <c r="D1018" s="137">
        <v>1.5012116172706556</v>
      </c>
      <c r="E1018">
        <f t="shared" si="17"/>
        <v>2.4299587345669509</v>
      </c>
    </row>
    <row r="1019" spans="4:5">
      <c r="D1019" s="137">
        <v>1.5017765660072655</v>
      </c>
      <c r="E1019">
        <f t="shared" si="17"/>
        <v>2.42971168939218</v>
      </c>
    </row>
    <row r="1020" spans="4:5">
      <c r="D1020" s="137">
        <v>1.5018267546499828</v>
      </c>
      <c r="E1020">
        <f t="shared" si="17"/>
        <v>2.4296883511736223</v>
      </c>
    </row>
    <row r="1021" spans="4:5">
      <c r="D1021" s="137">
        <v>1.5019523195442162</v>
      </c>
      <c r="E1021">
        <f t="shared" si="17"/>
        <v>2.4296289678334051</v>
      </c>
    </row>
    <row r="1022" spans="4:5">
      <c r="D1022" s="137">
        <v>1.5020651973466101</v>
      </c>
      <c r="E1022">
        <f t="shared" si="17"/>
        <v>2.4295743718657796</v>
      </c>
    </row>
    <row r="1023" spans="4:5">
      <c r="D1023" s="137">
        <v>1.5021657612069248</v>
      </c>
      <c r="E1023">
        <f t="shared" si="17"/>
        <v>2.4295247647419664</v>
      </c>
    </row>
    <row r="1024" spans="4:5">
      <c r="D1024" s="137">
        <v>1.5021782617238841</v>
      </c>
      <c r="E1024">
        <f t="shared" si="17"/>
        <v>2.429518534688885</v>
      </c>
    </row>
    <row r="1025" spans="4:5">
      <c r="D1025" s="137">
        <v>1.5027180228516954</v>
      </c>
      <c r="E1025">
        <f t="shared" si="17"/>
        <v>2.4292360986630164</v>
      </c>
    </row>
    <row r="1026" spans="4:5">
      <c r="D1026" s="137">
        <v>1.5027180228516954</v>
      </c>
      <c r="E1026">
        <f t="shared" si="17"/>
        <v>2.4292360986630164</v>
      </c>
    </row>
    <row r="1027" spans="4:5">
      <c r="D1027" s="137">
        <v>1.5028310872289694</v>
      </c>
      <c r="E1027">
        <f t="shared" ref="E1027:E1090" si="18">_xlfn.NORM.DIST(D1027,$B$2,$B$4,FALSE)</f>
        <v>2.4291736119977672</v>
      </c>
    </row>
    <row r="1028" spans="4:5">
      <c r="D1028" s="137">
        <v>1.5031450927519927</v>
      </c>
      <c r="E1028">
        <f t="shared" si="18"/>
        <v>2.428994033633042</v>
      </c>
    </row>
    <row r="1029" spans="4:5">
      <c r="D1029" s="137">
        <v>1.5033710349316607</v>
      </c>
      <c r="E1029">
        <f t="shared" si="18"/>
        <v>2.428859325594166</v>
      </c>
    </row>
    <row r="1030" spans="4:5">
      <c r="D1030" s="137">
        <v>1.5034714122170953</v>
      </c>
      <c r="E1030">
        <f t="shared" si="18"/>
        <v>2.4287980055622196</v>
      </c>
    </row>
    <row r="1031" spans="4:5">
      <c r="D1031" s="137">
        <v>1.5034840993089347</v>
      </c>
      <c r="E1031">
        <f t="shared" si="18"/>
        <v>2.4287901905063771</v>
      </c>
    </row>
    <row r="1032" spans="4:5">
      <c r="D1032" s="137">
        <v>1.5036725399377247</v>
      </c>
      <c r="E1032">
        <f t="shared" si="18"/>
        <v>2.4286724080707596</v>
      </c>
    </row>
    <row r="1033" spans="4:5">
      <c r="D1033" s="137">
        <v>1.5040994232631419</v>
      </c>
      <c r="E1033">
        <f t="shared" si="18"/>
        <v>2.4283937693879656</v>
      </c>
    </row>
    <row r="1034" spans="4:5">
      <c r="D1034" s="137">
        <v>1.5042249881573753</v>
      </c>
      <c r="E1034">
        <f t="shared" si="18"/>
        <v>2.4283086886130318</v>
      </c>
    </row>
    <row r="1035" spans="4:5">
      <c r="D1035" s="137">
        <v>1.5048529992034219</v>
      </c>
      <c r="E1035">
        <f t="shared" si="18"/>
        <v>2.4278618724165062</v>
      </c>
    </row>
    <row r="1036" spans="4:5">
      <c r="D1036" s="137">
        <v>1.5050789413830898</v>
      </c>
      <c r="E1036">
        <f t="shared" si="18"/>
        <v>2.4276924437836347</v>
      </c>
    </row>
    <row r="1037" spans="4:5">
      <c r="D1037" s="137">
        <v>1.5051418171176465</v>
      </c>
      <c r="E1037">
        <f t="shared" si="18"/>
        <v>2.427644478458598</v>
      </c>
    </row>
    <row r="1038" spans="4:5">
      <c r="D1038" s="137">
        <v>1.5052296938861218</v>
      </c>
      <c r="E1038">
        <f t="shared" si="18"/>
        <v>2.4275768454268367</v>
      </c>
    </row>
    <row r="1039" spans="4:5">
      <c r="D1039" s="137">
        <v>1.5053302577464365</v>
      </c>
      <c r="E1039">
        <f t="shared" si="18"/>
        <v>2.42749859627519</v>
      </c>
    </row>
    <row r="1040" spans="4:5">
      <c r="D1040" s="137">
        <v>1.5054308216067511</v>
      </c>
      <c r="E1040">
        <f t="shared" si="18"/>
        <v>2.4274194381757122</v>
      </c>
    </row>
    <row r="1041" spans="4:5">
      <c r="D1041" s="137">
        <v>1.5056065751437018</v>
      </c>
      <c r="E1041">
        <f t="shared" si="18"/>
        <v>2.4272789129304266</v>
      </c>
    </row>
    <row r="1042" spans="4:5">
      <c r="D1042" s="137">
        <v>1.5060840202615964</v>
      </c>
      <c r="E1042">
        <f t="shared" si="18"/>
        <v>2.4268831578173971</v>
      </c>
    </row>
    <row r="1043" spans="4:5">
      <c r="D1043" s="137">
        <v>1.5060965207785557</v>
      </c>
      <c r="E1043">
        <f t="shared" si="18"/>
        <v>2.4268725210485709</v>
      </c>
    </row>
    <row r="1044" spans="4:5">
      <c r="D1044" s="137">
        <v>1.5065110901618937</v>
      </c>
      <c r="E1044">
        <f t="shared" si="18"/>
        <v>2.4265118121592542</v>
      </c>
    </row>
    <row r="1045" spans="4:5">
      <c r="D1045" s="137">
        <v>1.506712217882523</v>
      </c>
      <c r="E1045">
        <f t="shared" si="18"/>
        <v>2.4263312561594796</v>
      </c>
    </row>
    <row r="1046" spans="4:5">
      <c r="D1046" s="137">
        <v>1.506712217882523</v>
      </c>
      <c r="E1046">
        <f t="shared" si="18"/>
        <v>2.4263312561594796</v>
      </c>
    </row>
    <row r="1047" spans="4:5">
      <c r="D1047" s="137">
        <v>1.506787594134039</v>
      </c>
      <c r="E1047">
        <f t="shared" si="18"/>
        <v>2.4262626542273442</v>
      </c>
    </row>
    <row r="1048" spans="4:5">
      <c r="D1048" s="137">
        <v>1.5072148506092162</v>
      </c>
      <c r="E1048">
        <f t="shared" si="18"/>
        <v>2.4258641619732124</v>
      </c>
    </row>
    <row r="1049" spans="4:5">
      <c r="D1049" s="137">
        <v>1.5082704912802001</v>
      </c>
      <c r="E1049">
        <f t="shared" si="18"/>
        <v>2.4248094024343181</v>
      </c>
    </row>
    <row r="1050" spans="4:5">
      <c r="D1050" s="137">
        <v>1.5084466179669107</v>
      </c>
      <c r="E1050">
        <f t="shared" si="18"/>
        <v>2.4246237021695447</v>
      </c>
    </row>
    <row r="1051" spans="4:5">
      <c r="D1051" s="137">
        <v>1.508610057561782</v>
      </c>
      <c r="E1051">
        <f t="shared" si="18"/>
        <v>2.4244488934194117</v>
      </c>
    </row>
    <row r="1052" spans="4:5">
      <c r="D1052" s="137">
        <v>1.5087734971566533</v>
      </c>
      <c r="E1052">
        <f t="shared" si="18"/>
        <v>2.4242716928560486</v>
      </c>
    </row>
    <row r="1053" spans="4:5">
      <c r="D1053" s="137">
        <v>1.508798498190572</v>
      </c>
      <c r="E1053">
        <f t="shared" si="18"/>
        <v>2.4242443759482426</v>
      </c>
    </row>
    <row r="1054" spans="4:5">
      <c r="D1054" s="137">
        <v>1.5090626882206379</v>
      </c>
      <c r="E1054">
        <f t="shared" si="18"/>
        <v>2.4239522944828167</v>
      </c>
    </row>
    <row r="1055" spans="4:5">
      <c r="D1055" s="137">
        <v>1.5093895674103806</v>
      </c>
      <c r="E1055">
        <f t="shared" si="18"/>
        <v>2.4235822612955542</v>
      </c>
    </row>
    <row r="1056" spans="4:5">
      <c r="D1056" s="137">
        <v>1.5095278193964532</v>
      </c>
      <c r="E1056">
        <f t="shared" si="18"/>
        <v>2.4234228814551253</v>
      </c>
    </row>
    <row r="1057" spans="4:5">
      <c r="D1057" s="137">
        <v>1.5096660713825258</v>
      </c>
      <c r="E1057">
        <f t="shared" si="18"/>
        <v>2.4232617923792623</v>
      </c>
    </row>
    <row r="1058" spans="4:5">
      <c r="D1058" s="137">
        <v>1.5099931371471484</v>
      </c>
      <c r="E1058">
        <f t="shared" si="18"/>
        <v>2.4228738976228441</v>
      </c>
    </row>
    <row r="1059" spans="4:5">
      <c r="D1059" s="137">
        <v>1.5100056376641078</v>
      </c>
      <c r="E1059">
        <f t="shared" si="18"/>
        <v>2.4228588825163331</v>
      </c>
    </row>
    <row r="1060" spans="4:5">
      <c r="D1060" s="137">
        <v>1.5103830786463277</v>
      </c>
      <c r="E1060">
        <f t="shared" si="18"/>
        <v>2.4223989409740652</v>
      </c>
    </row>
    <row r="1061" spans="4:5">
      <c r="D1061" s="137">
        <v>1.510546704816079</v>
      </c>
      <c r="E1061">
        <f t="shared" si="18"/>
        <v>2.4221955956941916</v>
      </c>
    </row>
    <row r="1062" spans="4:5">
      <c r="D1062" s="137">
        <v>1.5105592053330383</v>
      </c>
      <c r="E1062">
        <f t="shared" si="18"/>
        <v>2.4221799624640683</v>
      </c>
    </row>
    <row r="1063" spans="4:5">
      <c r="D1063" s="137">
        <v>1.5112512115629215</v>
      </c>
      <c r="E1063">
        <f t="shared" si="18"/>
        <v>2.42129277789964</v>
      </c>
    </row>
    <row r="1064" spans="4:5">
      <c r="D1064" s="137">
        <v>1.5113519619981162</v>
      </c>
      <c r="E1064">
        <f t="shared" si="18"/>
        <v>2.4211600482021201</v>
      </c>
    </row>
    <row r="1065" spans="4:5">
      <c r="D1065" s="137">
        <v>1.5113771496069148</v>
      </c>
      <c r="E1065">
        <f t="shared" si="18"/>
        <v>2.4211267243390711</v>
      </c>
    </row>
    <row r="1066" spans="4:5">
      <c r="D1066" s="137">
        <v>1.5114527124333108</v>
      </c>
      <c r="E1066">
        <f t="shared" si="18"/>
        <v>2.4210264133346788</v>
      </c>
    </row>
    <row r="1067" spans="4:5">
      <c r="D1067" s="137">
        <v>1.5114527124333108</v>
      </c>
      <c r="E1067">
        <f t="shared" si="18"/>
        <v>2.4210264133346788</v>
      </c>
    </row>
    <row r="1068" spans="4:5">
      <c r="D1068" s="137">
        <v>1.5117169024633768</v>
      </c>
      <c r="E1068">
        <f t="shared" si="18"/>
        <v>2.4206716953463494</v>
      </c>
    </row>
    <row r="1069" spans="4:5">
      <c r="D1069" s="137">
        <v>1.5119434043676847</v>
      </c>
      <c r="E1069">
        <f t="shared" si="18"/>
        <v>2.4203626271998822</v>
      </c>
    </row>
    <row r="1070" spans="4:5">
      <c r="D1070" s="137">
        <v>1.512107217112316</v>
      </c>
      <c r="E1070">
        <f t="shared" si="18"/>
        <v>2.4201362520719814</v>
      </c>
    </row>
    <row r="1071" spans="4:5">
      <c r="D1071" s="137">
        <v>1.5126359703222079</v>
      </c>
      <c r="E1071">
        <f t="shared" si="18"/>
        <v>2.4193892573619511</v>
      </c>
    </row>
    <row r="1072" spans="4:5">
      <c r="D1072" s="137">
        <v>1.5127870959749998</v>
      </c>
      <c r="E1072">
        <f t="shared" si="18"/>
        <v>2.4191711829080584</v>
      </c>
    </row>
    <row r="1073" spans="4:5">
      <c r="D1073" s="137">
        <v>1.5133158491848917</v>
      </c>
      <c r="E1073">
        <f t="shared" si="18"/>
        <v>2.418392206498424</v>
      </c>
    </row>
    <row r="1074" spans="4:5">
      <c r="D1074" s="137">
        <v>1.513328536276731</v>
      </c>
      <c r="E1074">
        <f t="shared" si="18"/>
        <v>2.4183732101405306</v>
      </c>
    </row>
    <row r="1075" spans="4:5">
      <c r="D1075" s="137">
        <v>1.5135679118477583</v>
      </c>
      <c r="E1075">
        <f t="shared" si="18"/>
        <v>2.4180121130186363</v>
      </c>
    </row>
    <row r="1076" spans="4:5">
      <c r="D1076" s="137">
        <v>1.5135804123647176</v>
      </c>
      <c r="E1076">
        <f t="shared" si="18"/>
        <v>2.4179931161823367</v>
      </c>
    </row>
    <row r="1077" spans="4:5">
      <c r="D1077" s="137">
        <v>1.5138072874187856</v>
      </c>
      <c r="E1077">
        <f t="shared" si="18"/>
        <v>2.417645926222395</v>
      </c>
    </row>
    <row r="1078" spans="4:5">
      <c r="D1078" s="137">
        <v>1.5141601005168468</v>
      </c>
      <c r="E1078">
        <f t="shared" si="18"/>
        <v>2.4170969332532888</v>
      </c>
    </row>
    <row r="1079" spans="4:5">
      <c r="D1079" s="137">
        <v>1.5150549136412792</v>
      </c>
      <c r="E1079">
        <f t="shared" si="18"/>
        <v>2.4156550573031983</v>
      </c>
    </row>
    <row r="1080" spans="4:5">
      <c r="D1080" s="137">
        <v>1.5151685377431932</v>
      </c>
      <c r="E1080">
        <f t="shared" si="18"/>
        <v>2.4154668901480334</v>
      </c>
    </row>
    <row r="1081" spans="4:5">
      <c r="D1081" s="137">
        <v>1.5154711621985371</v>
      </c>
      <c r="E1081">
        <f t="shared" si="18"/>
        <v>2.4149601530941327</v>
      </c>
    </row>
    <row r="1082" spans="4:5">
      <c r="D1082" s="137">
        <v>1.5159629735821909</v>
      </c>
      <c r="E1082">
        <f t="shared" si="18"/>
        <v>2.4141193434237147</v>
      </c>
    </row>
    <row r="1083" spans="4:5">
      <c r="D1083" s="137">
        <v>1.5160512235004262</v>
      </c>
      <c r="E1083">
        <f t="shared" si="18"/>
        <v>2.4139662066898899</v>
      </c>
    </row>
    <row r="1084" spans="4:5">
      <c r="D1084" s="137">
        <v>1.5162025357280982</v>
      </c>
      <c r="E1084">
        <f t="shared" si="18"/>
        <v>2.4137020386546575</v>
      </c>
    </row>
    <row r="1085" spans="4:5">
      <c r="D1085" s="137">
        <v>1.5163919092312881</v>
      </c>
      <c r="E1085">
        <f t="shared" si="18"/>
        <v>2.413368571625663</v>
      </c>
    </row>
    <row r="1086" spans="4:5">
      <c r="D1086" s="137">
        <v>1.5167831567546273</v>
      </c>
      <c r="E1086">
        <f t="shared" si="18"/>
        <v>2.4126695965448754</v>
      </c>
    </row>
    <row r="1087" spans="4:5">
      <c r="D1087" s="137">
        <v>1.5169850307747765</v>
      </c>
      <c r="E1087">
        <f t="shared" si="18"/>
        <v>2.4123036597494267</v>
      </c>
    </row>
    <row r="1088" spans="4:5">
      <c r="D1088" s="137">
        <v>1.5169850307747765</v>
      </c>
      <c r="E1088">
        <f t="shared" si="18"/>
        <v>2.4123036597494267</v>
      </c>
    </row>
    <row r="1089" spans="4:5">
      <c r="D1089" s="137">
        <v>1.5172499671043624</v>
      </c>
      <c r="E1089">
        <f t="shared" si="18"/>
        <v>2.4118179567370448</v>
      </c>
    </row>
    <row r="1090" spans="4:5">
      <c r="D1090" s="137">
        <v>1.5172753412880411</v>
      </c>
      <c r="E1090">
        <f t="shared" si="18"/>
        <v>2.4117711140157652</v>
      </c>
    </row>
    <row r="1091" spans="4:5">
      <c r="D1091" s="137">
        <v>1.5174899024000297</v>
      </c>
      <c r="E1091">
        <f t="shared" ref="E1091:E1154" si="19">_xlfn.NORM.DIST(D1091,$B$2,$B$4,FALSE)</f>
        <v>2.4113727492578163</v>
      </c>
    </row>
    <row r="1092" spans="4:5">
      <c r="D1092" s="137">
        <v>1.5181845206782327</v>
      </c>
      <c r="E1092">
        <f t="shared" si="19"/>
        <v>2.4100552820349059</v>
      </c>
    </row>
    <row r="1093" spans="4:5">
      <c r="D1093" s="137">
        <v>1.5182097082870314</v>
      </c>
      <c r="E1093">
        <f t="shared" si="19"/>
        <v>2.4100067116210662</v>
      </c>
    </row>
    <row r="1094" spans="4:5">
      <c r="D1094" s="137">
        <v>1.5182854576883074</v>
      </c>
      <c r="E1094">
        <f t="shared" si="19"/>
        <v>2.4098603044348619</v>
      </c>
    </row>
    <row r="1095" spans="4:5">
      <c r="D1095" s="137">
        <v>1.5185507671676532</v>
      </c>
      <c r="E1095">
        <f t="shared" si="19"/>
        <v>2.4093435415051792</v>
      </c>
    </row>
    <row r="1096" spans="4:5">
      <c r="D1096" s="137">
        <v>1.5193470687554509</v>
      </c>
      <c r="E1096">
        <f t="shared" si="19"/>
        <v>2.4077554042318252</v>
      </c>
    </row>
    <row r="1097" spans="4:5">
      <c r="D1097" s="137">
        <v>1.5196885007858327</v>
      </c>
      <c r="E1097">
        <f t="shared" si="19"/>
        <v>2.4070574170482768</v>
      </c>
    </row>
    <row r="1098" spans="4:5">
      <c r="D1098" s="137">
        <v>1.5198780608639026</v>
      </c>
      <c r="E1098">
        <f t="shared" si="19"/>
        <v>2.4066654909010574</v>
      </c>
    </row>
    <row r="1099" spans="4:5">
      <c r="D1099" s="137">
        <v>1.5200553069998932</v>
      </c>
      <c r="E1099">
        <f t="shared" si="19"/>
        <v>2.4062961779215875</v>
      </c>
    </row>
    <row r="1100" spans="4:5">
      <c r="D1100" s="137">
        <v>1.5200804946086919</v>
      </c>
      <c r="E1100">
        <f t="shared" si="19"/>
        <v>2.4062434734344222</v>
      </c>
    </row>
    <row r="1101" spans="4:5">
      <c r="D1101" s="137">
        <v>1.5201691176766872</v>
      </c>
      <c r="E1101">
        <f t="shared" si="19"/>
        <v>2.406057590370938</v>
      </c>
    </row>
    <row r="1102" spans="4:5">
      <c r="D1102" s="137">
        <v>1.5202069923773252</v>
      </c>
      <c r="E1102">
        <f t="shared" si="19"/>
        <v>2.4059779402025585</v>
      </c>
    </row>
    <row r="1103" spans="4:5">
      <c r="D1103" s="137">
        <v>1.5203083025371598</v>
      </c>
      <c r="E1103">
        <f t="shared" si="19"/>
        <v>2.4057642690007066</v>
      </c>
    </row>
    <row r="1104" spans="4:5">
      <c r="D1104" s="137">
        <v>1.5209915397476834</v>
      </c>
      <c r="E1104">
        <f t="shared" si="19"/>
        <v>2.4042998369711079</v>
      </c>
    </row>
    <row r="1105" spans="4:5">
      <c r="D1105" s="137">
        <v>1.5210169139313621</v>
      </c>
      <c r="E1105">
        <f t="shared" si="19"/>
        <v>2.4042446652755176</v>
      </c>
    </row>
    <row r="1106" spans="4:5">
      <c r="D1106" s="137">
        <v>1.5211941600673526</v>
      </c>
      <c r="E1106">
        <f t="shared" si="19"/>
        <v>2.4038577073623046</v>
      </c>
    </row>
    <row r="1107" spans="4:5">
      <c r="D1107" s="137">
        <v>1.522955053784699</v>
      </c>
      <c r="E1107">
        <f t="shared" si="19"/>
        <v>2.3998647079636388</v>
      </c>
    </row>
    <row r="1108" spans="4:5">
      <c r="D1108" s="137">
        <v>1.5231324864955695</v>
      </c>
      <c r="E1108">
        <f t="shared" si="19"/>
        <v>2.3994474099565757</v>
      </c>
    </row>
    <row r="1109" spans="4:5">
      <c r="D1109" s="137">
        <v>1.5231705477710875</v>
      </c>
      <c r="E1109">
        <f t="shared" si="19"/>
        <v>2.3993575390392481</v>
      </c>
    </row>
    <row r="1110" spans="4:5">
      <c r="D1110" s="137">
        <v>1.5234367901248334</v>
      </c>
      <c r="E1110">
        <f t="shared" si="19"/>
        <v>2.3987253694292772</v>
      </c>
    </row>
    <row r="1111" spans="4:5">
      <c r="D1111" s="137">
        <v>1.5235255997677086</v>
      </c>
      <c r="E1111">
        <f t="shared" si="19"/>
        <v>2.3985131315702919</v>
      </c>
    </row>
    <row r="1112" spans="4:5">
      <c r="D1112" s="137">
        <v>1.5236017223187446</v>
      </c>
      <c r="E1112">
        <f t="shared" si="19"/>
        <v>2.3983306693521826</v>
      </c>
    </row>
    <row r="1113" spans="4:5">
      <c r="D1113" s="137">
        <v>1.5236270965024232</v>
      </c>
      <c r="E1113">
        <f t="shared" si="19"/>
        <v>2.3982697370337447</v>
      </c>
    </row>
    <row r="1114" spans="4:5">
      <c r="D1114" s="137">
        <v>1.5237920286963345</v>
      </c>
      <c r="E1114">
        <f t="shared" si="19"/>
        <v>2.3978723174637429</v>
      </c>
    </row>
    <row r="1115" spans="4:5">
      <c r="D1115" s="137">
        <v>1.5240203963494423</v>
      </c>
      <c r="E1115">
        <f t="shared" si="19"/>
        <v>2.3973181556208627</v>
      </c>
    </row>
    <row r="1116" spans="4:5">
      <c r="D1116" s="137">
        <v>1.524045770533121</v>
      </c>
      <c r="E1116">
        <f t="shared" si="19"/>
        <v>2.3972563034508139</v>
      </c>
    </row>
    <row r="1117" spans="4:5">
      <c r="D1117" s="137">
        <v>1.5241726414515142</v>
      </c>
      <c r="E1117">
        <f t="shared" si="19"/>
        <v>2.3969462070340271</v>
      </c>
    </row>
    <row r="1118" spans="4:5">
      <c r="D1118" s="137">
        <v>1.5244646311386987</v>
      </c>
      <c r="E1118">
        <f t="shared" si="19"/>
        <v>2.3962272410050196</v>
      </c>
    </row>
    <row r="1119" spans="4:5">
      <c r="D1119" s="137">
        <v>1.524477318230538</v>
      </c>
      <c r="E1119">
        <f t="shared" si="19"/>
        <v>2.3961958345236236</v>
      </c>
    </row>
    <row r="1120" spans="4:5">
      <c r="D1120" s="137">
        <v>1.524515566080936</v>
      </c>
      <c r="E1120">
        <f t="shared" si="19"/>
        <v>2.3961010690518343</v>
      </c>
    </row>
    <row r="1121" spans="4:5">
      <c r="D1121" s="137">
        <v>1.5245916886319719</v>
      </c>
      <c r="E1121">
        <f t="shared" si="19"/>
        <v>2.3959120865603305</v>
      </c>
    </row>
    <row r="1122" spans="4:5">
      <c r="D1122" s="137">
        <v>1.5247312466422045</v>
      </c>
      <c r="E1122">
        <f t="shared" si="19"/>
        <v>2.395564318750345</v>
      </c>
    </row>
    <row r="1123" spans="4:5">
      <c r="D1123" s="137">
        <v>1.5247439337340438</v>
      </c>
      <c r="E1123">
        <f t="shared" si="19"/>
        <v>2.3955326200984746</v>
      </c>
    </row>
    <row r="1124" spans="4:5">
      <c r="D1124" s="137">
        <v>1.5248709912273171</v>
      </c>
      <c r="E1124">
        <f t="shared" si="19"/>
        <v>2.3952144010359966</v>
      </c>
    </row>
    <row r="1125" spans="4:5">
      <c r="D1125" s="137">
        <v>1.5248836783191564</v>
      </c>
      <c r="E1125">
        <f t="shared" si="19"/>
        <v>2.3951825493442191</v>
      </c>
    </row>
    <row r="1126" spans="4:5">
      <c r="D1126" s="137">
        <v>1.5249726745369117</v>
      </c>
      <c r="E1126">
        <f t="shared" si="19"/>
        <v>2.394958728651821</v>
      </c>
    </row>
    <row r="1127" spans="4:5">
      <c r="D1127" s="137">
        <v>1.5253282862581727</v>
      </c>
      <c r="E1127">
        <f t="shared" si="19"/>
        <v>2.3940575660363188</v>
      </c>
    </row>
    <row r="1128" spans="4:5">
      <c r="D1128" s="137">
        <v>1.5260018215749369</v>
      </c>
      <c r="E1128">
        <f t="shared" si="19"/>
        <v>2.3923208909150961</v>
      </c>
    </row>
    <row r="1129" spans="4:5">
      <c r="D1129" s="137">
        <v>1.5261925011022868</v>
      </c>
      <c r="E1129">
        <f t="shared" si="19"/>
        <v>2.3918221456099742</v>
      </c>
    </row>
    <row r="1130" spans="4:5">
      <c r="D1130" s="137">
        <v>1.5262561231363634</v>
      </c>
      <c r="E1130">
        <f t="shared" si="19"/>
        <v>2.3916550392861153</v>
      </c>
    </row>
    <row r="1131" spans="4:5">
      <c r="D1131" s="137">
        <v>1.526713977891859</v>
      </c>
      <c r="E1131">
        <f t="shared" si="19"/>
        <v>2.3904422104916483</v>
      </c>
    </row>
    <row r="1132" spans="4:5">
      <c r="D1132" s="137">
        <v>1.5268285348681729</v>
      </c>
      <c r="E1132">
        <f t="shared" si="19"/>
        <v>2.3901359427639437</v>
      </c>
    </row>
    <row r="1133" spans="4:5">
      <c r="D1133" s="137">
        <v>1.5268539090518516</v>
      </c>
      <c r="E1133">
        <f t="shared" si="19"/>
        <v>2.3900679527260951</v>
      </c>
    </row>
    <row r="1134" spans="4:5">
      <c r="D1134" s="137">
        <v>1.5272485149230306</v>
      </c>
      <c r="E1134">
        <f t="shared" si="19"/>
        <v>2.389003506429062</v>
      </c>
    </row>
    <row r="1135" spans="4:5">
      <c r="D1135" s="137">
        <v>1.5272485149230306</v>
      </c>
      <c r="E1135">
        <f t="shared" si="19"/>
        <v>2.389003506429062</v>
      </c>
    </row>
    <row r="1136" spans="4:5">
      <c r="D1136" s="137">
        <v>1.5272612020148699</v>
      </c>
      <c r="E1136">
        <f t="shared" si="19"/>
        <v>2.3889690617907702</v>
      </c>
    </row>
    <row r="1137" spans="4:5">
      <c r="D1137" s="137">
        <v>1.5272865761985486</v>
      </c>
      <c r="E1137">
        <f t="shared" si="19"/>
        <v>2.3889001311731617</v>
      </c>
    </row>
    <row r="1138" spans="4:5">
      <c r="D1138" s="137">
        <v>1.5274393810252604</v>
      </c>
      <c r="E1138">
        <f t="shared" si="19"/>
        <v>2.3884838617329551</v>
      </c>
    </row>
    <row r="1139" spans="4:5">
      <c r="D1139" s="137">
        <v>1.5274903159674977</v>
      </c>
      <c r="E1139">
        <f t="shared" si="19"/>
        <v>2.3883446612512609</v>
      </c>
    </row>
    <row r="1140" spans="4:5">
      <c r="D1140" s="137">
        <v>1.5275156901511764</v>
      </c>
      <c r="E1140">
        <f t="shared" si="19"/>
        <v>2.3882752331344901</v>
      </c>
    </row>
    <row r="1141" spans="4:5">
      <c r="D1141" s="137">
        <v>1.527579498760133</v>
      </c>
      <c r="E1141">
        <f t="shared" si="19"/>
        <v>2.3881003984717974</v>
      </c>
    </row>
    <row r="1142" spans="4:5">
      <c r="D1142" s="137">
        <v>1.5276304337023703</v>
      </c>
      <c r="E1142">
        <f t="shared" si="19"/>
        <v>2.3879605875626164</v>
      </c>
    </row>
    <row r="1143" spans="4:5">
      <c r="D1143" s="137">
        <v>1.527936043355794</v>
      </c>
      <c r="E1143">
        <f t="shared" si="19"/>
        <v>2.3871170651855889</v>
      </c>
    </row>
    <row r="1144" spans="4:5">
      <c r="D1144" s="137">
        <v>1.5280888481825059</v>
      </c>
      <c r="E1144">
        <f t="shared" si="19"/>
        <v>2.3866923120691963</v>
      </c>
    </row>
    <row r="1145" spans="4:5">
      <c r="D1145" s="137">
        <v>1.5281144089410645</v>
      </c>
      <c r="E1145">
        <f t="shared" si="19"/>
        <v>2.3866210659499032</v>
      </c>
    </row>
    <row r="1146" spans="4:5">
      <c r="D1146" s="137">
        <v>1.5282800874344957</v>
      </c>
      <c r="E1146">
        <f t="shared" si="19"/>
        <v>2.3861579143084226</v>
      </c>
    </row>
    <row r="1147" spans="4:5">
      <c r="D1147" s="137">
        <v>1.5286496922717561</v>
      </c>
      <c r="E1147">
        <f t="shared" si="19"/>
        <v>2.3851162534125132</v>
      </c>
    </row>
    <row r="1148" spans="4:5">
      <c r="D1148" s="137">
        <v>1.5292234100277255</v>
      </c>
      <c r="E1148">
        <f t="shared" si="19"/>
        <v>2.3834762925575426</v>
      </c>
    </row>
    <row r="1149" spans="4:5">
      <c r="D1149" s="137">
        <v>1.5292362836944449</v>
      </c>
      <c r="E1149">
        <f t="shared" si="19"/>
        <v>2.3834391722360104</v>
      </c>
    </row>
    <row r="1150" spans="4:5">
      <c r="D1150" s="137">
        <v>1.5292872186366822</v>
      </c>
      <c r="E1150">
        <f t="shared" si="19"/>
        <v>2.3832921667463287</v>
      </c>
    </row>
    <row r="1151" spans="4:5">
      <c r="D1151" s="137">
        <v>1.5293892750960367</v>
      </c>
      <c r="E1151">
        <f t="shared" si="19"/>
        <v>2.3829969538286488</v>
      </c>
    </row>
    <row r="1152" spans="4:5">
      <c r="D1152" s="137">
        <v>1.5295042052221106</v>
      </c>
      <c r="E1152">
        <f t="shared" si="19"/>
        <v>2.3826634426685205</v>
      </c>
    </row>
    <row r="1153" spans="4:5">
      <c r="D1153" s="137">
        <v>1.5298613095424116</v>
      </c>
      <c r="E1153">
        <f t="shared" si="19"/>
        <v>2.3816200207451628</v>
      </c>
    </row>
    <row r="1154" spans="4:5">
      <c r="D1154" s="137">
        <v>1.5300656090360008</v>
      </c>
      <c r="E1154">
        <f t="shared" si="19"/>
        <v>2.3810182144492207</v>
      </c>
    </row>
    <row r="1155" spans="4:5">
      <c r="D1155" s="137">
        <v>1.530116730553118</v>
      </c>
      <c r="E1155">
        <f t="shared" ref="E1155:E1218" si="20">_xlfn.NORM.DIST(D1155,$B$2,$B$4,FALSE)</f>
        <v>2.3808670721275162</v>
      </c>
    </row>
    <row r="1156" spans="4:5">
      <c r="D1156" s="137">
        <v>1.5301678520702353</v>
      </c>
      <c r="E1156">
        <f t="shared" si="20"/>
        <v>2.3807157083911554</v>
      </c>
    </row>
    <row r="1157" spans="4:5">
      <c r="D1157" s="137">
        <v>1.5302316606791919</v>
      </c>
      <c r="E1157">
        <f t="shared" si="20"/>
        <v>2.380526469340257</v>
      </c>
    </row>
    <row r="1158" spans="4:5">
      <c r="D1158" s="137">
        <v>1.5302316606791919</v>
      </c>
      <c r="E1158">
        <f t="shared" si="20"/>
        <v>2.380526469340257</v>
      </c>
    </row>
    <row r="1159" spans="4:5">
      <c r="D1159" s="137">
        <v>1.5304997687817377</v>
      </c>
      <c r="E1159">
        <f t="shared" si="20"/>
        <v>2.3797275662723578</v>
      </c>
    </row>
    <row r="1160" spans="4:5">
      <c r="D1160" s="137">
        <v>1.5311003533204257</v>
      </c>
      <c r="E1160">
        <f t="shared" si="20"/>
        <v>2.3779158980190034</v>
      </c>
    </row>
    <row r="1161" spans="4:5">
      <c r="D1161" s="137">
        <v>1.5312410307799382</v>
      </c>
      <c r="E1161">
        <f t="shared" si="20"/>
        <v>2.377487140146656</v>
      </c>
    </row>
    <row r="1162" spans="4:5">
      <c r="D1162" s="137">
        <v>1.5312792786303362</v>
      </c>
      <c r="E1162">
        <f t="shared" si="20"/>
        <v>2.3773702793770579</v>
      </c>
    </row>
    <row r="1163" spans="4:5">
      <c r="D1163" s="137">
        <v>1.5319188573189422</v>
      </c>
      <c r="E1163">
        <f t="shared" si="20"/>
        <v>2.3753978725423237</v>
      </c>
    </row>
    <row r="1164" spans="4:5">
      <c r="D1164" s="137">
        <v>1.5320084132613374</v>
      </c>
      <c r="E1164">
        <f t="shared" si="20"/>
        <v>2.3751189410001019</v>
      </c>
    </row>
    <row r="1165" spans="4:5">
      <c r="D1165" s="137">
        <v>1.5321490907208499</v>
      </c>
      <c r="E1165">
        <f t="shared" si="20"/>
        <v>2.3746794243228506</v>
      </c>
    </row>
    <row r="1166" spans="4:5">
      <c r="D1166" s="137">
        <v>1.5323155155138011</v>
      </c>
      <c r="E1166">
        <f t="shared" si="20"/>
        <v>2.3741573179704045</v>
      </c>
    </row>
    <row r="1167" spans="4:5">
      <c r="D1167" s="137">
        <v>1.5325714962491475</v>
      </c>
      <c r="E1167">
        <f t="shared" si="20"/>
        <v>2.3733497174682268</v>
      </c>
    </row>
    <row r="1168" spans="4:5">
      <c r="D1168" s="137">
        <v>1.532635678007864</v>
      </c>
      <c r="E1168">
        <f t="shared" si="20"/>
        <v>2.3731463664954329</v>
      </c>
    </row>
    <row r="1169" spans="4:5">
      <c r="D1169" s="137">
        <v>1.5328276635593738</v>
      </c>
      <c r="E1169">
        <f t="shared" si="20"/>
        <v>2.3725360248376299</v>
      </c>
    </row>
    <row r="1170" spans="4:5">
      <c r="D1170" s="137">
        <v>1.532955840501927</v>
      </c>
      <c r="E1170">
        <f t="shared" si="20"/>
        <v>2.3721268174628443</v>
      </c>
    </row>
    <row r="1171" spans="4:5">
      <c r="D1171" s="137">
        <v>1.5331480126283168</v>
      </c>
      <c r="E1171">
        <f t="shared" si="20"/>
        <v>2.3715107261171404</v>
      </c>
    </row>
    <row r="1172" spans="4:5">
      <c r="D1172" s="137">
        <v>1.5331480126283168</v>
      </c>
      <c r="E1172">
        <f t="shared" si="20"/>
        <v>2.3715107261171404</v>
      </c>
    </row>
    <row r="1173" spans="4:5">
      <c r="D1173" s="137">
        <v>1.533237568570712</v>
      </c>
      <c r="E1173">
        <f t="shared" si="20"/>
        <v>2.3712225595905805</v>
      </c>
    </row>
    <row r="1174" spans="4:5">
      <c r="D1174" s="137">
        <v>1.5332888766627093</v>
      </c>
      <c r="E1174">
        <f t="shared" si="20"/>
        <v>2.3710571618270171</v>
      </c>
    </row>
    <row r="1175" spans="4:5">
      <c r="D1175" s="137">
        <v>1.5333528718465459</v>
      </c>
      <c r="E1175">
        <f t="shared" si="20"/>
        <v>2.3708505571052876</v>
      </c>
    </row>
    <row r="1176" spans="4:5">
      <c r="D1176" s="137">
        <v>1.5334683616972598</v>
      </c>
      <c r="E1176">
        <f t="shared" si="20"/>
        <v>2.3704768382085319</v>
      </c>
    </row>
    <row r="1177" spans="4:5">
      <c r="D1177" s="137">
        <v>1.5337760236743634</v>
      </c>
      <c r="E1177">
        <f t="shared" si="20"/>
        <v>2.3694758214755627</v>
      </c>
    </row>
    <row r="1178" spans="4:5">
      <c r="D1178" s="137">
        <v>1.5338273317663607</v>
      </c>
      <c r="E1178">
        <f t="shared" si="20"/>
        <v>2.3693081151898117</v>
      </c>
    </row>
    <row r="1179" spans="4:5">
      <c r="D1179" s="137">
        <v>1.5338528925249193</v>
      </c>
      <c r="E1179">
        <f t="shared" si="20"/>
        <v>2.3692244849772073</v>
      </c>
    </row>
    <row r="1180" spans="4:5">
      <c r="D1180" s="137">
        <v>1.5340454378010691</v>
      </c>
      <c r="E1180">
        <f t="shared" si="20"/>
        <v>2.3685927596592111</v>
      </c>
    </row>
    <row r="1181" spans="4:5">
      <c r="D1181" s="137">
        <v>1.5342506701690581</v>
      </c>
      <c r="E1181">
        <f t="shared" si="20"/>
        <v>2.367916005789978</v>
      </c>
    </row>
    <row r="1182" spans="4:5">
      <c r="D1182" s="137">
        <v>1.53440459444505</v>
      </c>
      <c r="E1182">
        <f t="shared" si="20"/>
        <v>2.3674061376128508</v>
      </c>
    </row>
    <row r="1183" spans="4:5">
      <c r="D1183" s="137">
        <v>1.5345329579624831</v>
      </c>
      <c r="E1183">
        <f t="shared" si="20"/>
        <v>2.366979430156134</v>
      </c>
    </row>
    <row r="1184" spans="4:5">
      <c r="D1184" s="137">
        <v>1.5348409930893467</v>
      </c>
      <c r="E1184">
        <f t="shared" si="20"/>
        <v>2.3659498656408586</v>
      </c>
    </row>
    <row r="1185" spans="4:5">
      <c r="D1185" s="137">
        <v>1.5353290729754008</v>
      </c>
      <c r="E1185">
        <f t="shared" si="20"/>
        <v>2.3643023883430661</v>
      </c>
    </row>
    <row r="1186" spans="4:5">
      <c r="D1186" s="137">
        <v>1.5354447494009946</v>
      </c>
      <c r="E1186">
        <f t="shared" si="20"/>
        <v>2.3639090344425182</v>
      </c>
    </row>
    <row r="1187" spans="4:5">
      <c r="D1187" s="137">
        <v>1.5354833704011526</v>
      </c>
      <c r="E1187">
        <f t="shared" si="20"/>
        <v>2.3637774580674056</v>
      </c>
    </row>
    <row r="1188" spans="4:5">
      <c r="D1188" s="137">
        <v>1.5356376678269044</v>
      </c>
      <c r="E1188">
        <f t="shared" si="20"/>
        <v>2.3632505553264145</v>
      </c>
    </row>
    <row r="1189" spans="4:5">
      <c r="D1189" s="137">
        <v>1.5356761022521823</v>
      </c>
      <c r="E1189">
        <f t="shared" si="20"/>
        <v>2.3631190007881431</v>
      </c>
    </row>
    <row r="1190" spans="4:5">
      <c r="D1190" s="137">
        <v>1.5359589497702473</v>
      </c>
      <c r="E1190">
        <f t="shared" si="20"/>
        <v>2.3621471017787723</v>
      </c>
    </row>
    <row r="1191" spans="4:5">
      <c r="D1191" s="137">
        <v>1.536190489196315</v>
      </c>
      <c r="E1191">
        <f t="shared" si="20"/>
        <v>2.3613465801919511</v>
      </c>
    </row>
    <row r="1192" spans="4:5">
      <c r="D1192" s="137">
        <v>1.536190489196315</v>
      </c>
      <c r="E1192">
        <f t="shared" si="20"/>
        <v>2.3613465801919511</v>
      </c>
    </row>
    <row r="1193" spans="4:5">
      <c r="D1193" s="137">
        <v>1.5362934785300695</v>
      </c>
      <c r="E1193">
        <f t="shared" si="20"/>
        <v>2.3609890832128007</v>
      </c>
    </row>
    <row r="1194" spans="4:5">
      <c r="D1194" s="137">
        <v>1.5364220286223826</v>
      </c>
      <c r="E1194">
        <f t="shared" si="20"/>
        <v>2.3605416312210217</v>
      </c>
    </row>
    <row r="1195" spans="4:5">
      <c r="D1195" s="137">
        <v>1.5365121442894178</v>
      </c>
      <c r="E1195">
        <f t="shared" si="20"/>
        <v>2.3602271473788403</v>
      </c>
    </row>
    <row r="1196" spans="4:5">
      <c r="D1196" s="137">
        <v>1.5365378916228565</v>
      </c>
      <c r="E1196">
        <f t="shared" si="20"/>
        <v>2.3601371718414295</v>
      </c>
    </row>
    <row r="1197" spans="4:5">
      <c r="D1197" s="137">
        <v>1.5366923756234883</v>
      </c>
      <c r="E1197">
        <f t="shared" si="20"/>
        <v>2.3595961709925009</v>
      </c>
    </row>
    <row r="1198" spans="4:5">
      <c r="D1198" s="137">
        <v>1.5370013436247518</v>
      </c>
      <c r="E1198">
        <f t="shared" si="20"/>
        <v>2.3585082716971524</v>
      </c>
    </row>
    <row r="1199" spans="4:5">
      <c r="D1199" s="137">
        <v>1.5378646255944659</v>
      </c>
      <c r="E1199">
        <f t="shared" si="20"/>
        <v>2.355426997873252</v>
      </c>
    </row>
    <row r="1200" spans="4:5">
      <c r="D1200" s="137">
        <v>1.5378776858360652</v>
      </c>
      <c r="E1200">
        <f t="shared" si="20"/>
        <v>2.3553799129995152</v>
      </c>
    </row>
    <row r="1201" spans="4:5">
      <c r="D1201" s="137">
        <v>1.5378903729279045</v>
      </c>
      <c r="E1201">
        <f t="shared" si="20"/>
        <v>2.3553341600257918</v>
      </c>
    </row>
    <row r="1202" spans="4:5">
      <c r="D1202" s="137">
        <v>1.5379806751698197</v>
      </c>
      <c r="E1202">
        <f t="shared" si="20"/>
        <v>2.3550081255816235</v>
      </c>
    </row>
    <row r="1203" spans="4:5">
      <c r="D1203" s="137">
        <v>1.5390001203140855</v>
      </c>
      <c r="E1203">
        <f t="shared" si="20"/>
        <v>2.3512811850081978</v>
      </c>
    </row>
    <row r="1204" spans="4:5">
      <c r="D1204" s="137">
        <v>1.5390131805556848</v>
      </c>
      <c r="E1204">
        <f t="shared" si="20"/>
        <v>2.3512328883788727</v>
      </c>
    </row>
    <row r="1205" spans="4:5">
      <c r="D1205" s="137">
        <v>1.5391422903726379</v>
      </c>
      <c r="E1205">
        <f t="shared" si="20"/>
        <v>2.3507546940275792</v>
      </c>
    </row>
    <row r="1206" spans="4:5">
      <c r="D1206" s="137">
        <v>1.5392844604311904</v>
      </c>
      <c r="E1206">
        <f t="shared" si="20"/>
        <v>2.3502265571757484</v>
      </c>
    </row>
    <row r="1207" spans="4:5">
      <c r="D1207" s="137">
        <v>1.5395299929732573</v>
      </c>
      <c r="E1207">
        <f t="shared" si="20"/>
        <v>2.3493105744504486</v>
      </c>
    </row>
    <row r="1208" spans="4:5">
      <c r="D1208" s="137">
        <v>1.5397755255153243</v>
      </c>
      <c r="E1208">
        <f t="shared" si="20"/>
        <v>2.348389692152943</v>
      </c>
    </row>
    <row r="1209" spans="4:5">
      <c r="D1209" s="137">
        <v>1.5397883991820436</v>
      </c>
      <c r="E1209">
        <f t="shared" si="20"/>
        <v>2.348341273743638</v>
      </c>
    </row>
    <row r="1210" spans="4:5">
      <c r="D1210" s="137">
        <v>1.5406035448327202</v>
      </c>
      <c r="E1210">
        <f t="shared" si="20"/>
        <v>2.3452481214197709</v>
      </c>
    </row>
    <row r="1211" spans="4:5">
      <c r="D1211" s="137">
        <v>1.541134350366292</v>
      </c>
      <c r="E1211">
        <f t="shared" si="20"/>
        <v>2.3432050383649345</v>
      </c>
    </row>
    <row r="1212" spans="4:5">
      <c r="D1212" s="137">
        <v>1.5426778843484499</v>
      </c>
      <c r="E1212">
        <f t="shared" si="20"/>
        <v>2.3371351231968571</v>
      </c>
    </row>
    <row r="1213" spans="4:5">
      <c r="D1213" s="137">
        <v>1.5427166919234878</v>
      </c>
      <c r="E1213">
        <f t="shared" si="20"/>
        <v>2.3369800518900647</v>
      </c>
    </row>
    <row r="1214" spans="4:5">
      <c r="D1214" s="137">
        <v>1.5428857287647588</v>
      </c>
      <c r="E1214">
        <f t="shared" si="20"/>
        <v>2.3363031932528893</v>
      </c>
    </row>
    <row r="1215" spans="4:5">
      <c r="D1215" s="137">
        <v>1.5431846217225029</v>
      </c>
      <c r="E1215">
        <f t="shared" si="20"/>
        <v>2.3351007805081316</v>
      </c>
    </row>
    <row r="1216" spans="4:5">
      <c r="D1216" s="137">
        <v>1.543314477838976</v>
      </c>
      <c r="E1216">
        <f t="shared" si="20"/>
        <v>2.3345761638108558</v>
      </c>
    </row>
    <row r="1217" spans="4:5">
      <c r="D1217" s="137">
        <v>1.5433924661388119</v>
      </c>
      <c r="E1217">
        <f t="shared" si="20"/>
        <v>2.3342604465128463</v>
      </c>
    </row>
    <row r="1218" spans="4:5">
      <c r="D1218" s="137">
        <v>1.5435355690717643</v>
      </c>
      <c r="E1218">
        <f t="shared" si="20"/>
        <v>2.3336798682678026</v>
      </c>
    </row>
    <row r="1219" spans="4:5">
      <c r="D1219" s="137">
        <v>1.5436786720047166</v>
      </c>
      <c r="E1219">
        <f t="shared" ref="E1219:E1282" si="21">_xlfn.NORM.DIST(D1219,$B$2,$B$4,FALSE)</f>
        <v>2.3330976604645772</v>
      </c>
    </row>
    <row r="1220" spans="4:5">
      <c r="D1220" s="137">
        <v>1.5437305398213539</v>
      </c>
      <c r="E1220">
        <f t="shared" si="21"/>
        <v>2.3328862364963849</v>
      </c>
    </row>
    <row r="1221" spans="4:5">
      <c r="D1221" s="137">
        <v>1.543821588362789</v>
      </c>
      <c r="E1221">
        <f t="shared" si="21"/>
        <v>2.3325145866488186</v>
      </c>
    </row>
    <row r="1222" spans="4:5">
      <c r="D1222" s="137">
        <v>1.5444335539691565</v>
      </c>
      <c r="E1222">
        <f t="shared" si="21"/>
        <v>2.3299995387479639</v>
      </c>
    </row>
    <row r="1223" spans="4:5">
      <c r="D1223" s="137">
        <v>1.5445768434769889</v>
      </c>
      <c r="E1223">
        <f t="shared" si="21"/>
        <v>2.3294063615074547</v>
      </c>
    </row>
    <row r="1224" spans="4:5">
      <c r="D1224" s="137">
        <v>1.5446548317768247</v>
      </c>
      <c r="E1224">
        <f t="shared" si="21"/>
        <v>2.3290828297352033</v>
      </c>
    </row>
    <row r="1225" spans="4:5">
      <c r="D1225" s="137">
        <v>1.544837302009455</v>
      </c>
      <c r="E1225">
        <f t="shared" si="21"/>
        <v>2.3283239795475383</v>
      </c>
    </row>
    <row r="1226" spans="4:5">
      <c r="D1226" s="137">
        <v>1.5449936517588867</v>
      </c>
      <c r="E1226">
        <f t="shared" si="21"/>
        <v>2.3276716657758585</v>
      </c>
    </row>
    <row r="1227" spans="4:5">
      <c r="D1227" s="137">
        <v>1.545006712000486</v>
      </c>
      <c r="E1227">
        <f t="shared" si="21"/>
        <v>2.327617089223875</v>
      </c>
    </row>
    <row r="1228" spans="4:5">
      <c r="D1228" s="137">
        <v>1.5450458927252839</v>
      </c>
      <c r="E1228">
        <f t="shared" si="21"/>
        <v>2.3274532788057831</v>
      </c>
    </row>
    <row r="1229" spans="4:5">
      <c r="D1229" s="137">
        <v>1.5450458927252839</v>
      </c>
      <c r="E1229">
        <f t="shared" si="21"/>
        <v>2.3274532788057831</v>
      </c>
    </row>
    <row r="1230" spans="4:5">
      <c r="D1230" s="137">
        <v>1.5451501880831984</v>
      </c>
      <c r="E1230">
        <f t="shared" si="21"/>
        <v>2.3270166408201121</v>
      </c>
    </row>
    <row r="1231" spans="4:5">
      <c r="D1231" s="137">
        <v>1.5452936641659107</v>
      </c>
      <c r="E1231">
        <f t="shared" si="21"/>
        <v>2.3264145691968809</v>
      </c>
    </row>
    <row r="1232" spans="4:5">
      <c r="D1232" s="137">
        <v>1.5455022548817396</v>
      </c>
      <c r="E1232">
        <f t="shared" si="21"/>
        <v>2.3255363630606216</v>
      </c>
    </row>
    <row r="1233" spans="4:5">
      <c r="D1233" s="137">
        <v>1.5456067368145341</v>
      </c>
      <c r="E1233">
        <f t="shared" si="21"/>
        <v>2.3250951871781211</v>
      </c>
    </row>
    <row r="1234" spans="4:5">
      <c r="D1234" s="137">
        <v>1.5456981585057292</v>
      </c>
      <c r="E1234">
        <f t="shared" si="21"/>
        <v>2.3247084540009753</v>
      </c>
    </row>
    <row r="1235" spans="4:5">
      <c r="D1235" s="137">
        <v>1.5460634721207498</v>
      </c>
      <c r="E1235">
        <f t="shared" si="21"/>
        <v>2.3231565457266532</v>
      </c>
    </row>
    <row r="1236" spans="4:5">
      <c r="D1236" s="137">
        <v>1.5462593757447394</v>
      </c>
      <c r="E1236">
        <f t="shared" si="21"/>
        <v>2.3223200038630125</v>
      </c>
    </row>
    <row r="1237" spans="4:5">
      <c r="D1237" s="137">
        <v>1.5465077069100062</v>
      </c>
      <c r="E1237">
        <f t="shared" si="21"/>
        <v>2.3212552664786124</v>
      </c>
    </row>
    <row r="1238" spans="4:5">
      <c r="D1238" s="137">
        <v>1.5468737668245467</v>
      </c>
      <c r="E1238">
        <f t="shared" si="21"/>
        <v>2.3196769636615104</v>
      </c>
    </row>
    <row r="1239" spans="4:5">
      <c r="D1239" s="137">
        <v>1.5469261943658239</v>
      </c>
      <c r="E1239">
        <f t="shared" si="21"/>
        <v>2.3194500603689296</v>
      </c>
    </row>
    <row r="1240" spans="4:5">
      <c r="D1240" s="137">
        <v>1.5470306762986183</v>
      </c>
      <c r="E1240">
        <f t="shared" si="21"/>
        <v>2.3189972291541054</v>
      </c>
    </row>
    <row r="1241" spans="4:5">
      <c r="D1241" s="137">
        <v>1.5473971093629189</v>
      </c>
      <c r="E1241">
        <f t="shared" si="21"/>
        <v>2.3174023602710756</v>
      </c>
    </row>
    <row r="1242" spans="4:5">
      <c r="D1242" s="137">
        <v>1.5474625971457954</v>
      </c>
      <c r="E1242">
        <f t="shared" si="21"/>
        <v>2.3171162290582972</v>
      </c>
    </row>
    <row r="1243" spans="4:5">
      <c r="D1243" s="137">
        <v>1.5475280849286719</v>
      </c>
      <c r="E1243">
        <f t="shared" si="21"/>
        <v>2.3168297642575868</v>
      </c>
    </row>
    <row r="1244" spans="4:5">
      <c r="D1244" s="137">
        <v>1.5476851809776235</v>
      </c>
      <c r="E1244">
        <f t="shared" si="21"/>
        <v>2.3161412160470958</v>
      </c>
    </row>
    <row r="1245" spans="4:5">
      <c r="D1245" s="137">
        <v>1.5479732525923282</v>
      </c>
      <c r="E1245">
        <f t="shared" si="21"/>
        <v>2.3148736256331515</v>
      </c>
    </row>
    <row r="1246" spans="4:5">
      <c r="D1246" s="137">
        <v>1.5479995596504068</v>
      </c>
      <c r="E1246">
        <f t="shared" si="21"/>
        <v>2.3147575468774018</v>
      </c>
    </row>
    <row r="1247" spans="4:5">
      <c r="D1247" s="137">
        <v>1.5479995596504068</v>
      </c>
      <c r="E1247">
        <f t="shared" si="21"/>
        <v>2.3147575468774018</v>
      </c>
    </row>
    <row r="1248" spans="4:5">
      <c r="D1248" s="137">
        <v>1.5484189799806245</v>
      </c>
      <c r="E1248">
        <f t="shared" si="21"/>
        <v>2.3128996316744881</v>
      </c>
    </row>
    <row r="1249" spans="4:5">
      <c r="D1249" s="137">
        <v>1.5486680574454113</v>
      </c>
      <c r="E1249">
        <f t="shared" si="21"/>
        <v>2.3117898476652781</v>
      </c>
    </row>
    <row r="1250" spans="4:5">
      <c r="D1250" s="137">
        <v>1.5488650805186808</v>
      </c>
      <c r="E1250">
        <f t="shared" si="21"/>
        <v>2.310908602603361</v>
      </c>
    </row>
    <row r="1251" spans="4:5">
      <c r="D1251" s="137">
        <v>1.5489305683015573</v>
      </c>
      <c r="E1251">
        <f t="shared" si="21"/>
        <v>2.3106150257268969</v>
      </c>
    </row>
    <row r="1252" spans="4:5">
      <c r="D1252" s="137">
        <v>1.5489305683015573</v>
      </c>
      <c r="E1252">
        <f t="shared" si="21"/>
        <v>2.3106150257268969</v>
      </c>
    </row>
    <row r="1253" spans="4:5">
      <c r="D1253" s="137">
        <v>1.5494033490474521</v>
      </c>
      <c r="E1253">
        <f t="shared" si="21"/>
        <v>2.3084857848116598</v>
      </c>
    </row>
    <row r="1254" spans="4:5">
      <c r="D1254" s="137">
        <v>1.5495610048210438</v>
      </c>
      <c r="E1254">
        <f t="shared" si="21"/>
        <v>2.3077719358571813</v>
      </c>
    </row>
    <row r="1255" spans="4:5">
      <c r="D1255" s="137">
        <v>1.5496266791788003</v>
      </c>
      <c r="E1255">
        <f t="shared" si="21"/>
        <v>2.307474006030608</v>
      </c>
    </row>
    <row r="1256" spans="4:5">
      <c r="D1256" s="137">
        <v>1.550271108814286</v>
      </c>
      <c r="E1256">
        <f t="shared" si="21"/>
        <v>2.3045330313231807</v>
      </c>
    </row>
    <row r="1257" spans="4:5">
      <c r="D1257" s="137">
        <v>1.5503104761139639</v>
      </c>
      <c r="E1257">
        <f t="shared" si="21"/>
        <v>2.3043523412678706</v>
      </c>
    </row>
    <row r="1258" spans="4:5">
      <c r="D1258" s="137">
        <v>1.5503104761139639</v>
      </c>
      <c r="E1258">
        <f t="shared" si="21"/>
        <v>2.3043523412678706</v>
      </c>
    </row>
    <row r="1259" spans="4:5">
      <c r="D1259" s="137">
        <v>1.5503763370466004</v>
      </c>
      <c r="E1259">
        <f t="shared" si="21"/>
        <v>2.3040497846116335</v>
      </c>
    </row>
    <row r="1260" spans="4:5">
      <c r="D1260" s="137">
        <v>1.550402644104679</v>
      </c>
      <c r="E1260">
        <f t="shared" si="21"/>
        <v>2.3039288407661056</v>
      </c>
    </row>
    <row r="1261" spans="4:5">
      <c r="D1261" s="137">
        <v>1.5504552582208362</v>
      </c>
      <c r="E1261">
        <f t="shared" si="21"/>
        <v>2.3036867945367963</v>
      </c>
    </row>
    <row r="1262" spans="4:5">
      <c r="D1262" s="137">
        <v>1.5505474262115513</v>
      </c>
      <c r="E1262">
        <f t="shared" si="21"/>
        <v>2.3032622751763916</v>
      </c>
    </row>
    <row r="1263" spans="4:5">
      <c r="D1263" s="137">
        <v>1.5506922083184236</v>
      </c>
      <c r="E1263">
        <f t="shared" si="21"/>
        <v>2.3025941103405945</v>
      </c>
    </row>
    <row r="1264" spans="4:5">
      <c r="D1264" s="137">
        <v>1.5510478200396847</v>
      </c>
      <c r="E1264">
        <f t="shared" si="21"/>
        <v>2.3009461949769925</v>
      </c>
    </row>
    <row r="1265" spans="4:5">
      <c r="D1265" s="137">
        <v>1.5512323425959949</v>
      </c>
      <c r="E1265">
        <f t="shared" si="21"/>
        <v>2.3000873209480259</v>
      </c>
    </row>
    <row r="1266" spans="4:5">
      <c r="D1266" s="137">
        <v>1.5513774978526271</v>
      </c>
      <c r="E1266">
        <f t="shared" si="21"/>
        <v>2.2994098674704881</v>
      </c>
    </row>
    <row r="1267" spans="4:5">
      <c r="D1267" s="137">
        <v>1.5514829126598215</v>
      </c>
      <c r="E1267">
        <f t="shared" si="21"/>
        <v>2.2989168842514047</v>
      </c>
    </row>
    <row r="1268" spans="4:5">
      <c r="D1268" s="137">
        <v>1.5515224665343794</v>
      </c>
      <c r="E1268">
        <f t="shared" si="21"/>
        <v>2.2987316890472522</v>
      </c>
    </row>
    <row r="1269" spans="4:5">
      <c r="D1269" s="137">
        <v>1.5515357133508587</v>
      </c>
      <c r="E1269">
        <f t="shared" si="21"/>
        <v>2.2986696396123083</v>
      </c>
    </row>
    <row r="1270" spans="4:5">
      <c r="D1270" s="137">
        <v>1.5516543749745324</v>
      </c>
      <c r="E1270">
        <f t="shared" si="21"/>
        <v>2.2981132234119377</v>
      </c>
    </row>
    <row r="1271" spans="4:5">
      <c r="D1271" s="137">
        <v>1.5516543749745324</v>
      </c>
      <c r="E1271">
        <f t="shared" si="21"/>
        <v>2.2981132234119377</v>
      </c>
    </row>
    <row r="1272" spans="4:5">
      <c r="D1272" s="137">
        <v>1.5521163343773878</v>
      </c>
      <c r="E1272">
        <f t="shared" si="21"/>
        <v>2.2959368996802212</v>
      </c>
    </row>
    <row r="1273" spans="4:5">
      <c r="D1273" s="137">
        <v>1.5524465719149703</v>
      </c>
      <c r="E1273">
        <f t="shared" si="21"/>
        <v>2.2943712472986255</v>
      </c>
    </row>
    <row r="1274" spans="4:5">
      <c r="D1274" s="137">
        <v>1.5525654201135239</v>
      </c>
      <c r="E1274">
        <f t="shared" si="21"/>
        <v>2.2938057778412713</v>
      </c>
    </row>
    <row r="1275" spans="4:5">
      <c r="D1275" s="137">
        <v>1.5531074201398951</v>
      </c>
      <c r="E1275">
        <f t="shared" si="21"/>
        <v>2.2912135197333257</v>
      </c>
    </row>
    <row r="1276" spans="4:5">
      <c r="D1276" s="137">
        <v>1.5533059358122046</v>
      </c>
      <c r="E1276">
        <f t="shared" si="21"/>
        <v>2.290258549074037</v>
      </c>
    </row>
    <row r="1277" spans="4:5">
      <c r="D1277" s="137">
        <v>1.5533854167110803</v>
      </c>
      <c r="E1277">
        <f t="shared" si="21"/>
        <v>2.2898753741050006</v>
      </c>
    </row>
    <row r="1278" spans="4:5">
      <c r="D1278" s="137">
        <v>1.5536236728328277</v>
      </c>
      <c r="E1278">
        <f t="shared" si="21"/>
        <v>2.2887239162040505</v>
      </c>
    </row>
    <row r="1279" spans="4:5">
      <c r="D1279" s="137">
        <v>1.5536899069152241</v>
      </c>
      <c r="E1279">
        <f t="shared" si="21"/>
        <v>2.2884030624006426</v>
      </c>
    </row>
    <row r="1280" spans="4:5">
      <c r="D1280" s="137">
        <v>1.5539680900612893</v>
      </c>
      <c r="E1280">
        <f t="shared" si="21"/>
        <v>2.2870518995850935</v>
      </c>
    </row>
    <row r="1281" spans="4:5">
      <c r="D1281" s="137">
        <v>1.5543791145219075</v>
      </c>
      <c r="E1281">
        <f t="shared" si="21"/>
        <v>2.2850449564982602</v>
      </c>
    </row>
    <row r="1282" spans="4:5">
      <c r="D1282" s="137">
        <v>1.5543923613383868</v>
      </c>
      <c r="E1282">
        <f t="shared" si="21"/>
        <v>2.2849800660676021</v>
      </c>
    </row>
    <row r="1283" spans="4:5">
      <c r="D1283" s="137">
        <v>1.5545117692615804</v>
      </c>
      <c r="E1283">
        <f t="shared" ref="E1283:E1346" si="22">_xlfn.NORM.DIST(D1283,$B$2,$B$4,FALSE)</f>
        <v>2.284394549651442</v>
      </c>
    </row>
    <row r="1284" spans="4:5">
      <c r="D1284" s="137">
        <v>1.5545914367353362</v>
      </c>
      <c r="E1284">
        <f t="shared" si="22"/>
        <v>2.2840033113849523</v>
      </c>
    </row>
    <row r="1285" spans="4:5">
      <c r="D1285" s="137">
        <v>1.5546444240012534</v>
      </c>
      <c r="E1285">
        <f t="shared" si="22"/>
        <v>2.2837428358045537</v>
      </c>
    </row>
    <row r="1286" spans="4:5">
      <c r="D1286" s="137">
        <v>1.5548434993982028</v>
      </c>
      <c r="E1286">
        <f t="shared" si="22"/>
        <v>2.2827623569440698</v>
      </c>
    </row>
    <row r="1287" spans="4:5">
      <c r="D1287" s="137">
        <v>1.5548832398476407</v>
      </c>
      <c r="E1287">
        <f t="shared" si="22"/>
        <v>2.2825662769820658</v>
      </c>
    </row>
    <row r="1288" spans="4:5">
      <c r="D1288" s="137">
        <v>1.5550425747951522</v>
      </c>
      <c r="E1288">
        <f t="shared" si="22"/>
        <v>2.281778941480741</v>
      </c>
    </row>
    <row r="1289" spans="4:5">
      <c r="D1289" s="137">
        <v>1.5550560081865115</v>
      </c>
      <c r="E1289">
        <f t="shared" si="22"/>
        <v>2.2817124760124079</v>
      </c>
    </row>
    <row r="1290" spans="4:5">
      <c r="D1290" s="137">
        <v>1.5550692550029908</v>
      </c>
      <c r="E1290">
        <f t="shared" si="22"/>
        <v>2.2816469206011112</v>
      </c>
    </row>
    <row r="1291" spans="4:5">
      <c r="D1291" s="137">
        <v>1.5553216908156173</v>
      </c>
      <c r="E1291">
        <f t="shared" si="22"/>
        <v>2.2803951951114563</v>
      </c>
    </row>
    <row r="1292" spans="4:5">
      <c r="D1292" s="137">
        <v>1.5554013582893731</v>
      </c>
      <c r="E1292">
        <f t="shared" si="22"/>
        <v>2.2799991795309174</v>
      </c>
    </row>
    <row r="1293" spans="4:5">
      <c r="D1293" s="137">
        <v>1.5556140536525618</v>
      </c>
      <c r="E1293">
        <f t="shared" si="22"/>
        <v>2.2789396074139305</v>
      </c>
    </row>
    <row r="1294" spans="4:5">
      <c r="D1294" s="137">
        <v>1.5562926264910857</v>
      </c>
      <c r="E1294">
        <f t="shared" si="22"/>
        <v>2.2755369418432352</v>
      </c>
    </row>
    <row r="1295" spans="4:5">
      <c r="D1295" s="137">
        <v>1.5564258409553986</v>
      </c>
      <c r="E1295">
        <f t="shared" si="22"/>
        <v>2.274864975162791</v>
      </c>
    </row>
    <row r="1296" spans="4:5">
      <c r="D1296" s="137">
        <v>1.5566790230675451</v>
      </c>
      <c r="E1296">
        <f t="shared" si="22"/>
        <v>2.2735842797595507</v>
      </c>
    </row>
    <row r="1297" spans="4:5">
      <c r="D1297" s="137">
        <v>1.5567989907153787</v>
      </c>
      <c r="E1297">
        <f t="shared" si="22"/>
        <v>2.2729757986915979</v>
      </c>
    </row>
    <row r="1298" spans="4:5">
      <c r="D1298" s="137">
        <v>1.5568922781553738</v>
      </c>
      <c r="E1298">
        <f t="shared" si="22"/>
        <v>2.2725019140505598</v>
      </c>
    </row>
    <row r="1299" spans="4:5">
      <c r="D1299" s="137">
        <v>1.5577061177818905</v>
      </c>
      <c r="E1299">
        <f t="shared" si="22"/>
        <v>2.2683408441888777</v>
      </c>
    </row>
    <row r="1300" spans="4:5">
      <c r="D1300" s="137">
        <v>1.5577061177818905</v>
      </c>
      <c r="E1300">
        <f t="shared" si="22"/>
        <v>2.2683408441888777</v>
      </c>
    </row>
    <row r="1301" spans="4:5">
      <c r="D1301" s="137">
        <v>1.557866572178682</v>
      </c>
      <c r="E1301">
        <f t="shared" si="22"/>
        <v>2.2675147778725626</v>
      </c>
    </row>
    <row r="1302" spans="4:5">
      <c r="D1302" s="137">
        <v>1.5578932523865205</v>
      </c>
      <c r="E1302">
        <f t="shared" si="22"/>
        <v>2.2673772393462115</v>
      </c>
    </row>
    <row r="1303" spans="4:5">
      <c r="D1303" s="137">
        <v>1.5582540882044214</v>
      </c>
      <c r="E1303">
        <f t="shared" si="22"/>
        <v>2.2655120411108109</v>
      </c>
    </row>
    <row r="1304" spans="4:5">
      <c r="D1304" s="137">
        <v>1.55865541077128</v>
      </c>
      <c r="E1304">
        <f t="shared" si="22"/>
        <v>2.2634265122427943</v>
      </c>
    </row>
    <row r="1305" spans="4:5">
      <c r="D1305" s="137">
        <v>1.5586688441626393</v>
      </c>
      <c r="E1305">
        <f t="shared" si="22"/>
        <v>2.2633565028545006</v>
      </c>
    </row>
    <row r="1306" spans="4:5">
      <c r="D1306" s="137">
        <v>1.5591507670776537</v>
      </c>
      <c r="E1306">
        <f t="shared" si="22"/>
        <v>2.2608363282867918</v>
      </c>
    </row>
    <row r="1307" spans="4:5">
      <c r="D1307" s="137">
        <v>1.5597405302733023</v>
      </c>
      <c r="E1307">
        <f t="shared" si="22"/>
        <v>2.2577295388792447</v>
      </c>
    </row>
    <row r="1308" spans="4:5">
      <c r="D1308" s="137">
        <v>1.559821130621458</v>
      </c>
      <c r="E1308">
        <f t="shared" si="22"/>
        <v>2.2573030151032496</v>
      </c>
    </row>
    <row r="1309" spans="4:5">
      <c r="D1309" s="137">
        <v>1.5601162920816023</v>
      </c>
      <c r="E1309">
        <f t="shared" si="22"/>
        <v>2.2557371123931382</v>
      </c>
    </row>
    <row r="1310" spans="4:5">
      <c r="D1310" s="137">
        <v>1.5602103258211173</v>
      </c>
      <c r="E1310">
        <f t="shared" si="22"/>
        <v>2.2552369366891014</v>
      </c>
    </row>
    <row r="1311" spans="4:5">
      <c r="D1311" s="137">
        <v>1.5611917096898651</v>
      </c>
      <c r="E1311">
        <f t="shared" si="22"/>
        <v>2.2499793789587983</v>
      </c>
    </row>
    <row r="1312" spans="4:5">
      <c r="D1312" s="137">
        <v>1.5612320098639429</v>
      </c>
      <c r="E1312">
        <f t="shared" si="22"/>
        <v>2.2497620217740923</v>
      </c>
    </row>
    <row r="1313" spans="4:5">
      <c r="D1313" s="137">
        <v>1.56147455720793</v>
      </c>
      <c r="E1313">
        <f t="shared" si="22"/>
        <v>2.248451433315481</v>
      </c>
    </row>
    <row r="1314" spans="4:5">
      <c r="D1314" s="137">
        <v>1.5615956443050436</v>
      </c>
      <c r="E1314">
        <f t="shared" si="22"/>
        <v>2.2477955955766955</v>
      </c>
    </row>
    <row r="1315" spans="4:5">
      <c r="D1315" s="137">
        <v>1.56166299783672</v>
      </c>
      <c r="E1315">
        <f t="shared" si="22"/>
        <v>2.2474303454042497</v>
      </c>
    </row>
    <row r="1316" spans="4:5">
      <c r="D1316" s="137">
        <v>1.5617977049000729</v>
      </c>
      <c r="E1316">
        <f t="shared" si="22"/>
        <v>2.2466988878272796</v>
      </c>
    </row>
    <row r="1317" spans="4:5">
      <c r="D1317" s="137">
        <v>1.5619325985383057</v>
      </c>
      <c r="E1317">
        <f t="shared" si="22"/>
        <v>2.2459651393596438</v>
      </c>
    </row>
    <row r="1318" spans="4:5">
      <c r="D1318" s="137">
        <v>1.5620538722102992</v>
      </c>
      <c r="E1318">
        <f t="shared" si="22"/>
        <v>2.2453043857717088</v>
      </c>
    </row>
    <row r="1319" spans="4:5">
      <c r="D1319" s="137">
        <v>1.5621887658485321</v>
      </c>
      <c r="E1319">
        <f t="shared" si="22"/>
        <v>2.2445682129367852</v>
      </c>
    </row>
    <row r="1320" spans="4:5">
      <c r="D1320" s="137">
        <v>1.562472173091237</v>
      </c>
      <c r="E1320">
        <f t="shared" si="22"/>
        <v>2.2430173869342962</v>
      </c>
    </row>
    <row r="1321" spans="4:5">
      <c r="D1321" s="137">
        <v>1.5628637937643362</v>
      </c>
      <c r="E1321">
        <f t="shared" si="22"/>
        <v>2.2408651746168289</v>
      </c>
    </row>
    <row r="1322" spans="4:5">
      <c r="D1322" s="137">
        <v>1.5630123073688083</v>
      </c>
      <c r="E1322">
        <f t="shared" si="22"/>
        <v>2.24004619930699</v>
      </c>
    </row>
    <row r="1323" spans="4:5">
      <c r="D1323" s="137">
        <v>1.5631070874078432</v>
      </c>
      <c r="E1323">
        <f t="shared" si="22"/>
        <v>2.2395227344326494</v>
      </c>
    </row>
    <row r="1324" spans="4:5">
      <c r="D1324" s="137">
        <v>1.563431541124146</v>
      </c>
      <c r="E1324">
        <f t="shared" si="22"/>
        <v>2.2377260699012278</v>
      </c>
    </row>
    <row r="1325" spans="4:5">
      <c r="D1325" s="137">
        <v>1.5636209146273359</v>
      </c>
      <c r="E1325">
        <f t="shared" si="22"/>
        <v>2.2366740387624295</v>
      </c>
    </row>
    <row r="1326" spans="4:5">
      <c r="D1326" s="137">
        <v>1.56391887471068</v>
      </c>
      <c r="E1326">
        <f t="shared" si="22"/>
        <v>2.2350137503336365</v>
      </c>
    </row>
    <row r="1327" spans="4:5">
      <c r="D1327" s="137">
        <v>1.5639459280682786</v>
      </c>
      <c r="E1327">
        <f t="shared" si="22"/>
        <v>2.2348627002870121</v>
      </c>
    </row>
    <row r="1328" spans="4:5">
      <c r="D1328" s="137">
        <v>1.5641086213636299</v>
      </c>
      <c r="E1328">
        <f t="shared" si="22"/>
        <v>2.2339532515583898</v>
      </c>
    </row>
    <row r="1329" spans="4:5">
      <c r="D1329" s="137">
        <v>1.5641761614701863</v>
      </c>
      <c r="E1329">
        <f t="shared" si="22"/>
        <v>2.2335751691162189</v>
      </c>
    </row>
    <row r="1330" spans="4:5">
      <c r="D1330" s="137">
        <v>1.5643931480556148</v>
      </c>
      <c r="E1330">
        <f t="shared" si="22"/>
        <v>2.2323583752904224</v>
      </c>
    </row>
    <row r="1331" spans="4:5">
      <c r="D1331" s="137">
        <v>1.5648000678688732</v>
      </c>
      <c r="E1331">
        <f t="shared" si="22"/>
        <v>2.230067770723402</v>
      </c>
    </row>
    <row r="1332" spans="4:5">
      <c r="D1332" s="137">
        <v>1.564840741192711</v>
      </c>
      <c r="E1332">
        <f t="shared" si="22"/>
        <v>2.2298381909215848</v>
      </c>
    </row>
    <row r="1333" spans="4:5">
      <c r="D1333" s="137">
        <v>1.5649222744152667</v>
      </c>
      <c r="E1333">
        <f t="shared" si="22"/>
        <v>2.2293776369935343</v>
      </c>
    </row>
    <row r="1334" spans="4:5">
      <c r="D1334" s="137">
        <v>1.5649631343139845</v>
      </c>
      <c r="E1334">
        <f t="shared" si="22"/>
        <v>2.2291466619060389</v>
      </c>
    </row>
    <row r="1335" spans="4:5">
      <c r="D1335" s="137">
        <v>1.5651123942179765</v>
      </c>
      <c r="E1335">
        <f t="shared" si="22"/>
        <v>2.2283019467557832</v>
      </c>
    </row>
    <row r="1336" spans="4:5">
      <c r="D1336" s="137">
        <v>1.5653840472432421</v>
      </c>
      <c r="E1336">
        <f t="shared" si="22"/>
        <v>2.2267606597609793</v>
      </c>
    </row>
    <row r="1337" spans="4:5">
      <c r="D1337" s="137">
        <v>1.5654112871757206</v>
      </c>
      <c r="E1337">
        <f t="shared" si="22"/>
        <v>2.2266058299044866</v>
      </c>
    </row>
    <row r="1338" spans="4:5">
      <c r="D1338" s="137">
        <v>1.5654385271081992</v>
      </c>
      <c r="E1338">
        <f t="shared" si="22"/>
        <v>2.2264509494742346</v>
      </c>
    </row>
    <row r="1339" spans="4:5">
      <c r="D1339" s="137">
        <v>1.5656424534520283</v>
      </c>
      <c r="E1339">
        <f t="shared" si="22"/>
        <v>2.2252898626071378</v>
      </c>
    </row>
    <row r="1340" spans="4:5">
      <c r="D1340" s="137">
        <v>1.5656833133507462</v>
      </c>
      <c r="E1340">
        <f t="shared" si="22"/>
        <v>2.225056879990666</v>
      </c>
    </row>
    <row r="1341" spans="4:5">
      <c r="D1341" s="137">
        <v>1.5657512266070626</v>
      </c>
      <c r="E1341">
        <f t="shared" si="22"/>
        <v>2.2246693883529827</v>
      </c>
    </row>
    <row r="1342" spans="4:5">
      <c r="D1342" s="137">
        <v>1.5668682504135631</v>
      </c>
      <c r="E1342">
        <f t="shared" si="22"/>
        <v>2.2182511690489939</v>
      </c>
    </row>
    <row r="1343" spans="4:5">
      <c r="D1343" s="137">
        <v>1.5668956769209217</v>
      </c>
      <c r="E1343">
        <f t="shared" si="22"/>
        <v>2.2180925218572374</v>
      </c>
    </row>
    <row r="1344" spans="4:5">
      <c r="D1344" s="137">
        <v>1.567359688647457</v>
      </c>
      <c r="E1344">
        <f t="shared" si="22"/>
        <v>2.2154008110181267</v>
      </c>
    </row>
    <row r="1345" spans="4:5">
      <c r="D1345" s="137">
        <v>1.5674688349522512</v>
      </c>
      <c r="E1345">
        <f t="shared" si="22"/>
        <v>2.2147655608315095</v>
      </c>
    </row>
    <row r="1346" spans="4:5">
      <c r="D1346" s="137">
        <v>1.5675371213583276</v>
      </c>
      <c r="E1346">
        <f t="shared" si="22"/>
        <v>2.2143677168051026</v>
      </c>
    </row>
    <row r="1347" spans="4:5">
      <c r="D1347" s="137">
        <v>1.5679199730120672</v>
      </c>
      <c r="E1347">
        <f t="shared" ref="E1347:E1410" si="23">_xlfn.NORM.DIST(D1347,$B$2,$B$4,FALSE)</f>
        <v>2.2121314115396258</v>
      </c>
    </row>
    <row r="1348" spans="4:5">
      <c r="D1348" s="137">
        <v>1.568262151341969</v>
      </c>
      <c r="E1348">
        <f t="shared" si="23"/>
        <v>2.2101244187253832</v>
      </c>
    </row>
    <row r="1349" spans="4:5">
      <c r="D1349" s="137">
        <v>1.5684673837099581</v>
      </c>
      <c r="E1349">
        <f t="shared" si="23"/>
        <v>2.2089169274104767</v>
      </c>
    </row>
    <row r="1350" spans="4:5">
      <c r="D1350" s="137">
        <v>1.5686043296718708</v>
      </c>
      <c r="E1350">
        <f t="shared" si="23"/>
        <v>2.2081096474741533</v>
      </c>
    </row>
    <row r="1351" spans="4:5">
      <c r="D1351" s="137">
        <v>1.5686867957688264</v>
      </c>
      <c r="E1351">
        <f t="shared" si="23"/>
        <v>2.2076229205474114</v>
      </c>
    </row>
    <row r="1352" spans="4:5">
      <c r="D1352" s="137">
        <v>1.5688375482718584</v>
      </c>
      <c r="E1352">
        <f t="shared" si="23"/>
        <v>2.2067319942829569</v>
      </c>
    </row>
    <row r="1353" spans="4:5">
      <c r="D1353" s="137">
        <v>1.5691390532779224</v>
      </c>
      <c r="E1353">
        <f t="shared" si="23"/>
        <v>2.2049456386100328</v>
      </c>
    </row>
    <row r="1354" spans="4:5">
      <c r="D1354" s="137">
        <v>1.5692351393411172</v>
      </c>
      <c r="E1354">
        <f t="shared" si="23"/>
        <v>2.2043750888041651</v>
      </c>
    </row>
    <row r="1355" spans="4:5">
      <c r="D1355" s="137">
        <v>1.5696883297246131</v>
      </c>
      <c r="E1355">
        <f t="shared" si="23"/>
        <v>2.2016759030778421</v>
      </c>
    </row>
    <row r="1356" spans="4:5">
      <c r="D1356" s="137">
        <v>1.5699219214743607</v>
      </c>
      <c r="E1356">
        <f t="shared" si="23"/>
        <v>2.200279377062814</v>
      </c>
    </row>
    <row r="1357" spans="4:5">
      <c r="D1357" s="137">
        <v>1.5699905810301971</v>
      </c>
      <c r="E1357">
        <f t="shared" si="23"/>
        <v>2.1998682175278579</v>
      </c>
    </row>
    <row r="1358" spans="4:5">
      <c r="D1358" s="137">
        <v>1.5703346251088988</v>
      </c>
      <c r="E1358">
        <f t="shared" si="23"/>
        <v>2.1978033142265101</v>
      </c>
    </row>
    <row r="1359" spans="4:5">
      <c r="D1359" s="137">
        <v>1.5705271703850485</v>
      </c>
      <c r="E1359">
        <f t="shared" si="23"/>
        <v>2.1966443178001449</v>
      </c>
    </row>
    <row r="1360" spans="4:5">
      <c r="D1360" s="137">
        <v>1.5707477018931968</v>
      </c>
      <c r="E1360">
        <f t="shared" si="23"/>
        <v>2.1953139008365112</v>
      </c>
    </row>
    <row r="1361" spans="4:5">
      <c r="D1361" s="137">
        <v>1.5709406203191065</v>
      </c>
      <c r="E1361">
        <f t="shared" si="23"/>
        <v>2.194147479181852</v>
      </c>
    </row>
    <row r="1362" spans="4:5">
      <c r="D1362" s="137">
        <v>1.5710232729909421</v>
      </c>
      <c r="E1362">
        <f t="shared" si="23"/>
        <v>2.1936470074397674</v>
      </c>
    </row>
    <row r="1363" spans="4:5">
      <c r="D1363" s="137">
        <v>1.5712854106973282</v>
      </c>
      <c r="E1363">
        <f t="shared" si="23"/>
        <v>2.1920568094546811</v>
      </c>
    </row>
    <row r="1364" spans="4:5">
      <c r="D1364" s="137">
        <v>1.5713956764514023</v>
      </c>
      <c r="E1364">
        <f t="shared" si="23"/>
        <v>2.1913865816059768</v>
      </c>
    </row>
    <row r="1365" spans="4:5">
      <c r="D1365" s="137">
        <v>1.571741026554264</v>
      </c>
      <c r="E1365">
        <f t="shared" si="23"/>
        <v>2.1892823722366743</v>
      </c>
    </row>
    <row r="1366" spans="4:5">
      <c r="D1366" s="137">
        <v>1.5718514788832181</v>
      </c>
      <c r="E1366">
        <f t="shared" si="23"/>
        <v>2.1886077700313979</v>
      </c>
    </row>
    <row r="1367" spans="4:5">
      <c r="D1367" s="137">
        <v>1.5718514788832181</v>
      </c>
      <c r="E1367">
        <f t="shared" si="23"/>
        <v>2.1886077700313979</v>
      </c>
    </row>
    <row r="1368" spans="4:5">
      <c r="D1368" s="137">
        <v>1.5725429253884613</v>
      </c>
      <c r="E1368">
        <f t="shared" si="23"/>
        <v>2.1843669054885519</v>
      </c>
    </row>
    <row r="1369" spans="4:5">
      <c r="D1369" s="137">
        <v>1.5728198025103666</v>
      </c>
      <c r="E1369">
        <f t="shared" si="23"/>
        <v>2.1826601700289832</v>
      </c>
    </row>
    <row r="1370" spans="4:5">
      <c r="D1370" s="137">
        <v>1.5729862273033177</v>
      </c>
      <c r="E1370">
        <f t="shared" si="23"/>
        <v>2.181631942339668</v>
      </c>
    </row>
    <row r="1371" spans="4:5">
      <c r="D1371" s="137">
        <v>1.5729862273033177</v>
      </c>
      <c r="E1371">
        <f t="shared" si="23"/>
        <v>2.181631942339668</v>
      </c>
    </row>
    <row r="1372" spans="4:5">
      <c r="D1372" s="137">
        <v>1.573582520619766</v>
      </c>
      <c r="E1372">
        <f t="shared" si="23"/>
        <v>2.1779334305378288</v>
      </c>
    </row>
    <row r="1373" spans="4:5">
      <c r="D1373" s="137">
        <v>1.5736103202768845</v>
      </c>
      <c r="E1373">
        <f t="shared" si="23"/>
        <v>2.1777604546748695</v>
      </c>
    </row>
    <row r="1374" spans="4:5">
      <c r="D1374" s="137">
        <v>1.5736659195911216</v>
      </c>
      <c r="E1374">
        <f t="shared" si="23"/>
        <v>2.1774143567253326</v>
      </c>
    </row>
    <row r="1375" spans="4:5">
      <c r="D1375" s="137">
        <v>1.5739853357856646</v>
      </c>
      <c r="E1375">
        <f t="shared" si="23"/>
        <v>2.1754222633842035</v>
      </c>
    </row>
    <row r="1376" spans="4:5">
      <c r="D1376" s="137">
        <v>1.5745556951937942</v>
      </c>
      <c r="E1376">
        <f t="shared" si="23"/>
        <v>2.1718491899292252</v>
      </c>
    </row>
    <row r="1377" spans="4:5">
      <c r="D1377" s="137">
        <v>1.5746530872811491</v>
      </c>
      <c r="E1377">
        <f t="shared" si="23"/>
        <v>2.1712370329759905</v>
      </c>
    </row>
    <row r="1378" spans="4:5">
      <c r="D1378" s="137">
        <v>1.5748480580307387</v>
      </c>
      <c r="E1378">
        <f t="shared" si="23"/>
        <v>2.1700097684149493</v>
      </c>
    </row>
    <row r="1379" spans="4:5">
      <c r="D1379" s="137">
        <v>1.5748758576878572</v>
      </c>
      <c r="E1379">
        <f t="shared" si="23"/>
        <v>2.1698345875054597</v>
      </c>
    </row>
    <row r="1380" spans="4:5">
      <c r="D1380" s="137">
        <v>1.5750570218963276</v>
      </c>
      <c r="E1380">
        <f t="shared" si="23"/>
        <v>2.1686917944991317</v>
      </c>
    </row>
    <row r="1381" spans="4:5">
      <c r="D1381" s="137">
        <v>1.5758105978366075</v>
      </c>
      <c r="E1381">
        <f t="shared" si="23"/>
        <v>2.1639163572094162</v>
      </c>
    </row>
    <row r="1382" spans="4:5">
      <c r="D1382" s="137">
        <v>1.5759781420788386</v>
      </c>
      <c r="E1382">
        <f t="shared" si="23"/>
        <v>2.1628498564778407</v>
      </c>
    </row>
    <row r="1383" spans="4:5">
      <c r="D1383" s="137">
        <v>1.5760061283108371</v>
      </c>
      <c r="E1383">
        <f t="shared" si="23"/>
        <v>2.1626715420146039</v>
      </c>
    </row>
    <row r="1384" spans="4:5">
      <c r="D1384" s="137">
        <v>1.576495700795931</v>
      </c>
      <c r="E1384">
        <f t="shared" si="23"/>
        <v>2.1595444461973972</v>
      </c>
    </row>
    <row r="1385" spans="4:5">
      <c r="D1385" s="137">
        <v>1.5767617565747969</v>
      </c>
      <c r="E1385">
        <f t="shared" si="23"/>
        <v>2.1578388844601508</v>
      </c>
    </row>
    <row r="1386" spans="4:5">
      <c r="D1386" s="137">
        <v>1.5768035493479147</v>
      </c>
      <c r="E1386">
        <f t="shared" si="23"/>
        <v>2.1575705772445524</v>
      </c>
    </row>
    <row r="1387" spans="4:5">
      <c r="D1387" s="137">
        <v>1.5769998261216642</v>
      </c>
      <c r="E1387">
        <f t="shared" si="23"/>
        <v>2.1563090672184435</v>
      </c>
    </row>
    <row r="1388" spans="4:5">
      <c r="D1388" s="137">
        <v>1.577041805469662</v>
      </c>
      <c r="E1388">
        <f t="shared" si="23"/>
        <v>2.15603895299519</v>
      </c>
    </row>
    <row r="1389" spans="4:5">
      <c r="D1389" s="137">
        <v>1.5770557985856613</v>
      </c>
      <c r="E1389">
        <f t="shared" si="23"/>
        <v>2.1559488910920956</v>
      </c>
    </row>
    <row r="1390" spans="4:5">
      <c r="D1390" s="137">
        <v>1.577210096011413</v>
      </c>
      <c r="E1390">
        <f t="shared" si="23"/>
        <v>2.1549550191033466</v>
      </c>
    </row>
    <row r="1391" spans="4:5">
      <c r="D1391" s="137">
        <v>1.5773222275142871</v>
      </c>
      <c r="E1391">
        <f t="shared" si="23"/>
        <v>2.1542318420791173</v>
      </c>
    </row>
    <row r="1392" spans="4:5">
      <c r="D1392" s="137">
        <v>1.5773783865531641</v>
      </c>
      <c r="E1392">
        <f t="shared" si="23"/>
        <v>2.1538693652330765</v>
      </c>
    </row>
    <row r="1393" spans="4:5">
      <c r="D1393" s="137">
        <v>1.5773923796691633</v>
      </c>
      <c r="E1393">
        <f t="shared" si="23"/>
        <v>2.1537790173243412</v>
      </c>
    </row>
    <row r="1394" spans="4:5">
      <c r="D1394" s="137">
        <v>1.5777854929413024</v>
      </c>
      <c r="E1394">
        <f t="shared" si="23"/>
        <v>2.1512360001509649</v>
      </c>
    </row>
    <row r="1395" spans="4:5">
      <c r="D1395" s="137">
        <v>1.5779681497488127</v>
      </c>
      <c r="E1395">
        <f t="shared" si="23"/>
        <v>2.1500512325412848</v>
      </c>
    </row>
    <row r="1396" spans="4:5">
      <c r="D1396" s="137">
        <v>1.5780524815945682</v>
      </c>
      <c r="E1396">
        <f t="shared" si="23"/>
        <v>2.1495035522572374</v>
      </c>
    </row>
    <row r="1397" spans="4:5">
      <c r="D1397" s="137">
        <v>1.5792777188314631</v>
      </c>
      <c r="E1397">
        <f t="shared" si="23"/>
        <v>2.1414983653256869</v>
      </c>
    </row>
    <row r="1398" spans="4:5">
      <c r="D1398" s="137">
        <v>1.5796023591226458</v>
      </c>
      <c r="E1398">
        <f t="shared" si="23"/>
        <v>2.1393623189165853</v>
      </c>
    </row>
    <row r="1399" spans="4:5">
      <c r="D1399" s="137">
        <v>1.5798850200658308</v>
      </c>
      <c r="E1399">
        <f t="shared" si="23"/>
        <v>2.1374974088680281</v>
      </c>
    </row>
    <row r="1400" spans="4:5">
      <c r="D1400" s="137">
        <v>1.580125328511258</v>
      </c>
      <c r="E1400">
        <f t="shared" si="23"/>
        <v>2.1359082229412576</v>
      </c>
    </row>
    <row r="1401" spans="4:5">
      <c r="D1401" s="137">
        <v>1.5803658235315652</v>
      </c>
      <c r="E1401">
        <f t="shared" si="23"/>
        <v>2.1343144044885656</v>
      </c>
    </row>
    <row r="1402" spans="4:5">
      <c r="D1402" s="137">
        <v>1.5803658235315652</v>
      </c>
      <c r="E1402">
        <f t="shared" si="23"/>
        <v>2.1343144044885656</v>
      </c>
    </row>
    <row r="1403" spans="4:5">
      <c r="D1403" s="137">
        <v>1.5808048342241818</v>
      </c>
      <c r="E1403">
        <f t="shared" si="23"/>
        <v>2.1313962375856037</v>
      </c>
    </row>
    <row r="1404" spans="4:5">
      <c r="D1404" s="137">
        <v>1.5811309671144045</v>
      </c>
      <c r="E1404">
        <f t="shared" si="23"/>
        <v>2.1292211050913981</v>
      </c>
    </row>
    <row r="1405" spans="4:5">
      <c r="D1405" s="137">
        <v>1.5814149340817494</v>
      </c>
      <c r="E1405">
        <f t="shared" si="23"/>
        <v>2.127322162675847</v>
      </c>
    </row>
    <row r="1406" spans="4:5">
      <c r="D1406" s="137">
        <v>1.5815709106814211</v>
      </c>
      <c r="E1406">
        <f t="shared" si="23"/>
        <v>2.1262771287760165</v>
      </c>
    </row>
    <row r="1407" spans="4:5">
      <c r="D1407" s="137">
        <v>1.5817699860783705</v>
      </c>
      <c r="E1407">
        <f t="shared" si="23"/>
        <v>2.1249412929107678</v>
      </c>
    </row>
    <row r="1408" spans="4:5">
      <c r="D1408" s="137">
        <v>1.5822821341239433</v>
      </c>
      <c r="E1408">
        <f t="shared" si="23"/>
        <v>2.1214941863105978</v>
      </c>
    </row>
    <row r="1409" spans="4:5">
      <c r="D1409" s="137">
        <v>1.582324673196581</v>
      </c>
      <c r="E1409">
        <f t="shared" si="23"/>
        <v>2.1212071917208117</v>
      </c>
    </row>
    <row r="1410" spans="4:5">
      <c r="D1410" s="137">
        <v>1.582381765109858</v>
      </c>
      <c r="E1410">
        <f t="shared" si="23"/>
        <v>2.1208218518369155</v>
      </c>
    </row>
    <row r="1411" spans="4:5">
      <c r="D1411" s="137">
        <v>1.5828661134983122</v>
      </c>
      <c r="E1411">
        <f t="shared" ref="E1411:E1474" si="24">_xlfn.NORM.DIST(D1411,$B$2,$B$4,FALSE)</f>
        <v>2.1175452647400128</v>
      </c>
    </row>
    <row r="1412" spans="4:5">
      <c r="D1412" s="137">
        <v>1.5829802973248661</v>
      </c>
      <c r="E1412">
        <f t="shared" si="24"/>
        <v>2.1167708701749</v>
      </c>
    </row>
    <row r="1413" spans="4:5">
      <c r="D1413" s="137">
        <v>1.583508677384998</v>
      </c>
      <c r="E1413">
        <f t="shared" si="24"/>
        <v>2.1131777636416875</v>
      </c>
    </row>
    <row r="1414" spans="4:5">
      <c r="D1414" s="137">
        <v>1.5836945059654681</v>
      </c>
      <c r="E1414">
        <f t="shared" si="24"/>
        <v>2.1119103330657247</v>
      </c>
    </row>
    <row r="1415" spans="4:5">
      <c r="D1415" s="137">
        <v>1.5838803345459382</v>
      </c>
      <c r="E1415">
        <f t="shared" si="24"/>
        <v>2.1106409565036808</v>
      </c>
    </row>
    <row r="1416" spans="4:5">
      <c r="D1416" s="137">
        <v>1.5838803345459382</v>
      </c>
      <c r="E1416">
        <f t="shared" si="24"/>
        <v>2.1106409565036808</v>
      </c>
    </row>
    <row r="1417" spans="4:5">
      <c r="D1417" s="137">
        <v>1.5839948915222521</v>
      </c>
      <c r="E1417">
        <f t="shared" si="24"/>
        <v>2.109857461523744</v>
      </c>
    </row>
    <row r="1418" spans="4:5">
      <c r="D1418" s="137">
        <v>1.5850412034492365</v>
      </c>
      <c r="E1418">
        <f t="shared" si="24"/>
        <v>2.1026674028842796</v>
      </c>
    </row>
    <row r="1419" spans="4:5">
      <c r="D1419" s="137">
        <v>1.5858175415248752</v>
      </c>
      <c r="E1419">
        <f t="shared" si="24"/>
        <v>2.0972932994289075</v>
      </c>
    </row>
    <row r="1420" spans="4:5">
      <c r="D1420" s="137">
        <v>1.5867256014657869</v>
      </c>
      <c r="E1420">
        <f t="shared" si="24"/>
        <v>2.0909654201919241</v>
      </c>
    </row>
    <row r="1421" spans="4:5">
      <c r="D1421" s="137">
        <v>1.5867547071470653</v>
      </c>
      <c r="E1421">
        <f t="shared" si="24"/>
        <v>2.090761852585588</v>
      </c>
    </row>
    <row r="1422" spans="4:5">
      <c r="D1422" s="137">
        <v>1.5868700104228992</v>
      </c>
      <c r="E1422">
        <f t="shared" si="24"/>
        <v>2.0899549603987086</v>
      </c>
    </row>
    <row r="1423" spans="4:5">
      <c r="D1423" s="137">
        <v>1.5880275209783576</v>
      </c>
      <c r="E1423">
        <f t="shared" si="24"/>
        <v>2.0818149968516906</v>
      </c>
    </row>
    <row r="1424" spans="4:5">
      <c r="D1424" s="137">
        <v>1.5880857323409145</v>
      </c>
      <c r="E1424">
        <f t="shared" si="24"/>
        <v>2.0814037407685779</v>
      </c>
    </row>
    <row r="1425" spans="4:5">
      <c r="D1425" s="137">
        <v>1.5885935891642475</v>
      </c>
      <c r="E1425">
        <f t="shared" si="24"/>
        <v>2.0778081503672956</v>
      </c>
    </row>
    <row r="1426" spans="4:5">
      <c r="D1426" s="137">
        <v>1.5890150618181451</v>
      </c>
      <c r="E1426">
        <f t="shared" si="24"/>
        <v>2.0748137836203826</v>
      </c>
    </row>
    <row r="1427" spans="4:5">
      <c r="D1427" s="137">
        <v>1.5896992319030687</v>
      </c>
      <c r="E1427">
        <f t="shared" si="24"/>
        <v>2.0699331907376481</v>
      </c>
    </row>
    <row r="1428" spans="4:5">
      <c r="D1428" s="137">
        <v>1.5897578164153856</v>
      </c>
      <c r="E1428">
        <f t="shared" si="24"/>
        <v>2.0695141347264032</v>
      </c>
    </row>
    <row r="1429" spans="4:5">
      <c r="D1429" s="137">
        <v>1.5902830247025577</v>
      </c>
      <c r="E1429">
        <f t="shared" si="24"/>
        <v>2.0657493398765117</v>
      </c>
    </row>
    <row r="1430" spans="4:5">
      <c r="D1430" s="137">
        <v>1.590370528321273</v>
      </c>
      <c r="E1430">
        <f t="shared" si="24"/>
        <v>2.0651207074182154</v>
      </c>
    </row>
    <row r="1431" spans="4:5">
      <c r="D1431" s="137">
        <v>1.5904876973459068</v>
      </c>
      <c r="E1431">
        <f t="shared" si="24"/>
        <v>2.0642783370393989</v>
      </c>
    </row>
    <row r="1432" spans="4:5">
      <c r="D1432" s="137">
        <v>1.590502250186546</v>
      </c>
      <c r="E1432">
        <f t="shared" si="24"/>
        <v>2.0641736619534852</v>
      </c>
    </row>
    <row r="1433" spans="4:5">
      <c r="D1433" s="137">
        <v>1.5909556271449219</v>
      </c>
      <c r="E1433">
        <f t="shared" si="24"/>
        <v>2.0609071707870652</v>
      </c>
    </row>
    <row r="1434" spans="4:5">
      <c r="D1434" s="137">
        <v>1.5909849194010803</v>
      </c>
      <c r="E1434">
        <f t="shared" si="24"/>
        <v>2.060695762868316</v>
      </c>
    </row>
    <row r="1435" spans="4:5">
      <c r="D1435" s="137">
        <v>1.5916884932735229</v>
      </c>
      <c r="E1435">
        <f t="shared" si="24"/>
        <v>2.0556047670400588</v>
      </c>
    </row>
    <row r="1436" spans="4:5">
      <c r="D1436" s="137">
        <v>1.5920261938063049</v>
      </c>
      <c r="E1436">
        <f t="shared" si="24"/>
        <v>2.0531522631639429</v>
      </c>
    </row>
    <row r="1437" spans="4:5">
      <c r="D1437" s="137">
        <v>1.5920261938063049</v>
      </c>
      <c r="E1437">
        <f t="shared" si="24"/>
        <v>2.0531522631639429</v>
      </c>
    </row>
    <row r="1438" spans="4:5">
      <c r="D1438" s="137">
        <v>1.5920849648935018</v>
      </c>
      <c r="E1438">
        <f t="shared" si="24"/>
        <v>2.0527248572605368</v>
      </c>
    </row>
    <row r="1439" spans="4:5">
      <c r="D1439" s="137">
        <v>1.5921582888213379</v>
      </c>
      <c r="E1439">
        <f t="shared" si="24"/>
        <v>2.0521913732543058</v>
      </c>
    </row>
    <row r="1440" spans="4:5">
      <c r="D1440" s="137">
        <v>1.5922760175706117</v>
      </c>
      <c r="E1440">
        <f t="shared" si="24"/>
        <v>2.05133424586744</v>
      </c>
    </row>
    <row r="1441" spans="4:5">
      <c r="D1441" s="137">
        <v>1.5924377779915631</v>
      </c>
      <c r="E1441">
        <f t="shared" si="24"/>
        <v>2.0501554078151671</v>
      </c>
    </row>
    <row r="1442" spans="4:5">
      <c r="D1442" s="137">
        <v>1.5927616719832258</v>
      </c>
      <c r="E1442">
        <f t="shared" si="24"/>
        <v>2.0477910682177662</v>
      </c>
    </row>
    <row r="1443" spans="4:5">
      <c r="D1443" s="137">
        <v>1.5927911508142643</v>
      </c>
      <c r="E1443">
        <f t="shared" si="24"/>
        <v>2.0475756200763295</v>
      </c>
    </row>
    <row r="1444" spans="4:5">
      <c r="D1444" s="137">
        <v>1.5933072169323168</v>
      </c>
      <c r="E1444">
        <f t="shared" si="24"/>
        <v>2.0437969015900572</v>
      </c>
    </row>
    <row r="1445" spans="4:5">
      <c r="D1445" s="137">
        <v>1.5936173043828603</v>
      </c>
      <c r="E1445">
        <f t="shared" si="24"/>
        <v>2.0415200373367868</v>
      </c>
    </row>
    <row r="1446" spans="4:5">
      <c r="D1446" s="137">
        <v>1.5937798111033317</v>
      </c>
      <c r="E1446">
        <f t="shared" si="24"/>
        <v>2.0403249111902979</v>
      </c>
    </row>
    <row r="1447" spans="4:5">
      <c r="D1447" s="137">
        <v>1.5941792679213904</v>
      </c>
      <c r="E1447">
        <f t="shared" si="24"/>
        <v>2.0373816608062341</v>
      </c>
    </row>
    <row r="1448" spans="4:5">
      <c r="D1448" s="137">
        <v>1.5942087467524289</v>
      </c>
      <c r="E1448">
        <f t="shared" si="24"/>
        <v>2.0371641469973181</v>
      </c>
    </row>
    <row r="1449" spans="4:5">
      <c r="D1449" s="137">
        <v>1.5945345064928915</v>
      </c>
      <c r="E1449">
        <f t="shared" si="24"/>
        <v>2.0347576560609357</v>
      </c>
    </row>
    <row r="1450" spans="4:5">
      <c r="D1450" s="137">
        <v>1.594638242126166</v>
      </c>
      <c r="E1450">
        <f t="shared" si="24"/>
        <v>2.0339902424702503</v>
      </c>
    </row>
    <row r="1451" spans="4:5">
      <c r="D1451" s="137">
        <v>1.5946680941069644</v>
      </c>
      <c r="E1451">
        <f t="shared" si="24"/>
        <v>2.0337693070954619</v>
      </c>
    </row>
    <row r="1452" spans="4:5">
      <c r="D1452" s="137">
        <v>1.5952169974038952</v>
      </c>
      <c r="E1452">
        <f t="shared" si="24"/>
        <v>2.0296991623951732</v>
      </c>
    </row>
    <row r="1453" spans="4:5">
      <c r="D1453" s="137">
        <v>1.595558989158917</v>
      </c>
      <c r="E1453">
        <f t="shared" si="24"/>
        <v>2.0271559303342856</v>
      </c>
    </row>
    <row r="1454" spans="4:5">
      <c r="D1454" s="137">
        <v>1.595558989158917</v>
      </c>
      <c r="E1454">
        <f t="shared" si="24"/>
        <v>2.0271559303342856</v>
      </c>
    </row>
    <row r="1455" spans="4:5">
      <c r="D1455" s="137">
        <v>1.5956483585264323</v>
      </c>
      <c r="E1455">
        <f t="shared" si="24"/>
        <v>2.0264904073638159</v>
      </c>
    </row>
    <row r="1456" spans="4:5">
      <c r="D1456" s="137">
        <v>1.5965424253513447</v>
      </c>
      <c r="E1456">
        <f t="shared" si="24"/>
        <v>2.0198114441117796</v>
      </c>
    </row>
    <row r="1457" spans="4:5">
      <c r="D1457" s="137">
        <v>1.5966469072841392</v>
      </c>
      <c r="E1457">
        <f t="shared" si="24"/>
        <v>2.0190284582586751</v>
      </c>
    </row>
    <row r="1458" spans="4:5">
      <c r="D1458" s="137">
        <v>1.5970652081650769</v>
      </c>
      <c r="E1458">
        <f t="shared" si="24"/>
        <v>2.0158885735210244</v>
      </c>
    </row>
    <row r="1459" spans="4:5">
      <c r="D1459" s="137">
        <v>1.5973794002629802</v>
      </c>
      <c r="E1459">
        <f t="shared" si="24"/>
        <v>2.0135247676290025</v>
      </c>
    </row>
    <row r="1460" spans="4:5">
      <c r="D1460" s="137">
        <v>1.5980689810194235</v>
      </c>
      <c r="E1460">
        <f t="shared" si="24"/>
        <v>2.0083206529662343</v>
      </c>
    </row>
    <row r="1461" spans="4:5">
      <c r="D1461" s="137">
        <v>1.5980839070098227</v>
      </c>
      <c r="E1461">
        <f t="shared" si="24"/>
        <v>2.0082077666044524</v>
      </c>
    </row>
    <row r="1462" spans="4:5">
      <c r="D1462" s="137">
        <v>1.5980990195751019</v>
      </c>
      <c r="E1462">
        <f t="shared" si="24"/>
        <v>2.0080934587045935</v>
      </c>
    </row>
    <row r="1463" spans="4:5">
      <c r="D1463" s="137">
        <v>1.5984596688181227</v>
      </c>
      <c r="E1463">
        <f t="shared" si="24"/>
        <v>2.0053624767542431</v>
      </c>
    </row>
    <row r="1464" spans="4:5">
      <c r="D1464" s="137">
        <v>1.5987302023941083</v>
      </c>
      <c r="E1464">
        <f t="shared" si="24"/>
        <v>2.0033099748288872</v>
      </c>
    </row>
    <row r="1465" spans="4:5">
      <c r="D1465" s="137">
        <v>1.5987302023941083</v>
      </c>
      <c r="E1465">
        <f t="shared" si="24"/>
        <v>2.0033099748288872</v>
      </c>
    </row>
    <row r="1466" spans="4:5">
      <c r="D1466" s="137">
        <v>1.5989257328683379</v>
      </c>
      <c r="E1466">
        <f t="shared" si="24"/>
        <v>2.0018244327063548</v>
      </c>
    </row>
    <row r="1467" spans="4:5">
      <c r="D1467" s="137">
        <v>1.5993779903774339</v>
      </c>
      <c r="E1467">
        <f t="shared" si="24"/>
        <v>1.9983817582900429</v>
      </c>
    </row>
    <row r="1468" spans="4:5">
      <c r="D1468" s="137">
        <v>1.5993929163678331</v>
      </c>
      <c r="E1468">
        <f t="shared" si="24"/>
        <v>1.9982679809693689</v>
      </c>
    </row>
    <row r="1469" spans="4:5">
      <c r="D1469" s="137">
        <v>1.5998761453070074</v>
      </c>
      <c r="E1469">
        <f t="shared" si="24"/>
        <v>1.9945790242535613</v>
      </c>
    </row>
    <row r="1470" spans="4:5">
      <c r="D1470" s="137">
        <v>1.6001783966125913</v>
      </c>
      <c r="E1470">
        <f t="shared" si="24"/>
        <v>1.9922663278440769</v>
      </c>
    </row>
    <row r="1471" spans="4:5">
      <c r="D1471" s="137">
        <v>1.6002843711444257</v>
      </c>
      <c r="E1471">
        <f t="shared" si="24"/>
        <v>1.9914544921969604</v>
      </c>
    </row>
    <row r="1472" spans="4:5">
      <c r="D1472" s="137">
        <v>1.6003599339708217</v>
      </c>
      <c r="E1472">
        <f t="shared" si="24"/>
        <v>1.9908753255634264</v>
      </c>
    </row>
    <row r="1473" spans="4:5">
      <c r="D1473" s="137">
        <v>1.6003599339708217</v>
      </c>
      <c r="E1473">
        <f t="shared" si="24"/>
        <v>1.9908753255634264</v>
      </c>
    </row>
    <row r="1474" spans="4:5">
      <c r="D1474" s="137">
        <v>1.6005112461984936</v>
      </c>
      <c r="E1474">
        <f t="shared" si="24"/>
        <v>1.9897148005092995</v>
      </c>
    </row>
    <row r="1475" spans="4:5">
      <c r="D1475" s="137">
        <v>1.6011026885680621</v>
      </c>
      <c r="E1475">
        <f t="shared" ref="E1475:E1538" si="25">_xlfn.NORM.DIST(D1475,$B$2,$B$4,FALSE)</f>
        <v>1.9851688894020325</v>
      </c>
    </row>
    <row r="1476" spans="4:5">
      <c r="D1476" s="137">
        <v>1.6014215450379652</v>
      </c>
      <c r="E1476">
        <f t="shared" si="25"/>
        <v>1.9827117394755118</v>
      </c>
    </row>
    <row r="1477" spans="4:5">
      <c r="D1477" s="137">
        <v>1.6014519567434036</v>
      </c>
      <c r="E1477">
        <f t="shared" si="25"/>
        <v>1.9824771508776042</v>
      </c>
    </row>
    <row r="1478" spans="4:5">
      <c r="D1478" s="137">
        <v>1.6014974810141211</v>
      </c>
      <c r="E1478">
        <f t="shared" si="25"/>
        <v>1.9821259122433066</v>
      </c>
    </row>
    <row r="1479" spans="4:5">
      <c r="D1479" s="137">
        <v>1.6018168972086642</v>
      </c>
      <c r="E1479">
        <f t="shared" si="25"/>
        <v>1.9796589492176855</v>
      </c>
    </row>
    <row r="1480" spans="4:5">
      <c r="D1480" s="137">
        <v>1.6019997405910544</v>
      </c>
      <c r="E1480">
        <f t="shared" si="25"/>
        <v>1.978244795236535</v>
      </c>
    </row>
    <row r="1481" spans="4:5">
      <c r="D1481" s="137">
        <v>1.6021366865529671</v>
      </c>
      <c r="E1481">
        <f t="shared" si="25"/>
        <v>1.977184676978482</v>
      </c>
    </row>
    <row r="1482" spans="4:5">
      <c r="D1482" s="137">
        <v>1.6023807264959942</v>
      </c>
      <c r="E1482">
        <f t="shared" si="25"/>
        <v>1.9752935274734769</v>
      </c>
    </row>
    <row r="1483" spans="4:5">
      <c r="D1483" s="137">
        <v>1.6028232821113306</v>
      </c>
      <c r="E1483">
        <f t="shared" si="25"/>
        <v>1.9718575017873732</v>
      </c>
    </row>
    <row r="1484" spans="4:5">
      <c r="D1484" s="137">
        <v>1.6036035382594491</v>
      </c>
      <c r="E1484">
        <f t="shared" si="25"/>
        <v>1.9657792836270638</v>
      </c>
    </row>
    <row r="1485" spans="4:5">
      <c r="D1485" s="137">
        <v>1.603680220535125</v>
      </c>
      <c r="E1485">
        <f t="shared" si="25"/>
        <v>1.9651805412068388</v>
      </c>
    </row>
    <row r="1486" spans="4:5">
      <c r="D1486" s="137">
        <v>1.6036955196752842</v>
      </c>
      <c r="E1486">
        <f t="shared" si="25"/>
        <v>1.9650610545687384</v>
      </c>
    </row>
    <row r="1487" spans="4:5">
      <c r="D1487" s="137">
        <v>1.6037722019509602</v>
      </c>
      <c r="E1487">
        <f t="shared" si="25"/>
        <v>1.9644620164477384</v>
      </c>
    </row>
    <row r="1488" spans="4:5">
      <c r="D1488" s="137">
        <v>1.6038180993714377</v>
      </c>
      <c r="E1488">
        <f t="shared" si="25"/>
        <v>1.9641033503062246</v>
      </c>
    </row>
    <row r="1489" spans="4:5">
      <c r="D1489" s="137">
        <v>1.6038949682219936</v>
      </c>
      <c r="E1489">
        <f t="shared" si="25"/>
        <v>1.9635024601000981</v>
      </c>
    </row>
    <row r="1490" spans="4:5">
      <c r="D1490" s="137">
        <v>1.6042938653154124</v>
      </c>
      <c r="E1490">
        <f t="shared" si="25"/>
        <v>1.9603802924327873</v>
      </c>
    </row>
    <row r="1491" spans="4:5">
      <c r="D1491" s="137">
        <v>1.6048476195592229</v>
      </c>
      <c r="E1491">
        <f t="shared" si="25"/>
        <v>1.9560351293591147</v>
      </c>
    </row>
    <row r="1492" spans="4:5">
      <c r="D1492" s="137">
        <v>1.6048938901294605</v>
      </c>
      <c r="E1492">
        <f t="shared" si="25"/>
        <v>1.9556714847404235</v>
      </c>
    </row>
    <row r="1493" spans="4:5">
      <c r="D1493" s="137">
        <v>1.6050480009803323</v>
      </c>
      <c r="E1493">
        <f t="shared" si="25"/>
        <v>1.9544596805686301</v>
      </c>
    </row>
    <row r="1494" spans="4:5">
      <c r="D1494" s="137">
        <v>1.6053254378268775</v>
      </c>
      <c r="E1494">
        <f t="shared" si="25"/>
        <v>1.9522756926751785</v>
      </c>
    </row>
    <row r="1495" spans="4:5">
      <c r="D1495" s="137">
        <v>1.6053409235419167</v>
      </c>
      <c r="E1495">
        <f t="shared" si="25"/>
        <v>1.9521536963898125</v>
      </c>
    </row>
    <row r="1496" spans="4:5">
      <c r="D1496" s="137">
        <v>1.6053717083971151</v>
      </c>
      <c r="E1496">
        <f t="shared" si="25"/>
        <v>1.9519111446785307</v>
      </c>
    </row>
    <row r="1497" spans="4:5">
      <c r="D1497" s="137">
        <v>1.6054644361124701</v>
      </c>
      <c r="E1497">
        <f t="shared" si="25"/>
        <v>1.9511803167490462</v>
      </c>
    </row>
    <row r="1498" spans="4:5">
      <c r="D1498" s="137">
        <v>1.6056650041084595</v>
      </c>
      <c r="E1498">
        <f t="shared" si="25"/>
        <v>1.949598358902628</v>
      </c>
    </row>
    <row r="1499" spans="4:5">
      <c r="D1499" s="137">
        <v>1.6058040023940521</v>
      </c>
      <c r="E1499">
        <f t="shared" si="25"/>
        <v>1.9485010704960228</v>
      </c>
    </row>
    <row r="1500" spans="4:5">
      <c r="D1500" s="137">
        <v>1.6059894578247622</v>
      </c>
      <c r="E1500">
        <f t="shared" si="25"/>
        <v>1.9470358240596035</v>
      </c>
    </row>
    <row r="1501" spans="4:5">
      <c r="D1501" s="137">
        <v>1.6062062578353107</v>
      </c>
      <c r="E1501">
        <f t="shared" si="25"/>
        <v>1.9453211777399526</v>
      </c>
    </row>
    <row r="1502" spans="4:5">
      <c r="D1502" s="137">
        <v>1.6062834998356266</v>
      </c>
      <c r="E1502">
        <f t="shared" si="25"/>
        <v>1.9447098245751109</v>
      </c>
    </row>
    <row r="1503" spans="4:5">
      <c r="D1503" s="137">
        <v>1.6066245587162484</v>
      </c>
      <c r="E1503">
        <f t="shared" si="25"/>
        <v>1.9420075725922143</v>
      </c>
    </row>
    <row r="1504" spans="4:5">
      <c r="D1504" s="137">
        <v>1.607121221046782</v>
      </c>
      <c r="E1504">
        <f t="shared" si="25"/>
        <v>1.9380641992946077</v>
      </c>
    </row>
    <row r="1505" spans="4:5">
      <c r="D1505" s="137">
        <v>1.6071521924768604</v>
      </c>
      <c r="E1505">
        <f t="shared" si="25"/>
        <v>1.9378179714907398</v>
      </c>
    </row>
    <row r="1506" spans="4:5">
      <c r="D1506" s="137">
        <v>1.6073542530718896</v>
      </c>
      <c r="E1506">
        <f t="shared" si="25"/>
        <v>1.9362106326711372</v>
      </c>
    </row>
    <row r="1507" spans="4:5">
      <c r="D1507" s="137">
        <v>1.6078990517214606</v>
      </c>
      <c r="E1507">
        <f t="shared" si="25"/>
        <v>1.9318689502983131</v>
      </c>
    </row>
    <row r="1508" spans="4:5">
      <c r="D1508" s="137">
        <v>1.6080861863260907</v>
      </c>
      <c r="E1508">
        <f t="shared" si="25"/>
        <v>1.9303749511139239</v>
      </c>
    </row>
    <row r="1509" spans="4:5">
      <c r="D1509" s="137">
        <v>1.6083514958054366</v>
      </c>
      <c r="E1509">
        <f t="shared" si="25"/>
        <v>1.9282545215602516</v>
      </c>
    </row>
    <row r="1510" spans="4:5">
      <c r="D1510" s="137">
        <v>1.6085544892748658</v>
      </c>
      <c r="E1510">
        <f t="shared" si="25"/>
        <v>1.9266303123138755</v>
      </c>
    </row>
    <row r="1511" spans="4:5">
      <c r="D1511" s="137">
        <v>1.6088828610636483</v>
      </c>
      <c r="E1511">
        <f t="shared" si="25"/>
        <v>1.9239995787747224</v>
      </c>
    </row>
    <row r="1512" spans="4:5">
      <c r="D1512" s="137">
        <v>1.6090548831029992</v>
      </c>
      <c r="E1512">
        <f t="shared" si="25"/>
        <v>1.9226197948817896</v>
      </c>
    </row>
    <row r="1513" spans="4:5">
      <c r="D1513" s="137">
        <v>1.609321312031625</v>
      </c>
      <c r="E1513">
        <f t="shared" si="25"/>
        <v>1.9204805640187286</v>
      </c>
    </row>
    <row r="1514" spans="4:5">
      <c r="D1514" s="137">
        <v>1.6095563963804125</v>
      </c>
      <c r="E1514">
        <f t="shared" si="25"/>
        <v>1.9185907848776911</v>
      </c>
    </row>
    <row r="1515" spans="4:5">
      <c r="D1515" s="137">
        <v>1.6097291647192833</v>
      </c>
      <c r="E1515">
        <f t="shared" si="25"/>
        <v>1.9172006248459283</v>
      </c>
    </row>
    <row r="1516" spans="4:5">
      <c r="D1516" s="137">
        <v>1.6097448370092025</v>
      </c>
      <c r="E1516">
        <f t="shared" si="25"/>
        <v>1.9170744643512774</v>
      </c>
    </row>
    <row r="1517" spans="4:5">
      <c r="D1517" s="137">
        <v>1.6100903736869441</v>
      </c>
      <c r="E1517">
        <f t="shared" si="25"/>
        <v>1.9142905986247016</v>
      </c>
    </row>
    <row r="1518" spans="4:5">
      <c r="D1518" s="137">
        <v>1.6103420632000507</v>
      </c>
      <c r="E1518">
        <f t="shared" si="25"/>
        <v>1.9122600348554664</v>
      </c>
    </row>
    <row r="1519" spans="4:5">
      <c r="D1519" s="137">
        <v>1.6108461885257839</v>
      </c>
      <c r="E1519">
        <f t="shared" si="25"/>
        <v>1.9081858640485108</v>
      </c>
    </row>
    <row r="1520" spans="4:5">
      <c r="D1520" s="137">
        <v>1.610862047390583</v>
      </c>
      <c r="E1520">
        <f t="shared" si="25"/>
        <v>1.9080575468737877</v>
      </c>
    </row>
    <row r="1521" spans="4:5">
      <c r="D1521" s="137">
        <v>1.6111460143579279</v>
      </c>
      <c r="E1521">
        <f t="shared" si="25"/>
        <v>1.9057583623858596</v>
      </c>
    </row>
    <row r="1522" spans="4:5">
      <c r="D1522" s="137">
        <v>1.611351433300797</v>
      </c>
      <c r="E1522">
        <f t="shared" si="25"/>
        <v>1.9040933282727384</v>
      </c>
    </row>
    <row r="1523" spans="4:5">
      <c r="D1523" s="137">
        <v>1.6118893286798084</v>
      </c>
      <c r="E1523">
        <f t="shared" si="25"/>
        <v>1.8997261765518041</v>
      </c>
    </row>
    <row r="1524" spans="4:5">
      <c r="D1524" s="137">
        <v>1.6119844818686033</v>
      </c>
      <c r="E1524">
        <f t="shared" si="25"/>
        <v>1.8989525512901619</v>
      </c>
    </row>
    <row r="1525" spans="4:5">
      <c r="D1525" s="137">
        <v>1.6122380371305098</v>
      </c>
      <c r="E1525">
        <f t="shared" si="25"/>
        <v>1.8968894918255441</v>
      </c>
    </row>
    <row r="1526" spans="4:5">
      <c r="D1526" s="137">
        <v>1.6124124846433006</v>
      </c>
      <c r="E1526">
        <f t="shared" si="25"/>
        <v>1.895468769106633</v>
      </c>
    </row>
    <row r="1527" spans="4:5">
      <c r="D1527" s="137">
        <v>1.6125080109818555</v>
      </c>
      <c r="E1527">
        <f t="shared" si="25"/>
        <v>1.8946903342702637</v>
      </c>
    </row>
    <row r="1528" spans="4:5">
      <c r="D1528" s="137">
        <v>1.61317576247734</v>
      </c>
      <c r="E1528">
        <f t="shared" si="25"/>
        <v>1.889239936898331</v>
      </c>
    </row>
    <row r="1529" spans="4:5">
      <c r="D1529" s="137">
        <v>1.6142931594336005</v>
      </c>
      <c r="E1529">
        <f t="shared" si="25"/>
        <v>1.8800848170860114</v>
      </c>
    </row>
    <row r="1530" spans="4:5">
      <c r="D1530" s="137">
        <v>1.6145651856086261</v>
      </c>
      <c r="E1530">
        <f t="shared" si="25"/>
        <v>1.8778495837932563</v>
      </c>
    </row>
    <row r="1531" spans="4:5">
      <c r="D1531" s="137">
        <v>1.6152551395148294</v>
      </c>
      <c r="E1531">
        <f t="shared" si="25"/>
        <v>1.8721690895569301</v>
      </c>
    </row>
    <row r="1532" spans="4:5">
      <c r="D1532" s="137">
        <v>1.6153353667132251</v>
      </c>
      <c r="E1532">
        <f t="shared" si="25"/>
        <v>1.8715075363823024</v>
      </c>
    </row>
    <row r="1533" spans="4:5">
      <c r="D1533" s="137">
        <v>1.6153353667132251</v>
      </c>
      <c r="E1533">
        <f t="shared" si="25"/>
        <v>1.8715075363823024</v>
      </c>
    </row>
    <row r="1534" spans="4:5">
      <c r="D1534" s="137">
        <v>1.6161887602142997</v>
      </c>
      <c r="E1534">
        <f t="shared" si="25"/>
        <v>1.8644573313699864</v>
      </c>
    </row>
    <row r="1535" spans="4:5">
      <c r="D1535" s="137">
        <v>1.6162048056539788</v>
      </c>
      <c r="E1535">
        <f t="shared" si="25"/>
        <v>1.864324545808608</v>
      </c>
    </row>
    <row r="1536" spans="4:5">
      <c r="D1536" s="137">
        <v>1.6164954893170034</v>
      </c>
      <c r="E1536">
        <f t="shared" si="25"/>
        <v>1.8619175204852976</v>
      </c>
    </row>
    <row r="1537" spans="4:5">
      <c r="D1537" s="137">
        <v>1.6169318879613002</v>
      </c>
      <c r="E1537">
        <f t="shared" si="25"/>
        <v>1.858298779976316</v>
      </c>
    </row>
    <row r="1538" spans="4:5">
      <c r="D1538" s="137">
        <v>1.6169966294446567</v>
      </c>
      <c r="E1538">
        <f t="shared" si="25"/>
        <v>1.8577614058247158</v>
      </c>
    </row>
    <row r="1539" spans="4:5">
      <c r="D1539" s="137">
        <v>1.6173205234363195</v>
      </c>
      <c r="E1539">
        <f t="shared" ref="E1539:E1602" si="26">_xlfn.NORM.DIST(D1539,$B$2,$B$4,FALSE)</f>
        <v>1.8550709839226887</v>
      </c>
    </row>
    <row r="1540" spans="4:5">
      <c r="D1540" s="137">
        <v>1.6175962811089448</v>
      </c>
      <c r="E1540">
        <f t="shared" si="26"/>
        <v>1.8527777891109878</v>
      </c>
    </row>
    <row r="1541" spans="4:5">
      <c r="D1541" s="137">
        <v>1.6177100917857388</v>
      </c>
      <c r="E1541">
        <f t="shared" si="26"/>
        <v>1.851830644386091</v>
      </c>
    </row>
    <row r="1542" spans="4:5">
      <c r="D1542" s="137">
        <v>1.6178724119313301</v>
      </c>
      <c r="E1542">
        <f t="shared" si="26"/>
        <v>1.8504790965254034</v>
      </c>
    </row>
    <row r="1543" spans="4:5">
      <c r="D1543" s="137">
        <v>1.6180186866372424</v>
      </c>
      <c r="E1543">
        <f t="shared" si="26"/>
        <v>1.8492604452722927</v>
      </c>
    </row>
    <row r="1544" spans="4:5">
      <c r="D1544" s="137">
        <v>1.6181976119471528</v>
      </c>
      <c r="E1544">
        <f t="shared" si="26"/>
        <v>1.8477688688882552</v>
      </c>
    </row>
    <row r="1545" spans="4:5">
      <c r="D1545" s="137">
        <v>1.6186049049101712</v>
      </c>
      <c r="E1545">
        <f t="shared" si="26"/>
        <v>1.8443698590726312</v>
      </c>
    </row>
    <row r="1546" spans="4:5">
      <c r="D1546" s="137">
        <v>1.6187515527658434</v>
      </c>
      <c r="E1546">
        <f t="shared" si="26"/>
        <v>1.8431447806144883</v>
      </c>
    </row>
    <row r="1547" spans="4:5">
      <c r="D1547" s="137">
        <v>1.6188168539738399</v>
      </c>
      <c r="E1547">
        <f t="shared" si="26"/>
        <v>1.8425990506558458</v>
      </c>
    </row>
    <row r="1548" spans="4:5">
      <c r="D1548" s="137">
        <v>1.6188657365923973</v>
      </c>
      <c r="E1548">
        <f t="shared" si="26"/>
        <v>1.8421904476669073</v>
      </c>
    </row>
    <row r="1549" spans="4:5">
      <c r="D1549" s="137">
        <v>1.6191269414243834</v>
      </c>
      <c r="E1549">
        <f t="shared" si="26"/>
        <v>1.8400058413554081</v>
      </c>
    </row>
    <row r="1550" spans="4:5">
      <c r="D1550" s="137">
        <v>1.619830701871706</v>
      </c>
      <c r="E1550">
        <f t="shared" si="26"/>
        <v>1.8341096489902182</v>
      </c>
    </row>
    <row r="1551" spans="4:5">
      <c r="D1551" s="137">
        <v>1.6198799576400233</v>
      </c>
      <c r="E1551">
        <f t="shared" si="26"/>
        <v>1.8336964236008519</v>
      </c>
    </row>
    <row r="1552" spans="4:5">
      <c r="D1552" s="137">
        <v>1.6202572120473633</v>
      </c>
      <c r="E1552">
        <f t="shared" si="26"/>
        <v>1.8305291105075481</v>
      </c>
    </row>
    <row r="1553" spans="4:5">
      <c r="D1553" s="137">
        <v>1.6203228864051198</v>
      </c>
      <c r="E1553">
        <f t="shared" si="26"/>
        <v>1.8299772997325729</v>
      </c>
    </row>
    <row r="1554" spans="4:5">
      <c r="D1554" s="137">
        <v>1.6206516313436623</v>
      </c>
      <c r="E1554">
        <f t="shared" si="26"/>
        <v>1.8272132115458322</v>
      </c>
    </row>
    <row r="1555" spans="4:5">
      <c r="D1555" s="137">
        <v>1.6209973545962839</v>
      </c>
      <c r="E1555">
        <f t="shared" si="26"/>
        <v>1.8243029763834056</v>
      </c>
    </row>
    <row r="1556" spans="4:5">
      <c r="D1556" s="137">
        <v>1.621013959760603</v>
      </c>
      <c r="E1556">
        <f t="shared" si="26"/>
        <v>1.8241631101167499</v>
      </c>
    </row>
    <row r="1557" spans="4:5">
      <c r="D1557" s="137">
        <v>1.6212941952303481</v>
      </c>
      <c r="E1557">
        <f t="shared" si="26"/>
        <v>1.8218014739246473</v>
      </c>
    </row>
    <row r="1558" spans="4:5">
      <c r="D1558" s="137">
        <v>1.6213434509986655</v>
      </c>
      <c r="E1558">
        <f t="shared" si="26"/>
        <v>1.8213861466885022</v>
      </c>
    </row>
    <row r="1559" spans="4:5">
      <c r="D1559" s="137">
        <v>1.6215748038498532</v>
      </c>
      <c r="E1559">
        <f t="shared" si="26"/>
        <v>1.8194344409144381</v>
      </c>
    </row>
    <row r="1560" spans="4:5">
      <c r="D1560" s="137">
        <v>1.621690480275447</v>
      </c>
      <c r="E1560">
        <f t="shared" si="26"/>
        <v>1.8184580172403337</v>
      </c>
    </row>
    <row r="1561" spans="4:5">
      <c r="D1561" s="137">
        <v>1.6217565277829635</v>
      </c>
      <c r="E1561">
        <f t="shared" si="26"/>
        <v>1.8179003407866952</v>
      </c>
    </row>
    <row r="1562" spans="4:5">
      <c r="D1562" s="137">
        <v>1.6221867694562206</v>
      </c>
      <c r="E1562">
        <f t="shared" si="26"/>
        <v>1.8142645586570294</v>
      </c>
    </row>
    <row r="1563" spans="4:5">
      <c r="D1563" s="137">
        <v>1.6227838090721889</v>
      </c>
      <c r="E1563">
        <f t="shared" si="26"/>
        <v>1.8092106842944236</v>
      </c>
    </row>
    <row r="1564" spans="4:5">
      <c r="D1564" s="137">
        <v>1.623232708233445</v>
      </c>
      <c r="E1564">
        <f t="shared" si="26"/>
        <v>1.8054043397586996</v>
      </c>
    </row>
    <row r="1565" spans="4:5">
      <c r="D1565" s="137">
        <v>1.6232494999726441</v>
      </c>
      <c r="E1565">
        <f t="shared" si="26"/>
        <v>1.8052618512077285</v>
      </c>
    </row>
    <row r="1566" spans="4:5">
      <c r="D1566" s="137">
        <v>1.6234491350942335</v>
      </c>
      <c r="E1566">
        <f t="shared" si="26"/>
        <v>1.8035672353708436</v>
      </c>
    </row>
    <row r="1567" spans="4:5">
      <c r="D1567" s="137">
        <v>1.6241667020826753</v>
      </c>
      <c r="E1567">
        <f t="shared" si="26"/>
        <v>1.797467282945898</v>
      </c>
    </row>
    <row r="1568" spans="4:5">
      <c r="D1568" s="137">
        <v>1.6242170773002726</v>
      </c>
      <c r="E1568">
        <f t="shared" si="26"/>
        <v>1.7970385344017523</v>
      </c>
    </row>
    <row r="1569" spans="4:5">
      <c r="D1569" s="137">
        <v>1.624417645296262</v>
      </c>
      <c r="E1569">
        <f t="shared" si="26"/>
        <v>1.7953308164473301</v>
      </c>
    </row>
    <row r="1570" spans="4:5">
      <c r="D1570" s="137">
        <v>1.6254240301989284</v>
      </c>
      <c r="E1570">
        <f t="shared" si="26"/>
        <v>1.7867462223624806</v>
      </c>
    </row>
    <row r="1571" spans="4:5">
      <c r="D1571" s="137">
        <v>1.6254408219381276</v>
      </c>
      <c r="E1571">
        <f t="shared" si="26"/>
        <v>1.7866027655073131</v>
      </c>
    </row>
    <row r="1572" spans="4:5">
      <c r="D1572" s="137">
        <v>1.6256089259049986</v>
      </c>
      <c r="E1572">
        <f t="shared" si="26"/>
        <v>1.7851662076047703</v>
      </c>
    </row>
    <row r="1573" spans="4:5">
      <c r="D1573" s="137">
        <v>1.6257100494899532</v>
      </c>
      <c r="E1573">
        <f t="shared" si="26"/>
        <v>1.7843016953506809</v>
      </c>
    </row>
    <row r="1574" spans="4:5">
      <c r="D1574" s="137">
        <v>1.6259794636166589</v>
      </c>
      <c r="E1574">
        <f t="shared" si="26"/>
        <v>1.7819971965369314</v>
      </c>
    </row>
    <row r="1575" spans="4:5">
      <c r="D1575" s="137">
        <v>1.6260470037232153</v>
      </c>
      <c r="E1575">
        <f t="shared" si="26"/>
        <v>1.7814191900411103</v>
      </c>
    </row>
    <row r="1576" spans="4:5">
      <c r="D1576" s="137">
        <v>1.6260637954624144</v>
      </c>
      <c r="E1576">
        <f t="shared" si="26"/>
        <v>1.7812754690433692</v>
      </c>
    </row>
    <row r="1577" spans="4:5">
      <c r="D1577" s="137">
        <v>1.6261313355689708</v>
      </c>
      <c r="E1577">
        <f t="shared" si="26"/>
        <v>1.7806973200663252</v>
      </c>
    </row>
    <row r="1578" spans="4:5">
      <c r="D1578" s="137">
        <v>1.6262664157820836</v>
      </c>
      <c r="E1578">
        <f t="shared" si="26"/>
        <v>1.7795406807972065</v>
      </c>
    </row>
    <row r="1579" spans="4:5">
      <c r="D1579" s="137">
        <v>1.6266716564214221</v>
      </c>
      <c r="E1579">
        <f t="shared" si="26"/>
        <v>1.7760680492304084</v>
      </c>
    </row>
    <row r="1580" spans="4:5">
      <c r="D1580" s="137">
        <v>1.6268746498908513</v>
      </c>
      <c r="E1580">
        <f t="shared" si="26"/>
        <v>1.7743270171267793</v>
      </c>
    </row>
    <row r="1581" spans="4:5">
      <c r="D1581" s="137">
        <v>1.6269765197753259</v>
      </c>
      <c r="E1581">
        <f t="shared" si="26"/>
        <v>1.7734529214217907</v>
      </c>
    </row>
    <row r="1582" spans="4:5">
      <c r="D1582" s="137">
        <v>1.6272645913900305</v>
      </c>
      <c r="E1582">
        <f t="shared" si="26"/>
        <v>1.7709797563653249</v>
      </c>
    </row>
    <row r="1583" spans="4:5">
      <c r="D1583" s="137">
        <v>1.6274172096418624</v>
      </c>
      <c r="E1583">
        <f t="shared" si="26"/>
        <v>1.7696686797946493</v>
      </c>
    </row>
    <row r="1584" spans="4:5">
      <c r="D1584" s="137">
        <v>1.6274172096418624</v>
      </c>
      <c r="E1584">
        <f t="shared" si="26"/>
        <v>1.7696686797946493</v>
      </c>
    </row>
    <row r="1585" spans="4:5">
      <c r="D1585" s="137">
        <v>1.6276549060389698</v>
      </c>
      <c r="E1585">
        <f t="shared" si="26"/>
        <v>1.7676256224199385</v>
      </c>
    </row>
    <row r="1586" spans="4:5">
      <c r="D1586" s="137">
        <v>1.6279439105280744</v>
      </c>
      <c r="E1586">
        <f t="shared" si="26"/>
        <v>1.7651397487293981</v>
      </c>
    </row>
    <row r="1587" spans="4:5">
      <c r="D1587" s="137">
        <v>1.6279780537311126</v>
      </c>
      <c r="E1587">
        <f t="shared" si="26"/>
        <v>1.7648459352933601</v>
      </c>
    </row>
    <row r="1588" spans="4:5">
      <c r="D1588" s="137">
        <v>1.6281993315387808</v>
      </c>
      <c r="E1588">
        <f t="shared" si="26"/>
        <v>1.762941102768866</v>
      </c>
    </row>
    <row r="1589" spans="4:5">
      <c r="D1589" s="137">
        <v>1.6284377742354081</v>
      </c>
      <c r="E1589">
        <f t="shared" si="26"/>
        <v>1.7608872270861475</v>
      </c>
    </row>
    <row r="1590" spans="4:5">
      <c r="D1590" s="137">
        <v>1.6289157790779427</v>
      </c>
      <c r="E1590">
        <f t="shared" si="26"/>
        <v>1.7567658678455438</v>
      </c>
    </row>
    <row r="1591" spans="4:5">
      <c r="D1591" s="137">
        <v>1.6293949033697572</v>
      </c>
      <c r="E1591">
        <f t="shared" si="26"/>
        <v>1.7526296157742396</v>
      </c>
    </row>
    <row r="1592" spans="4:5">
      <c r="D1592" s="137">
        <v>1.6299609715556471</v>
      </c>
      <c r="E1592">
        <f t="shared" si="26"/>
        <v>1.747736133489016</v>
      </c>
    </row>
    <row r="1593" spans="4:5">
      <c r="D1593" s="137">
        <v>1.6301844882618752</v>
      </c>
      <c r="E1593">
        <f t="shared" si="26"/>
        <v>1.7458019463435615</v>
      </c>
    </row>
    <row r="1594" spans="4:5">
      <c r="D1594" s="137">
        <v>1.6307009275296878</v>
      </c>
      <c r="E1594">
        <f t="shared" si="26"/>
        <v>1.7413288020138071</v>
      </c>
    </row>
    <row r="1595" spans="4:5">
      <c r="D1595" s="137">
        <v>1.6308046631629622</v>
      </c>
      <c r="E1595">
        <f t="shared" si="26"/>
        <v>1.7404295992950591</v>
      </c>
    </row>
    <row r="1596" spans="4:5">
      <c r="D1596" s="137">
        <v>1.6313054301408556</v>
      </c>
      <c r="E1596">
        <f t="shared" si="26"/>
        <v>1.7360856140583236</v>
      </c>
    </row>
    <row r="1597" spans="4:5">
      <c r="D1597" s="137">
        <v>1.6314091657741301</v>
      </c>
      <c r="E1597">
        <f t="shared" si="26"/>
        <v>1.7351850788192746</v>
      </c>
    </row>
    <row r="1598" spans="4:5">
      <c r="D1598" s="137">
        <v>1.6315823072627609</v>
      </c>
      <c r="E1598">
        <f t="shared" si="26"/>
        <v>1.7336815246413708</v>
      </c>
    </row>
    <row r="1599" spans="4:5">
      <c r="D1599" s="137">
        <v>1.6320155341340978</v>
      </c>
      <c r="E1599">
        <f t="shared" si="26"/>
        <v>1.7299166681799509</v>
      </c>
    </row>
    <row r="1600" spans="4:5">
      <c r="D1600" s="137">
        <v>1.6323106955942421</v>
      </c>
      <c r="E1600">
        <f t="shared" si="26"/>
        <v>1.7273494262263616</v>
      </c>
    </row>
    <row r="1601" spans="4:5">
      <c r="D1601" s="137">
        <v>1.6323976394883175</v>
      </c>
      <c r="E1601">
        <f t="shared" si="26"/>
        <v>1.726592871364476</v>
      </c>
    </row>
    <row r="1602" spans="4:5">
      <c r="D1602" s="137">
        <v>1.6327629531033381</v>
      </c>
      <c r="E1602">
        <f t="shared" si="26"/>
        <v>1.7234123756001603</v>
      </c>
    </row>
    <row r="1603" spans="4:5">
      <c r="D1603" s="137">
        <v>1.6339506887893549</v>
      </c>
      <c r="E1603">
        <f t="shared" ref="E1603:E1666" si="27">_xlfn.NORM.DIST(D1603,$B$2,$B$4,FALSE)</f>
        <v>1.7130534737132241</v>
      </c>
    </row>
    <row r="1604" spans="4:5">
      <c r="D1604" s="137">
        <v>1.6342133862203809</v>
      </c>
      <c r="E1604">
        <f t="shared" si="27"/>
        <v>1.710758664223599</v>
      </c>
    </row>
    <row r="1605" spans="4:5">
      <c r="D1605" s="137">
        <v>1.6349339384069026</v>
      </c>
      <c r="E1605">
        <f t="shared" si="27"/>
        <v>1.704457586057734</v>
      </c>
    </row>
    <row r="1606" spans="4:5">
      <c r="D1606" s="137">
        <v>1.635057077827696</v>
      </c>
      <c r="E1606">
        <f t="shared" si="27"/>
        <v>1.7033797966284008</v>
      </c>
    </row>
    <row r="1607" spans="4:5">
      <c r="D1607" s="137">
        <v>1.6351630523595304</v>
      </c>
      <c r="E1607">
        <f t="shared" si="27"/>
        <v>1.702452022792772</v>
      </c>
    </row>
    <row r="1608" spans="4:5">
      <c r="D1608" s="137">
        <v>1.6354802296555135</v>
      </c>
      <c r="E1608">
        <f t="shared" si="27"/>
        <v>1.6996740183845895</v>
      </c>
    </row>
    <row r="1609" spans="4:5">
      <c r="D1609" s="137">
        <v>1.6356921787191823</v>
      </c>
      <c r="E1609">
        <f t="shared" si="27"/>
        <v>1.6978166501056431</v>
      </c>
    </row>
    <row r="1610" spans="4:5">
      <c r="D1610" s="137">
        <v>1.6358865897441319</v>
      </c>
      <c r="E1610">
        <f t="shared" si="27"/>
        <v>1.6961122697401347</v>
      </c>
    </row>
    <row r="1611" spans="4:5">
      <c r="D1611" s="137">
        <v>1.635904500932611</v>
      </c>
      <c r="E1611">
        <f t="shared" si="27"/>
        <v>1.6959552106634841</v>
      </c>
    </row>
    <row r="1612" spans="4:5">
      <c r="D1612" s="137">
        <v>1.637182165710783</v>
      </c>
      <c r="E1612">
        <f t="shared" si="27"/>
        <v>1.6847373298261112</v>
      </c>
    </row>
    <row r="1613" spans="4:5">
      <c r="D1613" s="137">
        <v>1.6374672521274078</v>
      </c>
      <c r="E1613">
        <f t="shared" si="27"/>
        <v>1.6822305038486955</v>
      </c>
    </row>
    <row r="1614" spans="4:5">
      <c r="D1614" s="137">
        <v>1.6376635289011574</v>
      </c>
      <c r="E1614">
        <f t="shared" si="27"/>
        <v>1.6805038209350385</v>
      </c>
    </row>
    <row r="1615" spans="4:5">
      <c r="D1615" s="137">
        <v>1.6376993512781155</v>
      </c>
      <c r="E1615">
        <f t="shared" si="27"/>
        <v>1.6801886168526674</v>
      </c>
    </row>
    <row r="1616" spans="4:5">
      <c r="D1616" s="137">
        <v>1.6380206332214584</v>
      </c>
      <c r="E1616">
        <f t="shared" si="27"/>
        <v>1.677360699196994</v>
      </c>
    </row>
    <row r="1617" spans="4:5">
      <c r="D1617" s="137">
        <v>1.6382713898601651</v>
      </c>
      <c r="E1617">
        <f t="shared" si="27"/>
        <v>1.675152390649608</v>
      </c>
    </row>
    <row r="1618" spans="4:5">
      <c r="D1618" s="137">
        <v>1.6385758800643089</v>
      </c>
      <c r="E1618">
        <f t="shared" si="27"/>
        <v>1.6724695320206018</v>
      </c>
    </row>
    <row r="1619" spans="4:5">
      <c r="D1619" s="137">
        <v>1.6387732762873384</v>
      </c>
      <c r="E1619">
        <f t="shared" si="27"/>
        <v>1.6707295001525662</v>
      </c>
    </row>
    <row r="1620" spans="4:5">
      <c r="D1620" s="137">
        <v>1.6391684418831574</v>
      </c>
      <c r="E1620">
        <f t="shared" si="27"/>
        <v>1.6672443371302859</v>
      </c>
    </row>
    <row r="1621" spans="4:5">
      <c r="D1621" s="137">
        <v>1.6392766553135516</v>
      </c>
      <c r="E1621">
        <f t="shared" si="27"/>
        <v>1.6662895323923552</v>
      </c>
    </row>
    <row r="1622" spans="4:5">
      <c r="D1622" s="137">
        <v>1.6405946202658015</v>
      </c>
      <c r="E1622">
        <f t="shared" si="27"/>
        <v>1.6546467209104392</v>
      </c>
    </row>
    <row r="1623" spans="4:5">
      <c r="D1623" s="137">
        <v>1.6407759710491518</v>
      </c>
      <c r="E1623">
        <f t="shared" si="27"/>
        <v>1.6530427163709374</v>
      </c>
    </row>
    <row r="1624" spans="4:5">
      <c r="D1624" s="137">
        <v>1.6410118016974593</v>
      </c>
      <c r="E1624">
        <f t="shared" si="27"/>
        <v>1.6509561605064116</v>
      </c>
    </row>
    <row r="1625" spans="4:5">
      <c r="D1625" s="137">
        <v>1.6416666795262245</v>
      </c>
      <c r="E1625">
        <f t="shared" si="27"/>
        <v>1.6451579922102513</v>
      </c>
    </row>
    <row r="1626" spans="4:5">
      <c r="D1626" s="137">
        <v>1.6423424537415485</v>
      </c>
      <c r="E1626">
        <f t="shared" si="27"/>
        <v>1.639168794715923</v>
      </c>
    </row>
    <row r="1627" spans="4:5">
      <c r="D1627" s="137">
        <v>1.6432771938902988</v>
      </c>
      <c r="E1627">
        <f t="shared" si="27"/>
        <v>1.630874796731411</v>
      </c>
    </row>
    <row r="1628" spans="4:5">
      <c r="D1628" s="137">
        <v>1.6440324490044986</v>
      </c>
      <c r="E1628">
        <f t="shared" si="27"/>
        <v>1.6241655560415142</v>
      </c>
    </row>
    <row r="1629" spans="4:5">
      <c r="D1629" s="137">
        <v>1.6448459154812554</v>
      </c>
      <c r="E1629">
        <f t="shared" si="27"/>
        <v>1.6169317648667796</v>
      </c>
    </row>
    <row r="1630" spans="4:5">
      <c r="D1630" s="137">
        <v>1.6450869702262025</v>
      </c>
      <c r="E1630">
        <f t="shared" si="27"/>
        <v>1.6147867479210305</v>
      </c>
    </row>
    <row r="1631" spans="4:5">
      <c r="D1631" s="137">
        <v>1.6453283981209097</v>
      </c>
      <c r="E1631">
        <f t="shared" si="27"/>
        <v>1.6126377753914982</v>
      </c>
    </row>
    <row r="1632" spans="4:5">
      <c r="D1632" s="137">
        <v>1.6457564008956069</v>
      </c>
      <c r="E1632">
        <f t="shared" si="27"/>
        <v>1.6088265513143987</v>
      </c>
    </row>
    <row r="1633" spans="4:5">
      <c r="D1633" s="137">
        <v>1.6461291775058271</v>
      </c>
      <c r="E1633">
        <f t="shared" si="27"/>
        <v>1.6055055404256606</v>
      </c>
    </row>
    <row r="1634" spans="4:5">
      <c r="D1634" s="137">
        <v>1.6465403885413252</v>
      </c>
      <c r="E1634">
        <f t="shared" si="27"/>
        <v>1.6018404875754668</v>
      </c>
    </row>
    <row r="1635" spans="4:5">
      <c r="D1635" s="137">
        <v>1.6472900464091254</v>
      </c>
      <c r="E1635">
        <f t="shared" si="27"/>
        <v>1.5951546614304239</v>
      </c>
    </row>
    <row r="1636" spans="4:5">
      <c r="D1636" s="137">
        <v>1.6480613469630043</v>
      </c>
      <c r="E1636">
        <f t="shared" si="27"/>
        <v>1.5882703491447152</v>
      </c>
    </row>
    <row r="1637" spans="4:5">
      <c r="D1637" s="137">
        <v>1.6482124726157963</v>
      </c>
      <c r="E1637">
        <f t="shared" si="27"/>
        <v>1.5869208418086018</v>
      </c>
    </row>
    <row r="1638" spans="4:5">
      <c r="D1638" s="137">
        <v>1.6485147239213802</v>
      </c>
      <c r="E1638">
        <f t="shared" si="27"/>
        <v>1.5842212358643009</v>
      </c>
    </row>
    <row r="1639" spans="4:5">
      <c r="D1639" s="137">
        <v>1.6495196162250068</v>
      </c>
      <c r="E1639">
        <f t="shared" si="27"/>
        <v>1.5752404385887835</v>
      </c>
    </row>
    <row r="1640" spans="4:5">
      <c r="D1640" s="137">
        <v>1.6506256321135879</v>
      </c>
      <c r="E1640">
        <f t="shared" si="27"/>
        <v>1.5653468874790206</v>
      </c>
    </row>
    <row r="1641" spans="4:5">
      <c r="D1641" s="137">
        <v>1.6506640665388659</v>
      </c>
      <c r="E1641">
        <f t="shared" si="27"/>
        <v>1.5650029247248998</v>
      </c>
    </row>
    <row r="1642" spans="4:5">
      <c r="D1642" s="137">
        <v>1.6507789966649398</v>
      </c>
      <c r="E1642">
        <f t="shared" si="27"/>
        <v>1.5639743149949856</v>
      </c>
    </row>
    <row r="1643" spans="4:5">
      <c r="D1643" s="137">
        <v>1.6508170579404577</v>
      </c>
      <c r="E1643">
        <f t="shared" si="27"/>
        <v>1.5636336515207945</v>
      </c>
    </row>
    <row r="1644" spans="4:5">
      <c r="D1644" s="137">
        <v>1.6509894531295686</v>
      </c>
      <c r="E1644">
        <f t="shared" si="27"/>
        <v>1.5620905231921036</v>
      </c>
    </row>
    <row r="1645" spans="4:5">
      <c r="D1645" s="137">
        <v>1.6512390903189953</v>
      </c>
      <c r="E1645">
        <f t="shared" si="27"/>
        <v>1.5598556411976203</v>
      </c>
    </row>
    <row r="1646" spans="4:5">
      <c r="D1646" s="137">
        <v>1.6512771515945133</v>
      </c>
      <c r="E1646">
        <f t="shared" si="27"/>
        <v>1.5595148608611042</v>
      </c>
    </row>
    <row r="1647" spans="4:5">
      <c r="D1647" s="137">
        <v>1.6517193340600897</v>
      </c>
      <c r="E1647">
        <f t="shared" si="27"/>
        <v>1.555555115246618</v>
      </c>
    </row>
    <row r="1648" spans="4:5">
      <c r="D1648" s="137">
        <v>1.6520275557618334</v>
      </c>
      <c r="E1648">
        <f t="shared" si="27"/>
        <v>1.5527942695110586</v>
      </c>
    </row>
    <row r="1649" spans="4:5">
      <c r="D1649" s="137">
        <v>1.6520853939746303</v>
      </c>
      <c r="E1649">
        <f t="shared" si="27"/>
        <v>1.5522761292896285</v>
      </c>
    </row>
    <row r="1650" spans="4:5">
      <c r="D1650" s="137">
        <v>1.6521626359749462</v>
      </c>
      <c r="E1650">
        <f t="shared" si="27"/>
        <v>1.5515841304583418</v>
      </c>
    </row>
    <row r="1651" spans="4:5">
      <c r="D1651" s="137">
        <v>1.6533436549652833</v>
      </c>
      <c r="E1651">
        <f t="shared" si="27"/>
        <v>1.5409993921463332</v>
      </c>
    </row>
    <row r="1652" spans="4:5">
      <c r="D1652" s="137">
        <v>1.6534798546276761</v>
      </c>
      <c r="E1652">
        <f t="shared" si="27"/>
        <v>1.5397782441768562</v>
      </c>
    </row>
    <row r="1653" spans="4:5">
      <c r="D1653" s="137">
        <v>1.6539276343396523</v>
      </c>
      <c r="E1653">
        <f t="shared" si="27"/>
        <v>1.5357628720739835</v>
      </c>
    </row>
    <row r="1654" spans="4:5">
      <c r="D1654" s="137">
        <v>1.6547481906618486</v>
      </c>
      <c r="E1654">
        <f t="shared" si="27"/>
        <v>1.5284023281872023</v>
      </c>
    </row>
    <row r="1655" spans="4:5">
      <c r="D1655" s="137">
        <v>1.6555332977568469</v>
      </c>
      <c r="E1655">
        <f t="shared" si="27"/>
        <v>1.5213571926156322</v>
      </c>
    </row>
    <row r="1656" spans="4:5">
      <c r="D1656" s="137">
        <v>1.6557299476803564</v>
      </c>
      <c r="E1656">
        <f t="shared" si="27"/>
        <v>1.5195922054495772</v>
      </c>
    </row>
    <row r="1657" spans="4:5">
      <c r="D1657" s="137">
        <v>1.6560057053529817</v>
      </c>
      <c r="E1657">
        <f t="shared" si="27"/>
        <v>1.5171169838203065</v>
      </c>
    </row>
    <row r="1658" spans="4:5">
      <c r="D1658" s="137">
        <v>1.6572729219378743</v>
      </c>
      <c r="E1658">
        <f t="shared" si="27"/>
        <v>1.5057394289120904</v>
      </c>
    </row>
    <row r="1659" spans="4:5">
      <c r="D1659" s="137">
        <v>1.6575315147215406</v>
      </c>
      <c r="E1659">
        <f t="shared" si="27"/>
        <v>1.5034171750659151</v>
      </c>
    </row>
    <row r="1660" spans="4:5">
      <c r="D1660" s="137">
        <v>1.6576706995820132</v>
      </c>
      <c r="E1660">
        <f t="shared" si="27"/>
        <v>1.5021671852773903</v>
      </c>
    </row>
    <row r="1661" spans="4:5">
      <c r="D1661" s="137">
        <v>1.6578901116408815</v>
      </c>
      <c r="E1661">
        <f t="shared" si="27"/>
        <v>1.5001966108731355</v>
      </c>
    </row>
    <row r="1662" spans="4:5">
      <c r="D1662" s="137">
        <v>1.6580296696511141</v>
      </c>
      <c r="E1662">
        <f t="shared" si="27"/>
        <v>1.4989431694844058</v>
      </c>
    </row>
    <row r="1663" spans="4:5">
      <c r="D1663" s="137">
        <v>1.6583494589954171</v>
      </c>
      <c r="E1663">
        <f t="shared" si="27"/>
        <v>1.496070847025937</v>
      </c>
    </row>
    <row r="1664" spans="4:5">
      <c r="D1664" s="137">
        <v>1.6584893901554096</v>
      </c>
      <c r="E1664">
        <f t="shared" si="27"/>
        <v>1.4948139430660696</v>
      </c>
    </row>
    <row r="1665" spans="4:5">
      <c r="D1665" s="137">
        <v>1.6591711347668934</v>
      </c>
      <c r="E1665">
        <f t="shared" si="27"/>
        <v>1.488689913942971</v>
      </c>
    </row>
    <row r="1666" spans="4:5">
      <c r="D1666" s="137">
        <v>1.6591912848539323</v>
      </c>
      <c r="E1666">
        <f t="shared" si="27"/>
        <v>1.4885088995722253</v>
      </c>
    </row>
    <row r="1667" spans="4:5">
      <c r="D1667" s="137">
        <v>1.6593319623134448</v>
      </c>
      <c r="E1667">
        <f t="shared" ref="E1667:E1730" si="28">_xlfn.NORM.DIST(D1667,$B$2,$B$4,FALSE)</f>
        <v>1.4872451395048867</v>
      </c>
    </row>
    <row r="1668" spans="4:5">
      <c r="D1668" s="137">
        <v>1.6600375885095673</v>
      </c>
      <c r="E1668">
        <f t="shared" si="28"/>
        <v>1.4809059783515706</v>
      </c>
    </row>
    <row r="1669" spans="4:5">
      <c r="D1669" s="137">
        <v>1.6601383389447619</v>
      </c>
      <c r="E1669">
        <f t="shared" si="28"/>
        <v>1.4800008376804101</v>
      </c>
    </row>
    <row r="1670" spans="4:5">
      <c r="D1670" s="137">
        <v>1.6601588621815608</v>
      </c>
      <c r="E1670">
        <f t="shared" si="28"/>
        <v>1.4798164566338288</v>
      </c>
    </row>
    <row r="1671" spans="4:5">
      <c r="D1671" s="137">
        <v>1.6612335334903037</v>
      </c>
      <c r="E1671">
        <f t="shared" si="28"/>
        <v>1.4701614963017982</v>
      </c>
    </row>
    <row r="1672" spans="4:5">
      <c r="D1672" s="137">
        <v>1.6616813132022799</v>
      </c>
      <c r="E1672">
        <f t="shared" si="28"/>
        <v>1.4661386561799503</v>
      </c>
    </row>
    <row r="1673" spans="4:5">
      <c r="D1673" s="137">
        <v>1.6620488657158603</v>
      </c>
      <c r="E1673">
        <f t="shared" si="28"/>
        <v>1.4628366640722876</v>
      </c>
    </row>
    <row r="1674" spans="4:5">
      <c r="D1674" s="137">
        <v>1.6621309586630559</v>
      </c>
      <c r="E1674">
        <f t="shared" si="28"/>
        <v>1.4620991779395103</v>
      </c>
    </row>
    <row r="1675" spans="4:5">
      <c r="D1675" s="137">
        <v>1.662355967968324</v>
      </c>
      <c r="E1675">
        <f t="shared" si="28"/>
        <v>1.46007782804696</v>
      </c>
    </row>
    <row r="1676" spans="4:5">
      <c r="D1676" s="137">
        <v>1.6623970144419218</v>
      </c>
      <c r="E1676">
        <f t="shared" si="28"/>
        <v>1.4597090964825536</v>
      </c>
    </row>
    <row r="1677" spans="4:5">
      <c r="D1677" s="137">
        <v>1.6625608271865531</v>
      </c>
      <c r="E1677">
        <f t="shared" si="28"/>
        <v>1.4582375410147888</v>
      </c>
    </row>
    <row r="1678" spans="4:5">
      <c r="D1678" s="137">
        <v>1.6627660595545422</v>
      </c>
      <c r="E1678">
        <f t="shared" si="28"/>
        <v>1.4563939521883886</v>
      </c>
    </row>
    <row r="1679" spans="4:5">
      <c r="D1679" s="137">
        <v>1.6630537580194868</v>
      </c>
      <c r="E1679">
        <f t="shared" si="28"/>
        <v>1.4538096714395645</v>
      </c>
    </row>
    <row r="1680" spans="4:5">
      <c r="D1680" s="137">
        <v>1.6632798867740348</v>
      </c>
      <c r="E1680">
        <f t="shared" si="28"/>
        <v>1.4517785343638168</v>
      </c>
    </row>
    <row r="1681" spans="4:5">
      <c r="D1681" s="137">
        <v>1.6633623528709904</v>
      </c>
      <c r="E1681">
        <f t="shared" si="28"/>
        <v>1.4510378269794642</v>
      </c>
    </row>
    <row r="1682" spans="4:5">
      <c r="D1682" s="137">
        <v>1.663444818967946</v>
      </c>
      <c r="E1682">
        <f t="shared" si="28"/>
        <v>1.4502971313063966</v>
      </c>
    </row>
    <row r="1683" spans="4:5">
      <c r="D1683" s="137">
        <v>1.6637955797423274</v>
      </c>
      <c r="E1683">
        <f t="shared" si="28"/>
        <v>1.4471468004315871</v>
      </c>
    </row>
    <row r="1684" spans="4:5">
      <c r="D1684" s="137">
        <v>1.6643959777061355</v>
      </c>
      <c r="E1684">
        <f t="shared" si="28"/>
        <v>1.4417549606850102</v>
      </c>
    </row>
    <row r="1685" spans="4:5">
      <c r="D1685" s="137">
        <v>1.664478816952851</v>
      </c>
      <c r="E1685">
        <f t="shared" si="28"/>
        <v>1.441011092225492</v>
      </c>
    </row>
    <row r="1686" spans="4:5">
      <c r="D1686" s="137">
        <v>1.6645825525861255</v>
      </c>
      <c r="E1686">
        <f t="shared" si="28"/>
        <v>1.4400796050457991</v>
      </c>
    </row>
    <row r="1687" spans="4:5">
      <c r="D1687" s="137">
        <v>1.6663986724679489</v>
      </c>
      <c r="E1687">
        <f t="shared" si="28"/>
        <v>1.4237769167180085</v>
      </c>
    </row>
    <row r="1688" spans="4:5">
      <c r="D1688" s="137">
        <v>1.6666927144788133</v>
      </c>
      <c r="E1688">
        <f t="shared" si="28"/>
        <v>1.4211384467057409</v>
      </c>
    </row>
    <row r="1689" spans="4:5">
      <c r="D1689" s="137">
        <v>1.6674517010906129</v>
      </c>
      <c r="E1689">
        <f t="shared" si="28"/>
        <v>1.4143295714231674</v>
      </c>
    </row>
    <row r="1690" spans="4:5">
      <c r="D1690" s="137">
        <v>1.6675785720090062</v>
      </c>
      <c r="E1690">
        <f t="shared" si="28"/>
        <v>1.4131916493279575</v>
      </c>
    </row>
    <row r="1691" spans="4:5">
      <c r="D1691" s="137">
        <v>1.6676629038547617</v>
      </c>
      <c r="E1691">
        <f t="shared" si="28"/>
        <v>1.412435305371929</v>
      </c>
    </row>
    <row r="1692" spans="4:5">
      <c r="D1692" s="137">
        <v>1.6680229933731425</v>
      </c>
      <c r="E1692">
        <f t="shared" si="28"/>
        <v>1.4092061487160779</v>
      </c>
    </row>
    <row r="1693" spans="4:5">
      <c r="D1693" s="137">
        <v>1.6683629328044844</v>
      </c>
      <c r="E1693">
        <f t="shared" si="28"/>
        <v>1.406158253685458</v>
      </c>
    </row>
    <row r="1694" spans="4:5">
      <c r="D1694" s="137">
        <v>1.6684054718771222</v>
      </c>
      <c r="E1694">
        <f t="shared" si="28"/>
        <v>1.4057768883517046</v>
      </c>
    </row>
    <row r="1695" spans="4:5">
      <c r="D1695" s="137">
        <v>1.6684689073363188</v>
      </c>
      <c r="E1695">
        <f t="shared" si="28"/>
        <v>1.4052082024028449</v>
      </c>
    </row>
    <row r="1696" spans="4:5">
      <c r="D1696" s="137">
        <v>1.6687032453855863</v>
      </c>
      <c r="E1696">
        <f t="shared" si="28"/>
        <v>1.403107585890581</v>
      </c>
    </row>
    <row r="1697" spans="4:5">
      <c r="D1697" s="137">
        <v>1.6690443042662082</v>
      </c>
      <c r="E1697">
        <f t="shared" si="28"/>
        <v>1.4000508281853568</v>
      </c>
    </row>
    <row r="1698" spans="4:5">
      <c r="D1698" s="137">
        <v>1.6691081128751648</v>
      </c>
      <c r="E1698">
        <f t="shared" si="28"/>
        <v>1.3994790090014602</v>
      </c>
    </row>
    <row r="1699" spans="4:5">
      <c r="D1699" s="137">
        <v>1.6691935641702003</v>
      </c>
      <c r="E1699">
        <f t="shared" si="28"/>
        <v>1.3987132740491992</v>
      </c>
    </row>
    <row r="1700" spans="4:5">
      <c r="D1700" s="137">
        <v>1.6698999366658427</v>
      </c>
      <c r="E1700">
        <f t="shared" si="28"/>
        <v>1.392384988833882</v>
      </c>
    </row>
    <row r="1701" spans="4:5">
      <c r="D1701" s="137">
        <v>1.6708469907566723</v>
      </c>
      <c r="E1701">
        <f t="shared" si="28"/>
        <v>1.3839051464668113</v>
      </c>
    </row>
    <row r="1702" spans="4:5">
      <c r="D1702" s="137">
        <v>1.671886212838217</v>
      </c>
      <c r="E1702">
        <f t="shared" si="28"/>
        <v>1.3746067783674505</v>
      </c>
    </row>
    <row r="1703" spans="4:5">
      <c r="D1703" s="137">
        <v>1.6727358748416918</v>
      </c>
      <c r="E1703">
        <f t="shared" si="28"/>
        <v>1.3670101958541696</v>
      </c>
    </row>
    <row r="1704" spans="4:5">
      <c r="D1704" s="137">
        <v>1.6735463561203687</v>
      </c>
      <c r="E1704">
        <f t="shared" si="28"/>
        <v>1.3597690766219863</v>
      </c>
    </row>
    <row r="1705" spans="4:5">
      <c r="D1705" s="137">
        <v>1.673766141328997</v>
      </c>
      <c r="E1705">
        <f t="shared" si="28"/>
        <v>1.3578063515511691</v>
      </c>
    </row>
    <row r="1706" spans="4:5">
      <c r="D1706" s="137">
        <v>1.674162426374096</v>
      </c>
      <c r="E1706">
        <f t="shared" si="28"/>
        <v>1.3542684667149016</v>
      </c>
    </row>
    <row r="1707" spans="4:5">
      <c r="D1707" s="137">
        <v>1.6741844422099348</v>
      </c>
      <c r="E1707">
        <f t="shared" si="28"/>
        <v>1.3540719565690456</v>
      </c>
    </row>
    <row r="1708" spans="4:5">
      <c r="D1708" s="137">
        <v>1.6752688154124371</v>
      </c>
      <c r="E1708">
        <f t="shared" si="28"/>
        <v>1.3443982634421547</v>
      </c>
    </row>
    <row r="1709" spans="4:5">
      <c r="D1709" s="137">
        <v>1.6753800140409112</v>
      </c>
      <c r="E1709">
        <f t="shared" si="28"/>
        <v>1.3434068601246985</v>
      </c>
    </row>
    <row r="1710" spans="4:5">
      <c r="D1710" s="137">
        <v>1.67540202987675</v>
      </c>
      <c r="E1710">
        <f t="shared" si="28"/>
        <v>1.3432105891614872</v>
      </c>
    </row>
    <row r="1711" spans="4:5">
      <c r="D1711" s="137">
        <v>1.6766740974085224</v>
      </c>
      <c r="E1711">
        <f t="shared" si="28"/>
        <v>1.3318779761303092</v>
      </c>
    </row>
    <row r="1712" spans="4:5">
      <c r="D1712" s="137">
        <v>1.6768983604142704</v>
      </c>
      <c r="E1712">
        <f t="shared" si="28"/>
        <v>1.3298817110030341</v>
      </c>
    </row>
    <row r="1713" spans="4:5">
      <c r="D1713" s="137">
        <v>1.6769207493998692</v>
      </c>
      <c r="E1713">
        <f t="shared" si="28"/>
        <v>1.3296824446695779</v>
      </c>
    </row>
    <row r="1714" spans="4:5">
      <c r="D1714" s="137">
        <v>1.6771229965697785</v>
      </c>
      <c r="E1714">
        <f t="shared" si="28"/>
        <v>1.3278826380099233</v>
      </c>
    </row>
    <row r="1715" spans="4:5">
      <c r="D1715" s="137">
        <v>1.6771681476907361</v>
      </c>
      <c r="E1715">
        <f t="shared" si="28"/>
        <v>1.3274808936289293</v>
      </c>
    </row>
    <row r="1716" spans="4:5">
      <c r="D1716" s="137">
        <v>1.6772804657684901</v>
      </c>
      <c r="E1716">
        <f t="shared" si="28"/>
        <v>1.3264816046092964</v>
      </c>
    </row>
    <row r="1717" spans="4:5">
      <c r="D1717" s="137">
        <v>1.6775957773156733</v>
      </c>
      <c r="E1717">
        <f t="shared" si="28"/>
        <v>1.3236769964157415</v>
      </c>
    </row>
    <row r="1718" spans="4:5">
      <c r="D1718" s="137">
        <v>1.6776633174222297</v>
      </c>
      <c r="E1718">
        <f t="shared" si="28"/>
        <v>1.3230763824481715</v>
      </c>
    </row>
    <row r="1719" spans="4:5">
      <c r="D1719" s="137">
        <v>1.6779118351623765</v>
      </c>
      <c r="E1719">
        <f t="shared" si="28"/>
        <v>1.3208668077914489</v>
      </c>
    </row>
    <row r="1720" spans="4:5">
      <c r="D1720" s="137">
        <v>1.6782510282941985</v>
      </c>
      <c r="E1720">
        <f t="shared" si="28"/>
        <v>1.3178521138921899</v>
      </c>
    </row>
    <row r="1721" spans="4:5">
      <c r="D1721" s="137">
        <v>1.6789092644708035</v>
      </c>
      <c r="E1721">
        <f t="shared" si="28"/>
        <v>1.3120054435165811</v>
      </c>
    </row>
    <row r="1722" spans="4:5">
      <c r="D1722" s="137">
        <v>1.6793421181923804</v>
      </c>
      <c r="E1722">
        <f t="shared" si="28"/>
        <v>1.3081633688824994</v>
      </c>
    </row>
    <row r="1723" spans="4:5">
      <c r="D1723" s="137">
        <v>1.6804638063708808</v>
      </c>
      <c r="E1723">
        <f t="shared" si="28"/>
        <v>1.2982173444046134</v>
      </c>
    </row>
    <row r="1724" spans="4:5">
      <c r="D1724" s="137">
        <v>1.6807858346137436</v>
      </c>
      <c r="E1724">
        <f t="shared" si="28"/>
        <v>1.2953647319386448</v>
      </c>
    </row>
    <row r="1725" spans="4:5">
      <c r="D1725" s="137">
        <v>1.6810395764505301</v>
      </c>
      <c r="E1725">
        <f t="shared" si="28"/>
        <v>1.2931179275297182</v>
      </c>
    </row>
    <row r="1726" spans="4:5">
      <c r="D1726" s="137">
        <v>1.6810627117356489</v>
      </c>
      <c r="E1726">
        <f t="shared" si="28"/>
        <v>1.2929131120447475</v>
      </c>
    </row>
    <row r="1727" spans="4:5">
      <c r="D1727" s="137">
        <v>1.6822441038757461</v>
      </c>
      <c r="E1727">
        <f t="shared" si="28"/>
        <v>1.2824634384558642</v>
      </c>
    </row>
    <row r="1728" spans="4:5">
      <c r="D1728" s="137">
        <v>1.6823836618859787</v>
      </c>
      <c r="E1728">
        <f t="shared" si="28"/>
        <v>1.2812302233525357</v>
      </c>
    </row>
    <row r="1729" spans="4:5">
      <c r="D1729" s="137">
        <v>1.6825232198962112</v>
      </c>
      <c r="E1729">
        <f t="shared" si="28"/>
        <v>1.2799972684879437</v>
      </c>
    </row>
    <row r="1730" spans="4:5">
      <c r="D1730" s="137">
        <v>1.683693044393749</v>
      </c>
      <c r="E1730">
        <f t="shared" si="28"/>
        <v>1.2696726470073507</v>
      </c>
    </row>
    <row r="1731" spans="4:5">
      <c r="D1731" s="137">
        <v>1.6839516371774153</v>
      </c>
      <c r="E1731">
        <f t="shared" ref="E1731:E1794" si="29">_xlfn.NORM.DIST(D1731,$B$2,$B$4,FALSE)</f>
        <v>1.2673929342211847</v>
      </c>
    </row>
    <row r="1732" spans="4:5">
      <c r="D1732" s="137">
        <v>1.6844468069089089</v>
      </c>
      <c r="E1732">
        <f t="shared" si="29"/>
        <v>1.2630302622664</v>
      </c>
    </row>
    <row r="1733" spans="4:5">
      <c r="D1733" s="137">
        <v>1.6848248076157688</v>
      </c>
      <c r="E1733">
        <f t="shared" si="29"/>
        <v>1.2597022946657073</v>
      </c>
    </row>
    <row r="1734" spans="4:5">
      <c r="D1734" s="137">
        <v>1.6850143676938387</v>
      </c>
      <c r="E1734">
        <f t="shared" si="29"/>
        <v>1.258034173077996</v>
      </c>
    </row>
    <row r="1735" spans="4:5">
      <c r="D1735" s="137">
        <v>1.6854655057536547</v>
      </c>
      <c r="E1735">
        <f t="shared" si="29"/>
        <v>1.2540663247326493</v>
      </c>
    </row>
    <row r="1736" spans="4:5">
      <c r="D1736" s="137">
        <v>1.6855128957731722</v>
      </c>
      <c r="E1736">
        <f t="shared" si="29"/>
        <v>1.2536496973436475</v>
      </c>
    </row>
    <row r="1737" spans="4:5">
      <c r="D1737" s="137">
        <v>1.6857509653200395</v>
      </c>
      <c r="E1737">
        <f t="shared" si="29"/>
        <v>1.2515572330783979</v>
      </c>
    </row>
    <row r="1738" spans="4:5">
      <c r="D1738" s="137">
        <v>1.6865151760284789</v>
      </c>
      <c r="E1738">
        <f t="shared" si="29"/>
        <v>1.2448462264998346</v>
      </c>
    </row>
    <row r="1739" spans="4:5">
      <c r="D1739" s="137">
        <v>1.6872596097996393</v>
      </c>
      <c r="E1739">
        <f t="shared" si="29"/>
        <v>1.238317676821769</v>
      </c>
    </row>
    <row r="1740" spans="4:5">
      <c r="D1740" s="137">
        <v>1.6878383650773685</v>
      </c>
      <c r="E1740">
        <f t="shared" si="29"/>
        <v>1.233248230510523</v>
      </c>
    </row>
    <row r="1741" spans="4:5">
      <c r="D1741" s="137">
        <v>1.6878626198117672</v>
      </c>
      <c r="E1741">
        <f t="shared" si="29"/>
        <v>1.2330358967859989</v>
      </c>
    </row>
    <row r="1742" spans="4:5">
      <c r="D1742" s="137">
        <v>1.6882742039970253</v>
      </c>
      <c r="E1742">
        <f t="shared" si="29"/>
        <v>1.2294342312302149</v>
      </c>
    </row>
    <row r="1743" spans="4:5">
      <c r="D1743" s="137">
        <v>1.688298458731424</v>
      </c>
      <c r="E1743">
        <f t="shared" si="29"/>
        <v>1.2292220717127009</v>
      </c>
    </row>
    <row r="1744" spans="4:5">
      <c r="D1744" s="137">
        <v>1.6884197324034176</v>
      </c>
      <c r="E1744">
        <f t="shared" si="29"/>
        <v>1.2281614207782678</v>
      </c>
    </row>
    <row r="1745" spans="4:5">
      <c r="D1745" s="137">
        <v>1.6885898886939685</v>
      </c>
      <c r="E1745">
        <f t="shared" si="29"/>
        <v>1.2266736593726077</v>
      </c>
    </row>
    <row r="1746" spans="4:5">
      <c r="D1746" s="137">
        <v>1.6886141434283672</v>
      </c>
      <c r="E1746">
        <f t="shared" si="29"/>
        <v>1.2264616275656015</v>
      </c>
    </row>
    <row r="1747" spans="4:5">
      <c r="D1747" s="137">
        <v>1.6890033386280265</v>
      </c>
      <c r="E1747">
        <f t="shared" si="29"/>
        <v>1.2230606869511953</v>
      </c>
    </row>
    <row r="1748" spans="4:5">
      <c r="D1748" s="137">
        <v>1.6914612760970158</v>
      </c>
      <c r="E1748">
        <f t="shared" si="29"/>
        <v>1.2016429236626269</v>
      </c>
    </row>
    <row r="1749" spans="4:5">
      <c r="D1749" s="137">
        <v>1.6917840506393986</v>
      </c>
      <c r="E1749">
        <f t="shared" si="29"/>
        <v>1.1988383855838136</v>
      </c>
    </row>
    <row r="1750" spans="4:5">
      <c r="D1750" s="137">
        <v>1.6923568355209682</v>
      </c>
      <c r="E1750">
        <f t="shared" si="29"/>
        <v>1.1938662815379193</v>
      </c>
    </row>
    <row r="1751" spans="4:5">
      <c r="D1751" s="137">
        <v>1.6924064644390455</v>
      </c>
      <c r="E1751">
        <f t="shared" si="29"/>
        <v>1.1934357614545392</v>
      </c>
    </row>
    <row r="1752" spans="4:5">
      <c r="D1752" s="137">
        <v>1.6924064644390455</v>
      </c>
      <c r="E1752">
        <f t="shared" si="29"/>
        <v>1.1934357614545392</v>
      </c>
    </row>
    <row r="1753" spans="4:5">
      <c r="D1753" s="137">
        <v>1.6927564789139069</v>
      </c>
      <c r="E1753">
        <f t="shared" si="29"/>
        <v>1.1904007759427759</v>
      </c>
    </row>
    <row r="1754" spans="4:5">
      <c r="D1754" s="137">
        <v>1.6933583694767549</v>
      </c>
      <c r="E1754">
        <f t="shared" si="29"/>
        <v>1.1851871962302079</v>
      </c>
    </row>
    <row r="1755" spans="4:5">
      <c r="D1755" s="137">
        <v>1.6933833705106736</v>
      </c>
      <c r="E1755">
        <f t="shared" si="29"/>
        <v>1.1849707869639698</v>
      </c>
    </row>
    <row r="1756" spans="4:5">
      <c r="D1756" s="137">
        <v>1.6933833705106736</v>
      </c>
      <c r="E1756">
        <f t="shared" si="29"/>
        <v>1.1849707869639698</v>
      </c>
    </row>
    <row r="1757" spans="4:5">
      <c r="D1757" s="137">
        <v>1.6935094951295468</v>
      </c>
      <c r="E1757">
        <f t="shared" si="29"/>
        <v>1.1838792340989388</v>
      </c>
    </row>
    <row r="1758" spans="4:5">
      <c r="D1758" s="137">
        <v>1.6938117464351308</v>
      </c>
      <c r="E1758">
        <f t="shared" si="29"/>
        <v>1.1812646335091705</v>
      </c>
    </row>
    <row r="1759" spans="4:5">
      <c r="D1759" s="137">
        <v>1.6944938641963745</v>
      </c>
      <c r="E1759">
        <f t="shared" si="29"/>
        <v>1.175370578146506</v>
      </c>
    </row>
    <row r="1760" spans="4:5">
      <c r="D1760" s="137">
        <v>1.6949509726523502</v>
      </c>
      <c r="E1760">
        <f t="shared" si="29"/>
        <v>1.1714259288998872</v>
      </c>
    </row>
    <row r="1761" spans="4:5">
      <c r="D1761" s="137">
        <v>1.6953073306731312</v>
      </c>
      <c r="E1761">
        <f t="shared" si="29"/>
        <v>1.168353610528051</v>
      </c>
    </row>
    <row r="1762" spans="4:5">
      <c r="D1762" s="137">
        <v>1.6966905968333776</v>
      </c>
      <c r="E1762">
        <f t="shared" si="29"/>
        <v>1.1564523566379683</v>
      </c>
    </row>
    <row r="1763" spans="4:5">
      <c r="D1763" s="137">
        <v>1.6967163441668163</v>
      </c>
      <c r="E1763">
        <f t="shared" si="29"/>
        <v>1.1562312078291657</v>
      </c>
    </row>
    <row r="1764" spans="4:5">
      <c r="D1764" s="137">
        <v>1.6995522823426654</v>
      </c>
      <c r="E1764">
        <f t="shared" si="29"/>
        <v>1.1319593014787934</v>
      </c>
    </row>
    <row r="1765" spans="4:5">
      <c r="D1765" s="137">
        <v>1.6996052696085826</v>
      </c>
      <c r="E1765">
        <f t="shared" si="29"/>
        <v>1.1315074671567671</v>
      </c>
    </row>
    <row r="1766" spans="4:5">
      <c r="D1766" s="137">
        <v>1.6996313900917812</v>
      </c>
      <c r="E1766">
        <f t="shared" si="29"/>
        <v>1.1312847549028717</v>
      </c>
    </row>
    <row r="1767" spans="4:5">
      <c r="D1767" s="137">
        <v>1.7000000620546416</v>
      </c>
      <c r="E1767">
        <f t="shared" si="29"/>
        <v>1.1281429539090029</v>
      </c>
    </row>
    <row r="1768" spans="4:5">
      <c r="D1768" s="137">
        <v>1.7004228407326991</v>
      </c>
      <c r="E1768">
        <f t="shared" si="29"/>
        <v>1.1245438118605762</v>
      </c>
    </row>
    <row r="1769" spans="4:5">
      <c r="D1769" s="137">
        <v>1.7006347897963678</v>
      </c>
      <c r="E1769">
        <f t="shared" si="29"/>
        <v>1.1227409952517189</v>
      </c>
    </row>
    <row r="1770" spans="4:5">
      <c r="D1770" s="137">
        <v>1.7007941247438794</v>
      </c>
      <c r="E1770">
        <f t="shared" si="29"/>
        <v>1.1213863805658426</v>
      </c>
    </row>
    <row r="1771" spans="4:5">
      <c r="D1771" s="137">
        <v>1.7009799533243495</v>
      </c>
      <c r="E1771">
        <f t="shared" si="29"/>
        <v>1.1198072565547452</v>
      </c>
    </row>
    <row r="1772" spans="4:5">
      <c r="D1772" s="137">
        <v>1.7014859443988826</v>
      </c>
      <c r="E1772">
        <f t="shared" si="29"/>
        <v>1.1155114855934778</v>
      </c>
    </row>
    <row r="1773" spans="4:5">
      <c r="D1773" s="137">
        <v>1.7016993860615912</v>
      </c>
      <c r="E1773">
        <f t="shared" si="29"/>
        <v>1.1137011759182163</v>
      </c>
    </row>
    <row r="1774" spans="4:5">
      <c r="D1774" s="137">
        <v>1.702906898684887</v>
      </c>
      <c r="E1774">
        <f t="shared" si="29"/>
        <v>1.1034796686780197</v>
      </c>
    </row>
    <row r="1775" spans="4:5">
      <c r="D1775" s="137">
        <v>1.7029337654676056</v>
      </c>
      <c r="E1775">
        <f t="shared" si="29"/>
        <v>1.1032526341383937</v>
      </c>
    </row>
    <row r="1776" spans="4:5">
      <c r="D1776" s="137">
        <v>1.7030419788979998</v>
      </c>
      <c r="E1776">
        <f t="shared" si="29"/>
        <v>1.1023383631960384</v>
      </c>
    </row>
    <row r="1777" spans="4:5">
      <c r="D1777" s="137">
        <v>1.7032039258938312</v>
      </c>
      <c r="E1777">
        <f t="shared" si="29"/>
        <v>1.1009706303999889</v>
      </c>
    </row>
    <row r="1778" spans="4:5">
      <c r="D1778" s="137">
        <v>1.7036640195478867</v>
      </c>
      <c r="E1778">
        <f t="shared" si="29"/>
        <v>1.0970883058767216</v>
      </c>
    </row>
    <row r="1779" spans="4:5">
      <c r="D1779" s="137">
        <v>1.7039897792883494</v>
      </c>
      <c r="E1779">
        <f t="shared" si="29"/>
        <v>1.0943425867053949</v>
      </c>
    </row>
    <row r="1780" spans="4:5">
      <c r="D1780" s="137">
        <v>1.7040987390182636</v>
      </c>
      <c r="E1780">
        <f t="shared" si="29"/>
        <v>1.093424774814707</v>
      </c>
    </row>
    <row r="1781" spans="4:5">
      <c r="D1781" s="137">
        <v>1.7052737876124411</v>
      </c>
      <c r="E1781">
        <f t="shared" si="29"/>
        <v>1.083545293439975</v>
      </c>
    </row>
    <row r="1782" spans="4:5">
      <c r="D1782" s="137">
        <v>1.7066533222750877</v>
      </c>
      <c r="E1782">
        <f t="shared" si="29"/>
        <v>1.0719902717555521</v>
      </c>
    </row>
    <row r="1783" spans="4:5">
      <c r="D1783" s="137">
        <v>1.7072373016494566</v>
      </c>
      <c r="E1783">
        <f t="shared" si="29"/>
        <v>1.0671133263051638</v>
      </c>
    </row>
    <row r="1784" spans="4:5">
      <c r="D1784" s="137">
        <v>1.7077675474583884</v>
      </c>
      <c r="E1784">
        <f t="shared" si="29"/>
        <v>1.0626926879690761</v>
      </c>
    </row>
    <row r="1785" spans="4:5">
      <c r="D1785" s="137">
        <v>1.7083004053156401</v>
      </c>
      <c r="E1785">
        <f t="shared" si="29"/>
        <v>1.058257592291753</v>
      </c>
    </row>
    <row r="1786" spans="4:5">
      <c r="D1786" s="137">
        <v>1.7085817602346651</v>
      </c>
      <c r="E1786">
        <f t="shared" si="29"/>
        <v>1.0559187932185492</v>
      </c>
    </row>
    <row r="1787" spans="4:5">
      <c r="D1787" s="137">
        <v>1.7086660920804206</v>
      </c>
      <c r="E1787">
        <f t="shared" si="29"/>
        <v>1.0552181770927511</v>
      </c>
    </row>
    <row r="1788" spans="4:5">
      <c r="D1788" s="137">
        <v>1.7090612576762396</v>
      </c>
      <c r="E1788">
        <f t="shared" si="29"/>
        <v>1.0519376888862861</v>
      </c>
    </row>
    <row r="1789" spans="4:5">
      <c r="D1789" s="137">
        <v>1.7092310408170306</v>
      </c>
      <c r="E1789">
        <f t="shared" si="29"/>
        <v>1.0505294885080965</v>
      </c>
    </row>
    <row r="1790" spans="4:5">
      <c r="D1790" s="137">
        <v>1.7095142614848555</v>
      </c>
      <c r="E1790">
        <f t="shared" si="29"/>
        <v>1.0481821218780381</v>
      </c>
    </row>
    <row r="1791" spans="4:5">
      <c r="D1791" s="137">
        <v>1.7097131503069249</v>
      </c>
      <c r="E1791">
        <f t="shared" si="29"/>
        <v>1.0465349803519093</v>
      </c>
    </row>
    <row r="1792" spans="4:5">
      <c r="D1792" s="137">
        <v>1.7106251283203164</v>
      </c>
      <c r="E1792">
        <f t="shared" si="29"/>
        <v>1.0389957758126847</v>
      </c>
    </row>
    <row r="1793" spans="4:5">
      <c r="D1793" s="137">
        <v>1.7114285197535537</v>
      </c>
      <c r="E1793">
        <f t="shared" si="29"/>
        <v>1.0323728398283829</v>
      </c>
    </row>
    <row r="1794" spans="4:5">
      <c r="D1794" s="137">
        <v>1.7139581019764591</v>
      </c>
      <c r="E1794">
        <f t="shared" si="29"/>
        <v>1.0116357877281581</v>
      </c>
    </row>
    <row r="1795" spans="4:5">
      <c r="D1795" s="137">
        <v>1.7145469322977078</v>
      </c>
      <c r="E1795">
        <f t="shared" ref="E1795:E1858" si="30">_xlfn.NORM.DIST(D1795,$B$2,$B$4,FALSE)</f>
        <v>1.0068344181958997</v>
      </c>
    </row>
    <row r="1796" spans="4:5">
      <c r="D1796" s="137">
        <v>1.7150495650244011</v>
      </c>
      <c r="E1796">
        <f t="shared" si="30"/>
        <v>1.0027437306735003</v>
      </c>
    </row>
    <row r="1797" spans="4:5">
      <c r="D1797" s="137">
        <v>1.7153760710643837</v>
      </c>
      <c r="E1797">
        <f t="shared" si="30"/>
        <v>1.0000903368180805</v>
      </c>
    </row>
    <row r="1798" spans="4:5">
      <c r="D1798" s="137">
        <v>1.7159712449315521</v>
      </c>
      <c r="E1798">
        <f t="shared" si="30"/>
        <v>0.99526149468173419</v>
      </c>
    </row>
    <row r="1799" spans="4:5">
      <c r="D1799" s="137">
        <v>1.7163895458124898</v>
      </c>
      <c r="E1799">
        <f t="shared" si="30"/>
        <v>0.99187383372643312</v>
      </c>
    </row>
    <row r="1800" spans="4:5">
      <c r="D1800" s="137">
        <v>1.7164197709430482</v>
      </c>
      <c r="E1800">
        <f t="shared" si="30"/>
        <v>0.99162924939976904</v>
      </c>
    </row>
    <row r="1801" spans="4:5">
      <c r="D1801" s="137">
        <v>1.7166597062387154</v>
      </c>
      <c r="E1801">
        <f t="shared" si="30"/>
        <v>0.98968862008871883</v>
      </c>
    </row>
    <row r="1802" spans="4:5">
      <c r="D1802" s="137">
        <v>1.7168097124422275</v>
      </c>
      <c r="E1802">
        <f t="shared" si="30"/>
        <v>0.98847620600524233</v>
      </c>
    </row>
    <row r="1803" spans="4:5">
      <c r="D1803" s="137">
        <v>1.7168697895535843</v>
      </c>
      <c r="E1803">
        <f t="shared" si="30"/>
        <v>0.98799082232901125</v>
      </c>
    </row>
    <row r="1804" spans="4:5">
      <c r="D1804" s="137">
        <v>1.7169000146841427</v>
      </c>
      <c r="E1804">
        <f t="shared" si="30"/>
        <v>0.98774666316676962</v>
      </c>
    </row>
    <row r="1805" spans="4:5">
      <c r="D1805" s="137">
        <v>1.7170806191679731</v>
      </c>
      <c r="E1805">
        <f t="shared" si="30"/>
        <v>0.98628829655371331</v>
      </c>
    </row>
    <row r="1806" spans="4:5">
      <c r="D1806" s="137">
        <v>1.7172612236518034</v>
      </c>
      <c r="E1806">
        <f t="shared" si="30"/>
        <v>0.98483089045409866</v>
      </c>
    </row>
    <row r="1807" spans="4:5">
      <c r="D1807" s="137">
        <v>1.7173515258937186</v>
      </c>
      <c r="E1807">
        <f t="shared" si="30"/>
        <v>0.98410254825587906</v>
      </c>
    </row>
    <row r="1808" spans="4:5">
      <c r="D1808" s="137">
        <v>1.7174724264159522</v>
      </c>
      <c r="E1808">
        <f t="shared" si="30"/>
        <v>0.98312778966579195</v>
      </c>
    </row>
    <row r="1809" spans="4:5">
      <c r="D1809" s="137">
        <v>1.7179869999349648</v>
      </c>
      <c r="E1809">
        <f t="shared" si="30"/>
        <v>0.9789838937498575</v>
      </c>
    </row>
    <row r="1810" spans="4:5">
      <c r="D1810" s="137">
        <v>1.7182299204287119</v>
      </c>
      <c r="E1810">
        <f t="shared" si="30"/>
        <v>0.97703037434139395</v>
      </c>
    </row>
    <row r="1811" spans="4:5">
      <c r="D1811" s="137">
        <v>1.7187784505758827</v>
      </c>
      <c r="E1811">
        <f t="shared" si="30"/>
        <v>0.97262568981366893</v>
      </c>
    </row>
    <row r="1812" spans="4:5">
      <c r="D1812" s="137">
        <v>1.7188392739867595</v>
      </c>
      <c r="E1812">
        <f t="shared" si="30"/>
        <v>0.97213783498037187</v>
      </c>
    </row>
    <row r="1813" spans="4:5">
      <c r="D1813" s="137">
        <v>1.7189918922385914</v>
      </c>
      <c r="E1813">
        <f t="shared" si="30"/>
        <v>0.97091419834413695</v>
      </c>
    </row>
    <row r="1814" spans="4:5">
      <c r="D1814" s="137">
        <v>1.7208718207293714</v>
      </c>
      <c r="E1814">
        <f t="shared" si="30"/>
        <v>0.9558995526472962</v>
      </c>
    </row>
    <row r="1815" spans="4:5">
      <c r="D1815" s="137">
        <v>1.7209031653092097</v>
      </c>
      <c r="E1815">
        <f t="shared" si="30"/>
        <v>0.95565012440748109</v>
      </c>
    </row>
    <row r="1816" spans="4:5">
      <c r="D1816" s="137">
        <v>1.7209651081693664</v>
      </c>
      <c r="E1816">
        <f t="shared" si="30"/>
        <v>0.95515729561330998</v>
      </c>
    </row>
    <row r="1817" spans="4:5">
      <c r="D1817" s="137">
        <v>1.721744244868205</v>
      </c>
      <c r="E1817">
        <f t="shared" si="30"/>
        <v>0.94896845624303128</v>
      </c>
    </row>
    <row r="1818" spans="4:5">
      <c r="D1818" s="137">
        <v>1.7218696231875583</v>
      </c>
      <c r="E1818">
        <f t="shared" si="30"/>
        <v>0.94797430768289326</v>
      </c>
    </row>
    <row r="1819" spans="4:5">
      <c r="D1819" s="137">
        <v>1.7224345719241683</v>
      </c>
      <c r="E1819">
        <f t="shared" si="30"/>
        <v>0.94350079401838394</v>
      </c>
    </row>
    <row r="1820" spans="4:5">
      <c r="D1820" s="137">
        <v>1.7226233857027182</v>
      </c>
      <c r="E1820">
        <f t="shared" si="30"/>
        <v>0.94200790590217942</v>
      </c>
    </row>
    <row r="1821" spans="4:5">
      <c r="D1821" s="137">
        <v>1.7228756349404648</v>
      </c>
      <c r="E1821">
        <f t="shared" si="30"/>
        <v>0.94001519829326885</v>
      </c>
    </row>
    <row r="1822" spans="4:5">
      <c r="D1822" s="137">
        <v>1.7230338504386964</v>
      </c>
      <c r="E1822">
        <f t="shared" si="30"/>
        <v>0.93876635425941923</v>
      </c>
    </row>
    <row r="1823" spans="4:5">
      <c r="D1823" s="137">
        <v>1.7240495640853624</v>
      </c>
      <c r="E1823">
        <f t="shared" si="30"/>
        <v>0.93076782832123828</v>
      </c>
    </row>
    <row r="1824" spans="4:5">
      <c r="D1824" s="137">
        <v>1.72465705189461</v>
      </c>
      <c r="E1824">
        <f t="shared" si="30"/>
        <v>0.92599964725316108</v>
      </c>
    </row>
    <row r="1825" spans="4:5">
      <c r="D1825" s="137">
        <v>1.7254929073569656</v>
      </c>
      <c r="E1825">
        <f t="shared" si="30"/>
        <v>0.91945831263196509</v>
      </c>
    </row>
    <row r="1826" spans="4:5">
      <c r="D1826" s="137">
        <v>1.7256220171739187</v>
      </c>
      <c r="E1826">
        <f t="shared" si="30"/>
        <v>0.91844991403876919</v>
      </c>
    </row>
    <row r="1827" spans="4:5">
      <c r="D1827" s="137">
        <v>1.7258809831073449</v>
      </c>
      <c r="E1827">
        <f t="shared" si="30"/>
        <v>0.91642891077294708</v>
      </c>
    </row>
    <row r="1828" spans="4:5">
      <c r="D1828" s="137">
        <v>1.7260750209825346</v>
      </c>
      <c r="E1828">
        <f t="shared" si="30"/>
        <v>0.91491603635219076</v>
      </c>
    </row>
    <row r="1829" spans="4:5">
      <c r="D1829" s="137">
        <v>1.7260750209825346</v>
      </c>
      <c r="E1829">
        <f t="shared" si="30"/>
        <v>0.91491603635219076</v>
      </c>
    </row>
    <row r="1830" spans="4:5">
      <c r="D1830" s="137">
        <v>1.7263671972445991</v>
      </c>
      <c r="E1830">
        <f t="shared" si="30"/>
        <v>0.91264030008457786</v>
      </c>
    </row>
    <row r="1831" spans="4:5">
      <c r="D1831" s="137">
        <v>1.7284661646444874</v>
      </c>
      <c r="E1831">
        <f t="shared" si="30"/>
        <v>0.89637364722475721</v>
      </c>
    </row>
    <row r="1832" spans="4:5">
      <c r="D1832" s="137">
        <v>1.7284990018233657</v>
      </c>
      <c r="E1832">
        <f t="shared" si="30"/>
        <v>0.89612031690079508</v>
      </c>
    </row>
    <row r="1833" spans="4:5">
      <c r="D1833" s="137">
        <v>1.7287975216313498</v>
      </c>
      <c r="E1833">
        <f t="shared" si="30"/>
        <v>0.89381895401997258</v>
      </c>
    </row>
    <row r="1834" spans="4:5">
      <c r="D1834" s="137">
        <v>1.7302662390866317</v>
      </c>
      <c r="E1834">
        <f t="shared" si="30"/>
        <v>0.88253950544928694</v>
      </c>
    </row>
    <row r="1835" spans="4:5">
      <c r="D1835" s="137">
        <v>1.7318222735857489</v>
      </c>
      <c r="E1835">
        <f t="shared" si="30"/>
        <v>0.87066864670336586</v>
      </c>
    </row>
    <row r="1836" spans="4:5">
      <c r="D1836" s="137">
        <v>1.7327446997924199</v>
      </c>
      <c r="E1836">
        <f t="shared" si="30"/>
        <v>0.86367039813484936</v>
      </c>
    </row>
    <row r="1837" spans="4:5">
      <c r="D1837" s="137">
        <v>1.733813773854763</v>
      </c>
      <c r="E1837">
        <f t="shared" si="30"/>
        <v>0.8555960911824958</v>
      </c>
    </row>
    <row r="1838" spans="4:5">
      <c r="D1838" s="137">
        <v>1.734508951857606</v>
      </c>
      <c r="E1838">
        <f t="shared" si="30"/>
        <v>0.85036686192013966</v>
      </c>
    </row>
    <row r="1839" spans="4:5">
      <c r="D1839" s="137">
        <v>1.7345432816355242</v>
      </c>
      <c r="E1839">
        <f t="shared" si="30"/>
        <v>0.85010906285141219</v>
      </c>
    </row>
    <row r="1840" spans="4:5">
      <c r="D1840" s="137">
        <v>1.7346134337904004</v>
      </c>
      <c r="E1840">
        <f t="shared" si="30"/>
        <v>0.84958238346331483</v>
      </c>
    </row>
    <row r="1841" spans="4:5">
      <c r="D1841" s="137">
        <v>1.7352776403631651</v>
      </c>
      <c r="E1841">
        <f t="shared" si="30"/>
        <v>0.84460423217984826</v>
      </c>
    </row>
    <row r="1842" spans="4:5">
      <c r="D1842" s="137">
        <v>1.7356642235145046</v>
      </c>
      <c r="E1842">
        <f t="shared" si="30"/>
        <v>0.84171392895665464</v>
      </c>
    </row>
    <row r="1843" spans="4:5">
      <c r="D1843" s="137">
        <v>1.7363351467829489</v>
      </c>
      <c r="E1843">
        <f t="shared" si="30"/>
        <v>0.83671018439867006</v>
      </c>
    </row>
    <row r="1844" spans="4:5">
      <c r="D1844" s="137">
        <v>1.7372239895112216</v>
      </c>
      <c r="E1844">
        <f t="shared" si="30"/>
        <v>0.83010560945103928</v>
      </c>
    </row>
    <row r="1845" spans="4:5">
      <c r="D1845" s="137">
        <v>1.7374023550964921</v>
      </c>
      <c r="E1845">
        <f t="shared" si="30"/>
        <v>0.82878362313429843</v>
      </c>
    </row>
    <row r="1846" spans="4:5">
      <c r="D1846" s="137">
        <v>1.7376531117351988</v>
      </c>
      <c r="E1846">
        <f t="shared" si="30"/>
        <v>0.82692700619255255</v>
      </c>
    </row>
    <row r="1847" spans="4:5">
      <c r="D1847" s="137">
        <v>1.7379758862775816</v>
      </c>
      <c r="E1847">
        <f t="shared" si="30"/>
        <v>0.82454045188395131</v>
      </c>
    </row>
    <row r="1848" spans="4:5">
      <c r="D1848" s="137">
        <v>1.7380120818042997</v>
      </c>
      <c r="E1848">
        <f t="shared" si="30"/>
        <v>0.82427305775938886</v>
      </c>
    </row>
    <row r="1849" spans="4:5">
      <c r="D1849" s="137">
        <v>1.7382277623655682</v>
      </c>
      <c r="E1849">
        <f t="shared" si="30"/>
        <v>0.82268068676100792</v>
      </c>
    </row>
    <row r="1850" spans="4:5">
      <c r="D1850" s="137">
        <v>1.7383359757959624</v>
      </c>
      <c r="E1850">
        <f t="shared" si="30"/>
        <v>0.82188237079326842</v>
      </c>
    </row>
    <row r="1851" spans="4:5">
      <c r="D1851" s="137">
        <v>1.7387688295175394</v>
      </c>
      <c r="E1851">
        <f t="shared" si="30"/>
        <v>0.81869328656216578</v>
      </c>
    </row>
    <row r="1852" spans="4:5">
      <c r="D1852" s="137">
        <v>1.7395315476269388</v>
      </c>
      <c r="E1852">
        <f t="shared" si="30"/>
        <v>0.81309021855586572</v>
      </c>
    </row>
    <row r="1853" spans="4:5">
      <c r="D1853" s="137">
        <v>1.7407763752262326</v>
      </c>
      <c r="E1853">
        <f t="shared" si="30"/>
        <v>0.80399043134691228</v>
      </c>
    </row>
    <row r="1854" spans="4:5">
      <c r="D1854" s="137">
        <v>1.7412562458175671</v>
      </c>
      <c r="E1854">
        <f t="shared" si="30"/>
        <v>0.80049749944887838</v>
      </c>
    </row>
    <row r="1855" spans="4:5">
      <c r="D1855" s="137">
        <v>1.7416637253554654</v>
      </c>
      <c r="E1855">
        <f t="shared" si="30"/>
        <v>0.79753805802482325</v>
      </c>
    </row>
    <row r="1856" spans="4:5">
      <c r="D1856" s="137">
        <v>1.7423339023243898</v>
      </c>
      <c r="E1856">
        <f t="shared" si="30"/>
        <v>0.79268384640292633</v>
      </c>
    </row>
    <row r="1857" spans="4:5">
      <c r="D1857" s="137">
        <v>1.7429712421144359</v>
      </c>
      <c r="E1857">
        <f t="shared" si="30"/>
        <v>0.7880827001415045</v>
      </c>
    </row>
    <row r="1858" spans="4:5">
      <c r="D1858" s="137">
        <v>1.7430458720664319</v>
      </c>
      <c r="E1858">
        <f t="shared" si="30"/>
        <v>0.78754489714662002</v>
      </c>
    </row>
    <row r="1859" spans="4:5">
      <c r="D1859" s="137">
        <v>1.7433093157969779</v>
      </c>
      <c r="E1859">
        <f t="shared" ref="E1859:E1922" si="31">_xlfn.NORM.DIST(D1859,$B$2,$B$4,FALSE)</f>
        <v>0.78564808626805904</v>
      </c>
    </row>
    <row r="1860" spans="4:5">
      <c r="D1860" s="137">
        <v>1.7438765034321477</v>
      </c>
      <c r="E1860">
        <f t="shared" si="31"/>
        <v>0.78157295672529803</v>
      </c>
    </row>
    <row r="1861" spans="4:5">
      <c r="D1861" s="137">
        <v>1.7444078686903595</v>
      </c>
      <c r="E1861">
        <f t="shared" si="31"/>
        <v>0.77776595461553533</v>
      </c>
    </row>
    <row r="1862" spans="4:5">
      <c r="D1862" s="137">
        <v>1.7462885434806594</v>
      </c>
      <c r="E1862">
        <f t="shared" si="31"/>
        <v>0.76437571023239326</v>
      </c>
    </row>
    <row r="1863" spans="4:5">
      <c r="D1863" s="137">
        <v>1.746598257781443</v>
      </c>
      <c r="E1863">
        <f t="shared" si="31"/>
        <v>0.76218318674617969</v>
      </c>
    </row>
    <row r="1864" spans="4:5">
      <c r="D1864" s="137">
        <v>1.7477692017282607</v>
      </c>
      <c r="E1864">
        <f t="shared" si="31"/>
        <v>0.75392628095775782</v>
      </c>
    </row>
    <row r="1865" spans="4:5">
      <c r="D1865" s="137">
        <v>1.7480841401256839</v>
      </c>
      <c r="E1865">
        <f t="shared" si="31"/>
        <v>0.7517142687908337</v>
      </c>
    </row>
    <row r="1866" spans="4:5">
      <c r="D1866" s="137">
        <v>1.749869288577429</v>
      </c>
      <c r="E1866">
        <f t="shared" si="31"/>
        <v>0.73924668104914404</v>
      </c>
    </row>
    <row r="1867" spans="4:5">
      <c r="D1867" s="137">
        <v>1.7503103515937255</v>
      </c>
      <c r="E1867">
        <f t="shared" si="31"/>
        <v>0.73618484012330576</v>
      </c>
    </row>
    <row r="1868" spans="4:5">
      <c r="D1868" s="137">
        <v>1.7511574015488804</v>
      </c>
      <c r="E1868">
        <f t="shared" si="31"/>
        <v>0.73032538009965098</v>
      </c>
    </row>
    <row r="1869" spans="4:5">
      <c r="D1869" s="137">
        <v>1.751279048370634</v>
      </c>
      <c r="E1869">
        <f t="shared" si="31"/>
        <v>0.72948613199363577</v>
      </c>
    </row>
    <row r="1870" spans="4:5">
      <c r="D1870" s="137">
        <v>1.7520925148473907</v>
      </c>
      <c r="E1870">
        <f t="shared" si="31"/>
        <v>0.72388849326251647</v>
      </c>
    </row>
    <row r="1871" spans="4:5">
      <c r="D1871" s="137">
        <v>1.7522156542681842</v>
      </c>
      <c r="E1871">
        <f t="shared" si="31"/>
        <v>0.7230433474731498</v>
      </c>
    </row>
    <row r="1872" spans="4:5">
      <c r="D1872" s="137">
        <v>1.7526253727046424</v>
      </c>
      <c r="E1872">
        <f t="shared" si="31"/>
        <v>0.72023549472704074</v>
      </c>
    </row>
    <row r="1873" spans="4:5">
      <c r="D1873" s="137">
        <v>1.7539052763813743</v>
      </c>
      <c r="E1873">
        <f t="shared" si="31"/>
        <v>0.71150562779755455</v>
      </c>
    </row>
    <row r="1874" spans="4:5">
      <c r="D1874" s="137">
        <v>1.7539470691544921</v>
      </c>
      <c r="E1874">
        <f t="shared" si="31"/>
        <v>0.71122163258270832</v>
      </c>
    </row>
    <row r="1875" spans="4:5">
      <c r="D1875" s="137">
        <v>1.754155286720561</v>
      </c>
      <c r="E1875">
        <f t="shared" si="31"/>
        <v>0.70980773021687638</v>
      </c>
    </row>
    <row r="1876" spans="4:5">
      <c r="D1876" s="137">
        <v>1.7552015986475453</v>
      </c>
      <c r="E1876">
        <f t="shared" si="31"/>
        <v>0.70272805743564559</v>
      </c>
    </row>
    <row r="1877" spans="4:5">
      <c r="D1877" s="137">
        <v>1.7553277232664186</v>
      </c>
      <c r="E1877">
        <f t="shared" si="31"/>
        <v>0.70187751509869256</v>
      </c>
    </row>
    <row r="1878" spans="4:5">
      <c r="D1878" s="137">
        <v>1.7560464097041404</v>
      </c>
      <c r="E1878">
        <f t="shared" si="31"/>
        <v>0.69704268562973404</v>
      </c>
    </row>
    <row r="1879" spans="4:5">
      <c r="D1879" s="137">
        <v>1.7566837494941865</v>
      </c>
      <c r="E1879">
        <f t="shared" si="31"/>
        <v>0.69277185590833057</v>
      </c>
    </row>
    <row r="1880" spans="4:5">
      <c r="D1880" s="137">
        <v>1.7568971911568951</v>
      </c>
      <c r="E1880">
        <f t="shared" si="31"/>
        <v>0.69134510447462538</v>
      </c>
    </row>
    <row r="1881" spans="4:5">
      <c r="D1881" s="137">
        <v>1.7569830156016906</v>
      </c>
      <c r="E1881">
        <f t="shared" si="31"/>
        <v>0.69077190998225335</v>
      </c>
    </row>
    <row r="1882" spans="4:5">
      <c r="D1882" s="137">
        <v>1.7577128965322117</v>
      </c>
      <c r="E1882">
        <f t="shared" si="31"/>
        <v>0.68590884991595025</v>
      </c>
    </row>
    <row r="1883" spans="4:5">
      <c r="D1883" s="137">
        <v>1.7586211430480034</v>
      </c>
      <c r="E1883">
        <f t="shared" si="31"/>
        <v>0.6798863748199957</v>
      </c>
    </row>
    <row r="1884" spans="4:5">
      <c r="D1884" s="137">
        <v>1.760772724564049</v>
      </c>
      <c r="E1884">
        <f t="shared" si="31"/>
        <v>0.66574828481336779</v>
      </c>
    </row>
    <row r="1885" spans="4:5">
      <c r="D1885" s="137">
        <v>1.7610839314638724</v>
      </c>
      <c r="E1885">
        <f t="shared" si="31"/>
        <v>0.66371837674888945</v>
      </c>
    </row>
    <row r="1886" spans="4:5">
      <c r="D1886" s="137">
        <v>1.7621578564730953</v>
      </c>
      <c r="E1886">
        <f t="shared" si="31"/>
        <v>0.65674276680698318</v>
      </c>
    </row>
    <row r="1887" spans="4:5">
      <c r="D1887" s="137">
        <v>1.7622026344442929</v>
      </c>
      <c r="E1887">
        <f t="shared" si="31"/>
        <v>0.65645290145366597</v>
      </c>
    </row>
    <row r="1888" spans="4:5">
      <c r="D1888" s="137">
        <v>1.7625183191412361</v>
      </c>
      <c r="E1888">
        <f t="shared" si="31"/>
        <v>0.65441159541684812</v>
      </c>
    </row>
    <row r="1889" spans="4:5">
      <c r="D1889" s="137">
        <v>1.7631064031629649</v>
      </c>
      <c r="E1889">
        <f t="shared" si="31"/>
        <v>0.65061937067067477</v>
      </c>
    </row>
    <row r="1890" spans="4:5">
      <c r="D1890" s="137">
        <v>1.7651229044658976</v>
      </c>
      <c r="E1890">
        <f t="shared" si="31"/>
        <v>0.63771998304414701</v>
      </c>
    </row>
    <row r="1891" spans="4:5">
      <c r="D1891" s="137">
        <v>1.7660527936677681</v>
      </c>
      <c r="E1891">
        <f t="shared" si="31"/>
        <v>0.63182589235738995</v>
      </c>
    </row>
    <row r="1892" spans="4:5">
      <c r="D1892" s="137">
        <v>1.7666155035058182</v>
      </c>
      <c r="E1892">
        <f t="shared" si="31"/>
        <v>0.62827585613829173</v>
      </c>
    </row>
    <row r="1893" spans="4:5">
      <c r="D1893" s="137">
        <v>1.7682252715703726</v>
      </c>
      <c r="E1893">
        <f t="shared" si="31"/>
        <v>0.61818974696937168</v>
      </c>
    </row>
    <row r="1894" spans="4:5">
      <c r="D1894" s="137">
        <v>1.7685125968855573</v>
      </c>
      <c r="E1894">
        <f t="shared" si="31"/>
        <v>0.61640035849030939</v>
      </c>
    </row>
    <row r="1895" spans="4:5">
      <c r="D1895" s="137">
        <v>1.7698619064176455</v>
      </c>
      <c r="E1895">
        <f t="shared" si="31"/>
        <v>0.60804130407591639</v>
      </c>
    </row>
    <row r="1896" spans="4:5">
      <c r="D1896" s="137">
        <v>1.7716239195842718</v>
      </c>
      <c r="E1896">
        <f t="shared" si="31"/>
        <v>0.59723517097619749</v>
      </c>
    </row>
    <row r="1897" spans="4:5">
      <c r="D1897" s="137">
        <v>1.7717231774204265</v>
      </c>
      <c r="E1897">
        <f t="shared" si="31"/>
        <v>0.5966301390688894</v>
      </c>
    </row>
    <row r="1898" spans="4:5">
      <c r="D1898" s="137">
        <v>1.7721687182338428</v>
      </c>
      <c r="E1898">
        <f t="shared" si="31"/>
        <v>0.59391918444960889</v>
      </c>
    </row>
    <row r="1899" spans="4:5">
      <c r="D1899" s="137">
        <v>1.7740740209083015</v>
      </c>
      <c r="E1899">
        <f t="shared" si="31"/>
        <v>0.58241595870996266</v>
      </c>
    </row>
    <row r="1900" spans="4:5">
      <c r="D1900" s="137">
        <v>1.7741247692756588</v>
      </c>
      <c r="E1900">
        <f t="shared" si="31"/>
        <v>0.5821115592623245</v>
      </c>
    </row>
    <row r="1901" spans="4:5">
      <c r="D1901" s="137">
        <v>1.7742262660103734</v>
      </c>
      <c r="E1901">
        <f t="shared" si="31"/>
        <v>0.58150307075314611</v>
      </c>
    </row>
    <row r="1902" spans="4:5">
      <c r="D1902" s="137">
        <v>1.7760173848582781</v>
      </c>
      <c r="E1902">
        <f t="shared" si="31"/>
        <v>0.57083316185251309</v>
      </c>
    </row>
    <row r="1903" spans="4:5">
      <c r="D1903" s="137">
        <v>1.7774741615212406</v>
      </c>
      <c r="E1903">
        <f t="shared" si="31"/>
        <v>0.5622501192341276</v>
      </c>
    </row>
    <row r="1904" spans="4:5">
      <c r="D1904" s="137">
        <v>1.7779995563832927</v>
      </c>
      <c r="E1904">
        <f t="shared" si="31"/>
        <v>0.55917555219660664</v>
      </c>
    </row>
    <row r="1905" spans="4:5">
      <c r="D1905" s="137">
        <v>1.7792205023979477</v>
      </c>
      <c r="E1905">
        <f t="shared" si="31"/>
        <v>0.55207360037270947</v>
      </c>
    </row>
    <row r="1906" spans="4:5">
      <c r="D1906" s="137">
        <v>1.7797548528542393</v>
      </c>
      <c r="E1906">
        <f t="shared" si="31"/>
        <v>0.54898429647181357</v>
      </c>
    </row>
    <row r="1907" spans="4:5">
      <c r="D1907" s="137">
        <v>1.7809437079895361</v>
      </c>
      <c r="E1907">
        <f t="shared" si="31"/>
        <v>0.54215228216313904</v>
      </c>
    </row>
    <row r="1908" spans="4:5">
      <c r="D1908" s="137">
        <v>1.7816526925334983</v>
      </c>
      <c r="E1908">
        <f t="shared" si="31"/>
        <v>0.53810504607106913</v>
      </c>
    </row>
    <row r="1909" spans="4:5">
      <c r="D1909" s="137">
        <v>1.7818168784278896</v>
      </c>
      <c r="E1909">
        <f t="shared" si="31"/>
        <v>0.53717067851756262</v>
      </c>
    </row>
    <row r="1910" spans="4:5">
      <c r="D1910" s="137">
        <v>1.7820370367862779</v>
      </c>
      <c r="E1910">
        <f t="shared" si="31"/>
        <v>0.53591948058450234</v>
      </c>
    </row>
    <row r="1911" spans="4:5">
      <c r="D1911" s="137">
        <v>1.7823116750096233</v>
      </c>
      <c r="E1911">
        <f t="shared" si="31"/>
        <v>0.53436140067090465</v>
      </c>
    </row>
    <row r="1912" spans="4:5">
      <c r="D1912" s="137">
        <v>1.7823116750096233</v>
      </c>
      <c r="E1912">
        <f t="shared" si="31"/>
        <v>0.53436140067090465</v>
      </c>
    </row>
    <row r="1913" spans="4:5">
      <c r="D1913" s="137">
        <v>1.7875827885191029</v>
      </c>
      <c r="E1913">
        <f t="shared" si="31"/>
        <v>0.50504562600581993</v>
      </c>
    </row>
    <row r="1914" spans="4:5">
      <c r="D1914" s="137">
        <v>1.7884022253920193</v>
      </c>
      <c r="E1914">
        <f t="shared" si="31"/>
        <v>0.50058860586174092</v>
      </c>
    </row>
    <row r="1915" spans="4:5">
      <c r="D1915" s="137">
        <v>1.7889925483123079</v>
      </c>
      <c r="E1915">
        <f t="shared" si="31"/>
        <v>0.49739447509214141</v>
      </c>
    </row>
    <row r="1916" spans="4:5">
      <c r="D1916" s="137">
        <v>1.790664259237019</v>
      </c>
      <c r="E1916">
        <f t="shared" si="31"/>
        <v>0.48842500927497273</v>
      </c>
    </row>
    <row r="1917" spans="4:5">
      <c r="D1917" s="137">
        <v>1.790965764243083</v>
      </c>
      <c r="E1917">
        <f t="shared" si="31"/>
        <v>0.48681922744951012</v>
      </c>
    </row>
    <row r="1918" spans="4:5">
      <c r="D1918" s="137">
        <v>1.7938509581872495</v>
      </c>
      <c r="E1918">
        <f t="shared" si="31"/>
        <v>0.47163698359364409</v>
      </c>
    </row>
    <row r="1919" spans="4:5">
      <c r="D1919" s="137">
        <v>1.7946659172630461</v>
      </c>
      <c r="E1919">
        <f t="shared" si="31"/>
        <v>0.46740880988268918</v>
      </c>
    </row>
    <row r="1920" spans="4:5">
      <c r="D1920" s="137">
        <v>1.7949808556604694</v>
      </c>
      <c r="E1920">
        <f t="shared" si="31"/>
        <v>0.46578194152178887</v>
      </c>
    </row>
    <row r="1921" spans="4:5">
      <c r="D1921" s="137">
        <v>1.7974779738542566</v>
      </c>
      <c r="E1921">
        <f t="shared" si="31"/>
        <v>0.45302242806131188</v>
      </c>
    </row>
    <row r="1922" spans="4:5">
      <c r="D1922" s="137">
        <v>1.7981287470356619</v>
      </c>
      <c r="E1922">
        <f t="shared" si="31"/>
        <v>0.44973787869575216</v>
      </c>
    </row>
    <row r="1923" spans="4:5">
      <c r="D1923" s="137">
        <v>1.7985877212404375</v>
      </c>
      <c r="E1923">
        <f t="shared" ref="E1923:E1986" si="32">_xlfn.NORM.DIST(D1923,$B$2,$B$4,FALSE)</f>
        <v>0.44743146718722476</v>
      </c>
    </row>
    <row r="1924" spans="4:5">
      <c r="D1924" s="137">
        <v>1.7992467037165625</v>
      </c>
      <c r="E1924">
        <f t="shared" si="32"/>
        <v>0.44413457818740121</v>
      </c>
    </row>
    <row r="1925" spans="4:5">
      <c r="D1925" s="137">
        <v>1.8026886371026194</v>
      </c>
      <c r="E1925">
        <f t="shared" si="32"/>
        <v>0.42719336955733805</v>
      </c>
    </row>
    <row r="1926" spans="4:5">
      <c r="D1926" s="137">
        <v>1.8035871817246516</v>
      </c>
      <c r="E1926">
        <f t="shared" si="32"/>
        <v>0.4228474984891018</v>
      </c>
    </row>
    <row r="1927" spans="4:5">
      <c r="D1927" s="137">
        <v>1.8048469353143446</v>
      </c>
      <c r="E1927">
        <f t="shared" si="32"/>
        <v>0.41680791718550658</v>
      </c>
    </row>
    <row r="1928" spans="4:5">
      <c r="D1928" s="137">
        <v>1.8049872396240971</v>
      </c>
      <c r="E1928">
        <f t="shared" si="32"/>
        <v>0.416139106422594</v>
      </c>
    </row>
    <row r="1929" spans="4:5">
      <c r="D1929" s="137">
        <v>1.8088844157173298</v>
      </c>
      <c r="E1929">
        <f t="shared" si="32"/>
        <v>0.39786840574203347</v>
      </c>
    </row>
    <row r="1930" spans="4:5">
      <c r="D1930" s="137">
        <v>1.809032183022282</v>
      </c>
      <c r="E1930">
        <f t="shared" si="32"/>
        <v>0.39718724902429664</v>
      </c>
    </row>
    <row r="1931" spans="4:5">
      <c r="D1931" s="137">
        <v>1.8146040552383056</v>
      </c>
      <c r="E1931">
        <f t="shared" si="32"/>
        <v>0.3721160611392863</v>
      </c>
    </row>
    <row r="1932" spans="4:5">
      <c r="D1932" s="137">
        <v>1.8147622707365372</v>
      </c>
      <c r="E1932">
        <f t="shared" si="32"/>
        <v>0.37142149775543709</v>
      </c>
    </row>
    <row r="1933" spans="4:5">
      <c r="D1933" s="137">
        <v>1.8165175672074838</v>
      </c>
      <c r="E1933">
        <f t="shared" si="32"/>
        <v>0.3637795237912983</v>
      </c>
    </row>
    <row r="1934" spans="4:5">
      <c r="D1934" s="137">
        <v>1.8166787679037952</v>
      </c>
      <c r="E1934">
        <f t="shared" si="32"/>
        <v>0.36308355997046848</v>
      </c>
    </row>
    <row r="1935" spans="4:5">
      <c r="D1935" s="137">
        <v>1.8166787679037952</v>
      </c>
      <c r="E1935">
        <f t="shared" si="32"/>
        <v>0.36308355997046848</v>
      </c>
    </row>
    <row r="1936" spans="4:5">
      <c r="D1936" s="137">
        <v>1.8170832622436137</v>
      </c>
      <c r="E1936">
        <f t="shared" si="32"/>
        <v>0.36134152798076724</v>
      </c>
    </row>
    <row r="1937" spans="4:5">
      <c r="D1937" s="137">
        <v>1.8172459555389651</v>
      </c>
      <c r="E1937">
        <f t="shared" si="32"/>
        <v>0.36064259966427242</v>
      </c>
    </row>
    <row r="1938" spans="4:5">
      <c r="D1938" s="137">
        <v>1.8174086488343164</v>
      </c>
      <c r="E1938">
        <f t="shared" si="32"/>
        <v>0.35994466951272269</v>
      </c>
    </row>
    <row r="1939" spans="4:5">
      <c r="D1939" s="137">
        <v>1.8180638998128416</v>
      </c>
      <c r="E1939">
        <f t="shared" si="32"/>
        <v>0.35714383402910072</v>
      </c>
    </row>
    <row r="1940" spans="4:5">
      <c r="D1940" s="137">
        <v>1.8181459927600372</v>
      </c>
      <c r="E1940">
        <f t="shared" si="32"/>
        <v>0.35679407092816362</v>
      </c>
    </row>
    <row r="1941" spans="4:5">
      <c r="D1941" s="137">
        <v>1.8182280857072328</v>
      </c>
      <c r="E1941">
        <f t="shared" si="32"/>
        <v>0.35644456117187623</v>
      </c>
    </row>
    <row r="1942" spans="4:5">
      <c r="D1942" s="137">
        <v>1.8194714207074867</v>
      </c>
      <c r="E1942">
        <f t="shared" si="32"/>
        <v>0.35118200071606226</v>
      </c>
    </row>
    <row r="1943" spans="4:5">
      <c r="D1943" s="137">
        <v>1.8210729794773215</v>
      </c>
      <c r="E1943">
        <f t="shared" si="32"/>
        <v>0.34448841367244376</v>
      </c>
    </row>
    <row r="1944" spans="4:5">
      <c r="D1944" s="137">
        <v>1.8225327413383638</v>
      </c>
      <c r="E1944">
        <f t="shared" si="32"/>
        <v>0.33847057478865367</v>
      </c>
    </row>
    <row r="1945" spans="4:5">
      <c r="D1945" s="137">
        <v>1.8259791525215405</v>
      </c>
      <c r="E1945">
        <f t="shared" si="32"/>
        <v>0.32457469644173842</v>
      </c>
    </row>
    <row r="1946" spans="4:5">
      <c r="D1946" s="137">
        <v>1.8262508055468061</v>
      </c>
      <c r="E1946">
        <f t="shared" si="32"/>
        <v>0.32349789758018599</v>
      </c>
    </row>
    <row r="1947" spans="4:5">
      <c r="D1947" s="137">
        <v>1.8270702424197225</v>
      </c>
      <c r="E1947">
        <f t="shared" si="32"/>
        <v>0.32026602818739108</v>
      </c>
    </row>
    <row r="1948" spans="4:5">
      <c r="D1948" s="137">
        <v>1.8278971422878385</v>
      </c>
      <c r="E1948">
        <f t="shared" si="32"/>
        <v>0.31702944134944055</v>
      </c>
    </row>
    <row r="1949" spans="4:5">
      <c r="D1949" s="137">
        <v>1.8297658762858191</v>
      </c>
      <c r="E1949">
        <f t="shared" si="32"/>
        <v>0.30980599006314224</v>
      </c>
    </row>
    <row r="1950" spans="4:5">
      <c r="D1950" s="137">
        <v>1.8319704450677818</v>
      </c>
      <c r="E1950">
        <f t="shared" si="32"/>
        <v>0.30144545667196437</v>
      </c>
    </row>
    <row r="1951" spans="4:5">
      <c r="D1951" s="137">
        <v>1.8329480974389298</v>
      </c>
      <c r="E1951">
        <f t="shared" si="32"/>
        <v>0.29779321882717197</v>
      </c>
    </row>
    <row r="1952" spans="4:5">
      <c r="D1952" s="137">
        <v>1.8339361980033573</v>
      </c>
      <c r="E1952">
        <f t="shared" si="32"/>
        <v>0.29413630250637324</v>
      </c>
    </row>
    <row r="1953" spans="4:5">
      <c r="D1953" s="137">
        <v>1.8362586821094737</v>
      </c>
      <c r="E1953">
        <f t="shared" si="32"/>
        <v>0.2856759593392566</v>
      </c>
    </row>
    <row r="1954" spans="4:5">
      <c r="D1954" s="137">
        <v>1.8371855861132644</v>
      </c>
      <c r="E1954">
        <f t="shared" si="32"/>
        <v>0.28235198276893447</v>
      </c>
    </row>
    <row r="1955" spans="4:5">
      <c r="D1955" s="137">
        <v>1.8380184563775401</v>
      </c>
      <c r="E1955">
        <f t="shared" si="32"/>
        <v>0.27939062169609558</v>
      </c>
    </row>
    <row r="1956" spans="4:5">
      <c r="D1956" s="137">
        <v>1.838754307704221</v>
      </c>
      <c r="E1956">
        <f t="shared" si="32"/>
        <v>0.27679414387904822</v>
      </c>
    </row>
    <row r="1957" spans="4:5">
      <c r="D1957" s="137">
        <v>1.8401409322123072</v>
      </c>
      <c r="E1957">
        <f t="shared" si="32"/>
        <v>0.27195192743965024</v>
      </c>
    </row>
    <row r="1958" spans="4:5">
      <c r="D1958" s="137">
        <v>1.8403573590730957</v>
      </c>
      <c r="E1958">
        <f t="shared" si="32"/>
        <v>0.27120207930585599</v>
      </c>
    </row>
    <row r="1959" spans="4:5">
      <c r="D1959" s="137">
        <v>1.8412230665162497</v>
      </c>
      <c r="E1959">
        <f t="shared" si="32"/>
        <v>0.26821864051493416</v>
      </c>
    </row>
    <row r="1960" spans="4:5">
      <c r="D1960" s="137">
        <v>1.8417708503639005</v>
      </c>
      <c r="E1960">
        <f t="shared" si="32"/>
        <v>0.26634399225437755</v>
      </c>
    </row>
    <row r="1961" spans="4:5">
      <c r="D1961" s="137">
        <v>1.8424320717385854</v>
      </c>
      <c r="E1961">
        <f t="shared" si="32"/>
        <v>0.26409465889293038</v>
      </c>
    </row>
    <row r="1962" spans="4:5">
      <c r="D1962" s="137">
        <v>1.844450065640558</v>
      </c>
      <c r="E1962">
        <f t="shared" si="32"/>
        <v>0.25732082447595284</v>
      </c>
    </row>
    <row r="1963" spans="4:5">
      <c r="D1963" s="137">
        <v>1.8452500987259555</v>
      </c>
      <c r="E1963">
        <f t="shared" si="32"/>
        <v>0.25467302551155441</v>
      </c>
    </row>
    <row r="1964" spans="4:5">
      <c r="D1964" s="137">
        <v>1.8475800458272715</v>
      </c>
      <c r="E1964">
        <f t="shared" si="32"/>
        <v>0.24708255185677816</v>
      </c>
    </row>
    <row r="1965" spans="4:5">
      <c r="D1965" s="137">
        <v>1.8482920155693137</v>
      </c>
      <c r="E1965">
        <f t="shared" si="32"/>
        <v>0.24479870564244402</v>
      </c>
    </row>
    <row r="1966" spans="4:5">
      <c r="D1966" s="137">
        <v>1.8502264239250508</v>
      </c>
      <c r="E1966">
        <f t="shared" si="32"/>
        <v>0.23867688729354017</v>
      </c>
    </row>
    <row r="1967" spans="4:5">
      <c r="D1967" s="137">
        <v>1.8509637678507715</v>
      </c>
      <c r="E1967">
        <f t="shared" si="32"/>
        <v>0.23637528028795277</v>
      </c>
    </row>
    <row r="1968" spans="4:5">
      <c r="D1968" s="137">
        <v>1.8512115392913984</v>
      </c>
      <c r="E1968">
        <f t="shared" si="32"/>
        <v>0.23560579105130319</v>
      </c>
    </row>
    <row r="1969" spans="4:5">
      <c r="D1969" s="137">
        <v>1.8539892661046906</v>
      </c>
      <c r="E1969">
        <f t="shared" si="32"/>
        <v>0.22711330370025243</v>
      </c>
    </row>
    <row r="1970" spans="4:5">
      <c r="D1970" s="137">
        <v>1.862555291994795</v>
      </c>
      <c r="E1970">
        <f t="shared" si="32"/>
        <v>0.20243822030030431</v>
      </c>
    </row>
    <row r="1971" spans="4:5">
      <c r="D1971" s="137">
        <v>1.8648986724874703</v>
      </c>
      <c r="E1971">
        <f t="shared" si="32"/>
        <v>0.19607476996246179</v>
      </c>
    </row>
    <row r="1972" spans="4:5">
      <c r="D1972" s="137">
        <v>1.8656449720074306</v>
      </c>
      <c r="E1972">
        <f t="shared" si="32"/>
        <v>0.19408218478453484</v>
      </c>
    </row>
    <row r="1973" spans="4:5">
      <c r="D1973" s="137">
        <v>1.8693436324283539</v>
      </c>
      <c r="E1973">
        <f t="shared" si="32"/>
        <v>0.18444551498649725</v>
      </c>
    </row>
    <row r="1974" spans="4:5">
      <c r="D1974" s="137">
        <v>1.8698182789230486</v>
      </c>
      <c r="E1974">
        <f t="shared" si="32"/>
        <v>0.18323726301777249</v>
      </c>
    </row>
    <row r="1975" spans="4:5">
      <c r="D1975" s="137">
        <v>1.8780633960195701</v>
      </c>
      <c r="E1975">
        <f t="shared" si="32"/>
        <v>0.1632494941425498</v>
      </c>
    </row>
    <row r="1976" spans="4:5">
      <c r="D1976" s="137">
        <v>1.8789589554435224</v>
      </c>
      <c r="E1976">
        <f t="shared" si="32"/>
        <v>0.16118974445169809</v>
      </c>
    </row>
    <row r="1977" spans="4:5">
      <c r="D1977" s="137">
        <v>1.8804187173045648</v>
      </c>
      <c r="E1977">
        <f t="shared" si="32"/>
        <v>0.15787783174969866</v>
      </c>
    </row>
    <row r="1978" spans="4:5">
      <c r="D1978" s="137">
        <v>1.8840099105946138</v>
      </c>
      <c r="E1978">
        <f t="shared" si="32"/>
        <v>0.14996634906926179</v>
      </c>
    </row>
    <row r="1979" spans="4:5">
      <c r="D1979" s="137">
        <v>1.8857801330559596</v>
      </c>
      <c r="E1979">
        <f t="shared" si="32"/>
        <v>0.14618788702034588</v>
      </c>
    </row>
    <row r="1980" spans="4:5">
      <c r="D1980" s="137">
        <v>1.8857801330559596</v>
      </c>
      <c r="E1980">
        <f t="shared" si="32"/>
        <v>0.14618788702034588</v>
      </c>
    </row>
    <row r="1981" spans="4:5">
      <c r="D1981" s="137">
        <v>1.8857801330559596</v>
      </c>
      <c r="E1981">
        <f t="shared" si="32"/>
        <v>0.14618788702034588</v>
      </c>
    </row>
    <row r="1982" spans="4:5">
      <c r="D1982" s="137">
        <v>1.8898758248215017</v>
      </c>
      <c r="E1982">
        <f t="shared" si="32"/>
        <v>0.13774527833498679</v>
      </c>
    </row>
    <row r="1983" spans="4:5">
      <c r="D1983" s="137">
        <v>1.8924580211605644</v>
      </c>
      <c r="E1983">
        <f t="shared" si="32"/>
        <v>0.13263245330163365</v>
      </c>
    </row>
    <row r="1984" spans="4:5">
      <c r="D1984" s="137">
        <v>1.8937834491080139</v>
      </c>
      <c r="E1984">
        <f t="shared" si="32"/>
        <v>0.13006971645775936</v>
      </c>
    </row>
    <row r="1985" spans="4:5">
      <c r="D1985" s="137">
        <v>1.9057212562292989</v>
      </c>
      <c r="E1985">
        <f t="shared" si="32"/>
        <v>0.10878772463080631</v>
      </c>
    </row>
    <row r="1986" spans="4:5">
      <c r="D1986" s="137">
        <v>1.9067989127361216</v>
      </c>
      <c r="E1986">
        <f t="shared" si="32"/>
        <v>0.10701927147388141</v>
      </c>
    </row>
    <row r="1987" spans="4:5">
      <c r="D1987" s="137">
        <v>1.9087213802995393</v>
      </c>
      <c r="E1987">
        <f t="shared" ref="E1987:E2001" si="33">_xlfn.NORM.DIST(D1987,$B$2,$B$4,FALSE)</f>
        <v>0.10392442324174957</v>
      </c>
    </row>
    <row r="1988" spans="4:5">
      <c r="D1988" s="137">
        <v>1.9183217773243086</v>
      </c>
      <c r="E1988">
        <f t="shared" si="33"/>
        <v>8.9574221257763348E-2</v>
      </c>
    </row>
    <row r="1989" spans="4:5">
      <c r="D1989" s="137">
        <v>1.9193009222944966</v>
      </c>
      <c r="E1989">
        <f t="shared" si="33"/>
        <v>8.8209962538414496E-2</v>
      </c>
    </row>
    <row r="1990" spans="4:5">
      <c r="D1990" s="137">
        <v>1.9319701029453427</v>
      </c>
      <c r="E1990">
        <f t="shared" si="33"/>
        <v>7.2090778014175808E-2</v>
      </c>
    </row>
    <row r="1991" spans="4:5">
      <c r="D1991" s="137">
        <v>1.933600021096936</v>
      </c>
      <c r="E1991">
        <f t="shared" si="33"/>
        <v>7.0212913181136413E-2</v>
      </c>
    </row>
    <row r="1992" spans="4:5">
      <c r="D1992" s="137">
        <v>1.9453557311353507</v>
      </c>
      <c r="E1992">
        <f t="shared" si="33"/>
        <v>5.7872728683278828E-2</v>
      </c>
    </row>
    <row r="1993" spans="4:5">
      <c r="D1993" s="137">
        <v>1.9500245809322223</v>
      </c>
      <c r="E1993">
        <f t="shared" si="33"/>
        <v>5.3520138288161018E-2</v>
      </c>
    </row>
    <row r="1994" spans="4:5">
      <c r="D1994" s="137">
        <v>1.9937517624057364</v>
      </c>
      <c r="E1994">
        <f t="shared" si="33"/>
        <v>2.4741481590884344E-2</v>
      </c>
    </row>
    <row r="1995" spans="4:5">
      <c r="D1995" s="137">
        <v>1.9998893296578899</v>
      </c>
      <c r="E1995">
        <f t="shared" si="33"/>
        <v>2.2076214182966358E-2</v>
      </c>
    </row>
    <row r="1996" spans="4:5">
      <c r="D1996" s="137">
        <v>2.0025401855527889</v>
      </c>
      <c r="E1996">
        <f t="shared" si="33"/>
        <v>2.1006655568257166E-2</v>
      </c>
    </row>
    <row r="1997" spans="4:5">
      <c r="D1997" s="137">
        <v>2.0183259129989892</v>
      </c>
      <c r="E1997">
        <f t="shared" si="33"/>
        <v>1.5544468148053088E-2</v>
      </c>
    </row>
    <row r="1998" spans="4:5">
      <c r="D1998" s="137">
        <v>2.0411089447443374</v>
      </c>
      <c r="E1998">
        <f t="shared" si="33"/>
        <v>9.9023711313841224E-3</v>
      </c>
    </row>
    <row r="1999" spans="4:5">
      <c r="D1999" s="137">
        <v>2.0440702612395398</v>
      </c>
      <c r="E1999">
        <f t="shared" si="33"/>
        <v>9.3254517283041689E-3</v>
      </c>
    </row>
    <row r="2000" spans="4:5">
      <c r="D2000" s="137">
        <v>2.0722982942825183</v>
      </c>
      <c r="E2000">
        <f t="shared" si="33"/>
        <v>5.1769274120021134E-3</v>
      </c>
    </row>
    <row r="2001" spans="4:5">
      <c r="D2001" s="137">
        <v>2.092645404394716</v>
      </c>
      <c r="E2001">
        <f t="shared" si="33"/>
        <v>3.3255648031659656E-3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 Table</vt:lpstr>
      <vt:lpstr>ROI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Lee Smiles</dc:creator>
  <cp:lastModifiedBy>Aaron Lee Smiles</cp:lastModifiedBy>
  <dcterms:created xsi:type="dcterms:W3CDTF">2020-11-07T01:28:01Z</dcterms:created>
  <dcterms:modified xsi:type="dcterms:W3CDTF">2020-11-07T01:55:40Z</dcterms:modified>
</cp:coreProperties>
</file>