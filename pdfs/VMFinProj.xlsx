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08"/>
  <workbookPr/>
  <mc:AlternateContent xmlns:mc="http://schemas.openxmlformats.org/markup-compatibility/2006">
    <mc:Choice Requires="x15">
      <x15ac:absPath xmlns:x15ac="http://schemas.microsoft.com/office/spreadsheetml/2010/11/ac" url="C:\Users\joini\Dropbox\Capstone Project\Finance Plan\"/>
    </mc:Choice>
  </mc:AlternateContent>
  <xr:revisionPtr revIDLastSave="0" documentId="13_ncr:1_{E86318FF-F2A9-49A0-9208-8C659ADD53AC}" xr6:coauthVersionLast="45" xr6:coauthVersionMax="45" xr10:uidLastSave="{00000000-0000-0000-0000-000000000000}"/>
  <bookViews>
    <workbookView xWindow="-120" yWindow="-120" windowWidth="29040" windowHeight="15840" firstSheet="8" activeTab="8" xr2:uid="{FC11AD25-E787-9E4C-8F7E-B354CEF9FCC6}"/>
  </bookViews>
  <sheets>
    <sheet name="Notes" sheetId="2" r:id="rId1"/>
    <sheet name="Assumptions" sheetId="17" r:id="rId2"/>
    <sheet name="Roadmap" sheetId="15" r:id="rId3"/>
    <sheet name="Investment &amp; Cash" sheetId="10" r:id="rId4"/>
    <sheet name="Cap Table" sheetId="7" r:id="rId5"/>
    <sheet name="ROI Analysis" sheetId="11" r:id="rId6"/>
    <sheet name="Costs" sheetId="3" r:id="rId7"/>
    <sheet name="Personnel Plan" sheetId="16" r:id="rId8"/>
    <sheet name="Rev Forecast" sheetId="14" r:id="rId9"/>
  </sheets>
  <externalReferences>
    <externalReference r:id="rId10"/>
    <externalReference r:id="rId11"/>
  </externalReferences>
  <definedNames>
    <definedName name="Holidays">[1]Assumptions!$R$3:$R$36</definedName>
    <definedName name="Sales_BU">[2]Sales!$B$79:$B$90</definedName>
    <definedName name="Sales_Forecast">[2]Sales!$B$79:$O$90</definedName>
    <definedName name="Sales_Month">[2]Sales!$B$79:$O$79</definedName>
    <definedName name="valuevx">42.314159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G16" i="15" l="1"/>
  <c r="BD16" i="15"/>
  <c r="BA16" i="15"/>
  <c r="AU16" i="15"/>
  <c r="AX16" i="15"/>
  <c r="AR16" i="15"/>
  <c r="AO16" i="15"/>
  <c r="BH12" i="14"/>
  <c r="BH11" i="14" s="1"/>
  <c r="BH10" i="14"/>
  <c r="BH9" i="14" s="1"/>
  <c r="BH8" i="14"/>
  <c r="BE12" i="14"/>
  <c r="BE11" i="14" s="1"/>
  <c r="BE10" i="14"/>
  <c r="BE9" i="14" s="1"/>
  <c r="BE8" i="14"/>
  <c r="BB12" i="14"/>
  <c r="BB11" i="14" s="1"/>
  <c r="BB10" i="14"/>
  <c r="BB9" i="14" s="1"/>
  <c r="BB8" i="14"/>
  <c r="AY12" i="14"/>
  <c r="AY11" i="14" s="1"/>
  <c r="AY10" i="14"/>
  <c r="AY9" i="14" s="1"/>
  <c r="AY8" i="14"/>
  <c r="AV12" i="14"/>
  <c r="AV11" i="14" s="1"/>
  <c r="AV10" i="14"/>
  <c r="AV9" i="14" s="1"/>
  <c r="AV8" i="14"/>
  <c r="AS12" i="14"/>
  <c r="AS11" i="14" s="1"/>
  <c r="AS10" i="14"/>
  <c r="AS9" i="14" s="1"/>
  <c r="AS8" i="14"/>
  <c r="AP12" i="14"/>
  <c r="AP11" i="14" s="1"/>
  <c r="AP10" i="14"/>
  <c r="AP9" i="14" s="1"/>
  <c r="AP8" i="14"/>
  <c r="AJ12" i="14"/>
  <c r="AJ11" i="14" s="1"/>
  <c r="AJ10" i="14"/>
  <c r="AJ9" i="14"/>
  <c r="AJ8" i="14"/>
  <c r="AD12" i="14"/>
  <c r="AD11" i="14" s="1"/>
  <c r="AD10" i="14"/>
  <c r="AD9" i="14"/>
  <c r="AD8" i="14"/>
  <c r="X12" i="14"/>
  <c r="X11" i="14" s="1"/>
  <c r="X10" i="14"/>
  <c r="X9" i="14"/>
  <c r="X8" i="14"/>
  <c r="R12" i="14"/>
  <c r="R11" i="14" s="1"/>
  <c r="R10" i="14"/>
  <c r="R9" i="14" s="1"/>
  <c r="R8" i="14"/>
  <c r="L12" i="14"/>
  <c r="L8" i="14"/>
  <c r="L10" i="14"/>
  <c r="BD134" i="3" l="1"/>
  <c r="BE134" i="3" s="1"/>
  <c r="BG134" i="3"/>
  <c r="BH134" i="3" s="1"/>
  <c r="BA134" i="3"/>
  <c r="BB134" i="3" s="1"/>
  <c r="AX134" i="3"/>
  <c r="AY134" i="3" s="1"/>
  <c r="AU134" i="3"/>
  <c r="AR134" i="3"/>
  <c r="AR132" i="3" s="1"/>
  <c r="AR165" i="3" s="1"/>
  <c r="AR155" i="3" s="1"/>
  <c r="AR16" i="3" s="1"/>
  <c r="AR4" i="3" s="1"/>
  <c r="AS4" i="14" s="1"/>
  <c r="AO134" i="3"/>
  <c r="AP134" i="3" s="1"/>
  <c r="AC134" i="3"/>
  <c r="AD134" i="3" s="1"/>
  <c r="AI134" i="3"/>
  <c r="W134" i="3"/>
  <c r="X134" i="3" s="1"/>
  <c r="Q134" i="3"/>
  <c r="R134" i="3" s="1"/>
  <c r="K134" i="3"/>
  <c r="L134" i="3" s="1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AC139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H138" i="3"/>
  <c r="F9" i="16"/>
  <c r="E9" i="16"/>
  <c r="D9" i="16"/>
  <c r="C9" i="16"/>
  <c r="B9" i="16"/>
  <c r="BB144" i="3"/>
  <c r="BC144" i="3"/>
  <c r="BD144" i="3"/>
  <c r="BE144" i="3"/>
  <c r="BF144" i="3"/>
  <c r="BG144" i="3"/>
  <c r="BH144" i="3"/>
  <c r="BI144" i="3"/>
  <c r="BJ144" i="3"/>
  <c r="BK144" i="3"/>
  <c r="BL144" i="3"/>
  <c r="BA144" i="3"/>
  <c r="AP144" i="3"/>
  <c r="AQ144" i="3"/>
  <c r="AR144" i="3"/>
  <c r="AS144" i="3"/>
  <c r="AT144" i="3"/>
  <c r="AU144" i="3"/>
  <c r="AV144" i="3"/>
  <c r="AW144" i="3"/>
  <c r="AX144" i="3"/>
  <c r="AY144" i="3"/>
  <c r="AZ144" i="3"/>
  <c r="AO144" i="3"/>
  <c r="AD143" i="3"/>
  <c r="AE143" i="3"/>
  <c r="AF143" i="3"/>
  <c r="AG143" i="3"/>
  <c r="AH143" i="3"/>
  <c r="AI143" i="3"/>
  <c r="AJ143" i="3"/>
  <c r="AK143" i="3"/>
  <c r="AL143" i="3"/>
  <c r="AM143" i="3"/>
  <c r="AN143" i="3"/>
  <c r="AC143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K142" i="3"/>
  <c r="L142" i="3"/>
  <c r="M142" i="3"/>
  <c r="N142" i="3"/>
  <c r="O142" i="3"/>
  <c r="P142" i="3"/>
  <c r="F19" i="3"/>
  <c r="F20" i="3"/>
  <c r="F21" i="3"/>
  <c r="F22" i="3"/>
  <c r="F127" i="3"/>
  <c r="G19" i="3"/>
  <c r="G20" i="3"/>
  <c r="G21" i="3"/>
  <c r="G22" i="3"/>
  <c r="G127" i="3"/>
  <c r="H19" i="3"/>
  <c r="H20" i="3"/>
  <c r="H21" i="3"/>
  <c r="H22" i="3"/>
  <c r="H23" i="3"/>
  <c r="H127" i="3"/>
  <c r="I19" i="3"/>
  <c r="I20" i="3"/>
  <c r="I21" i="3"/>
  <c r="I22" i="3"/>
  <c r="I23" i="3"/>
  <c r="I127" i="3"/>
  <c r="J19" i="3"/>
  <c r="J20" i="3"/>
  <c r="J21" i="3"/>
  <c r="J22" i="3"/>
  <c r="J23" i="3"/>
  <c r="J127" i="3"/>
  <c r="K19" i="3"/>
  <c r="K20" i="3"/>
  <c r="K21" i="3"/>
  <c r="K22" i="3"/>
  <c r="K23" i="3"/>
  <c r="K24" i="3"/>
  <c r="K27" i="3"/>
  <c r="K29" i="3"/>
  <c r="K127" i="3"/>
  <c r="L19" i="3"/>
  <c r="L20" i="3"/>
  <c r="L21" i="3"/>
  <c r="L22" i="3"/>
  <c r="L23" i="3"/>
  <c r="L24" i="3"/>
  <c r="L27" i="3"/>
  <c r="L29" i="3"/>
  <c r="L127" i="3"/>
  <c r="M19" i="3"/>
  <c r="M20" i="3"/>
  <c r="M21" i="3"/>
  <c r="M22" i="3"/>
  <c r="M23" i="3"/>
  <c r="M24" i="3"/>
  <c r="M27" i="3"/>
  <c r="M29" i="3"/>
  <c r="M127" i="3"/>
  <c r="N19" i="3"/>
  <c r="N20" i="3"/>
  <c r="N21" i="3"/>
  <c r="N22" i="3"/>
  <c r="N23" i="3"/>
  <c r="N24" i="3"/>
  <c r="N27" i="3"/>
  <c r="N29" i="3"/>
  <c r="N127" i="3"/>
  <c r="O19" i="3"/>
  <c r="O20" i="3"/>
  <c r="O21" i="3"/>
  <c r="O22" i="3"/>
  <c r="O23" i="3"/>
  <c r="O24" i="3"/>
  <c r="O27" i="3"/>
  <c r="O29" i="3"/>
  <c r="O127" i="3"/>
  <c r="P19" i="3"/>
  <c r="P20" i="3"/>
  <c r="P21" i="3"/>
  <c r="P22" i="3"/>
  <c r="P23" i="3"/>
  <c r="P24" i="3"/>
  <c r="P27" i="3"/>
  <c r="P29" i="3"/>
  <c r="P127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127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127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127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127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127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127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127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127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127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127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12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127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127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127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127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127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127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127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127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127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127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127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127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127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127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127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127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127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127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127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127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127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127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127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127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127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127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127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127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127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127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127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G34" i="3"/>
  <c r="BG35" i="3"/>
  <c r="BG36" i="3"/>
  <c r="BG37" i="3"/>
  <c r="BG38" i="3"/>
  <c r="BG39" i="3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BG127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5" i="3"/>
  <c r="BH36" i="3"/>
  <c r="BH37" i="3"/>
  <c r="BH38" i="3"/>
  <c r="BH39" i="3"/>
  <c r="BH40" i="3"/>
  <c r="BH41" i="3"/>
  <c r="BH42" i="3"/>
  <c r="BH43" i="3"/>
  <c r="BH44" i="3"/>
  <c r="BH45" i="3"/>
  <c r="BH46" i="3"/>
  <c r="BH47" i="3"/>
  <c r="BH48" i="3"/>
  <c r="BH49" i="3"/>
  <c r="BH50" i="3"/>
  <c r="BH51" i="3"/>
  <c r="BH52" i="3"/>
  <c r="BH53" i="3"/>
  <c r="BH54" i="3"/>
  <c r="BH55" i="3"/>
  <c r="BH56" i="3"/>
  <c r="BH57" i="3"/>
  <c r="BH58" i="3"/>
  <c r="BH127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127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40" i="3"/>
  <c r="BJ41" i="3"/>
  <c r="BJ42" i="3"/>
  <c r="BJ43" i="3"/>
  <c r="BJ44" i="3"/>
  <c r="BJ45" i="3"/>
  <c r="BJ46" i="3"/>
  <c r="BJ47" i="3"/>
  <c r="BJ48" i="3"/>
  <c r="BJ49" i="3"/>
  <c r="BJ50" i="3"/>
  <c r="BJ51" i="3"/>
  <c r="BJ52" i="3"/>
  <c r="BJ53" i="3"/>
  <c r="BJ54" i="3"/>
  <c r="BJ55" i="3"/>
  <c r="BJ56" i="3"/>
  <c r="BJ57" i="3"/>
  <c r="BJ58" i="3"/>
  <c r="BJ127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3" i="3"/>
  <c r="BK34" i="3"/>
  <c r="BK35" i="3"/>
  <c r="BK36" i="3"/>
  <c r="BK37" i="3"/>
  <c r="BK38" i="3"/>
  <c r="BK39" i="3"/>
  <c r="BK40" i="3"/>
  <c r="BK41" i="3"/>
  <c r="BK42" i="3"/>
  <c r="BK43" i="3"/>
  <c r="BK44" i="3"/>
  <c r="BK45" i="3"/>
  <c r="BK46" i="3"/>
  <c r="BK47" i="3"/>
  <c r="BK48" i="3"/>
  <c r="BK49" i="3"/>
  <c r="BK50" i="3"/>
  <c r="BK51" i="3"/>
  <c r="BK52" i="3"/>
  <c r="BK53" i="3"/>
  <c r="BK54" i="3"/>
  <c r="BK55" i="3"/>
  <c r="BK56" i="3"/>
  <c r="BK57" i="3"/>
  <c r="BK58" i="3"/>
  <c r="BK127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127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D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E19" i="3"/>
  <c r="E20" i="3"/>
  <c r="E21" i="3"/>
  <c r="E22" i="3"/>
  <c r="E129" i="3"/>
  <c r="E128" i="3"/>
  <c r="E127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E111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E68" i="3"/>
  <c r="E67" i="3"/>
  <c r="E66" i="3"/>
  <c r="F59" i="3"/>
  <c r="F64" i="3"/>
  <c r="G59" i="3"/>
  <c r="G64" i="3"/>
  <c r="H59" i="3"/>
  <c r="H64" i="3"/>
  <c r="I59" i="3"/>
  <c r="I64" i="3"/>
  <c r="J59" i="3"/>
  <c r="J64" i="3"/>
  <c r="K59" i="3"/>
  <c r="K64" i="3"/>
  <c r="L59" i="3"/>
  <c r="L64" i="3"/>
  <c r="M59" i="3"/>
  <c r="M64" i="3"/>
  <c r="N59" i="3"/>
  <c r="N64" i="3"/>
  <c r="O59" i="3"/>
  <c r="O64" i="3"/>
  <c r="P59" i="3"/>
  <c r="P64" i="3"/>
  <c r="Q59" i="3"/>
  <c r="Q64" i="3"/>
  <c r="R59" i="3"/>
  <c r="R64" i="3"/>
  <c r="S59" i="3"/>
  <c r="S64" i="3"/>
  <c r="T59" i="3"/>
  <c r="T64" i="3"/>
  <c r="U59" i="3"/>
  <c r="U64" i="3"/>
  <c r="V59" i="3"/>
  <c r="V64" i="3"/>
  <c r="W59" i="3"/>
  <c r="W64" i="3"/>
  <c r="X59" i="3"/>
  <c r="X64" i="3"/>
  <c r="Y59" i="3"/>
  <c r="Y64" i="3"/>
  <c r="Z59" i="3"/>
  <c r="Z64" i="3"/>
  <c r="AA59" i="3"/>
  <c r="AA64" i="3"/>
  <c r="AB59" i="3"/>
  <c r="AB64" i="3"/>
  <c r="AC59" i="3"/>
  <c r="AC64" i="3"/>
  <c r="AD59" i="3"/>
  <c r="AD64" i="3"/>
  <c r="AE59" i="3"/>
  <c r="AE64" i="3"/>
  <c r="AF59" i="3"/>
  <c r="AF64" i="3"/>
  <c r="AG59" i="3"/>
  <c r="AG64" i="3"/>
  <c r="AH59" i="3"/>
  <c r="AH64" i="3"/>
  <c r="AI59" i="3"/>
  <c r="AI64" i="3"/>
  <c r="AJ59" i="3"/>
  <c r="AJ64" i="3"/>
  <c r="AK59" i="3"/>
  <c r="AK64" i="3"/>
  <c r="AL59" i="3"/>
  <c r="AL64" i="3"/>
  <c r="AM59" i="3"/>
  <c r="AM64" i="3"/>
  <c r="AN59" i="3"/>
  <c r="AN64" i="3"/>
  <c r="AO59" i="3"/>
  <c r="AO64" i="3"/>
  <c r="AP59" i="3"/>
  <c r="AP64" i="3"/>
  <c r="AQ59" i="3"/>
  <c r="AQ64" i="3"/>
  <c r="AR59" i="3"/>
  <c r="AR64" i="3"/>
  <c r="AS59" i="3"/>
  <c r="AS64" i="3"/>
  <c r="AT59" i="3"/>
  <c r="AT64" i="3"/>
  <c r="AU59" i="3"/>
  <c r="AU64" i="3"/>
  <c r="AV59" i="3"/>
  <c r="AV64" i="3"/>
  <c r="AW59" i="3"/>
  <c r="AW64" i="3"/>
  <c r="AX59" i="3"/>
  <c r="AX64" i="3"/>
  <c r="AY59" i="3"/>
  <c r="AY64" i="3"/>
  <c r="AZ59" i="3"/>
  <c r="AZ64" i="3"/>
  <c r="BA59" i="3"/>
  <c r="BA64" i="3"/>
  <c r="BB59" i="3"/>
  <c r="BB64" i="3"/>
  <c r="BC59" i="3"/>
  <c r="BC64" i="3"/>
  <c r="BD59" i="3"/>
  <c r="BD64" i="3"/>
  <c r="BE59" i="3"/>
  <c r="BE64" i="3"/>
  <c r="BF59" i="3"/>
  <c r="BF64" i="3"/>
  <c r="BG59" i="3"/>
  <c r="BG64" i="3"/>
  <c r="BH59" i="3"/>
  <c r="BH64" i="3"/>
  <c r="BI59" i="3"/>
  <c r="BI64" i="3"/>
  <c r="BJ59" i="3"/>
  <c r="BJ64" i="3"/>
  <c r="BK59" i="3"/>
  <c r="BK64" i="3"/>
  <c r="BL59" i="3"/>
  <c r="BL64" i="3"/>
  <c r="F60" i="3"/>
  <c r="F65" i="3"/>
  <c r="G60" i="3"/>
  <c r="G65" i="3"/>
  <c r="H60" i="3"/>
  <c r="H65" i="3"/>
  <c r="I60" i="3"/>
  <c r="I65" i="3"/>
  <c r="J60" i="3"/>
  <c r="J65" i="3"/>
  <c r="K60" i="3"/>
  <c r="K65" i="3"/>
  <c r="L60" i="3"/>
  <c r="L65" i="3"/>
  <c r="M60" i="3"/>
  <c r="M65" i="3"/>
  <c r="N60" i="3"/>
  <c r="N65" i="3"/>
  <c r="O60" i="3"/>
  <c r="O65" i="3"/>
  <c r="P60" i="3"/>
  <c r="P65" i="3"/>
  <c r="Q60" i="3"/>
  <c r="Q65" i="3"/>
  <c r="R60" i="3"/>
  <c r="R65" i="3"/>
  <c r="S60" i="3"/>
  <c r="S65" i="3"/>
  <c r="T60" i="3"/>
  <c r="T65" i="3"/>
  <c r="U60" i="3"/>
  <c r="U65" i="3"/>
  <c r="V60" i="3"/>
  <c r="V65" i="3"/>
  <c r="W60" i="3"/>
  <c r="W65" i="3"/>
  <c r="X60" i="3"/>
  <c r="X65" i="3"/>
  <c r="Y60" i="3"/>
  <c r="Y65" i="3"/>
  <c r="Z60" i="3"/>
  <c r="Z65" i="3"/>
  <c r="AA60" i="3"/>
  <c r="AA65" i="3"/>
  <c r="AB60" i="3"/>
  <c r="AB65" i="3"/>
  <c r="AC60" i="3"/>
  <c r="AC65" i="3"/>
  <c r="AD60" i="3"/>
  <c r="AD65" i="3"/>
  <c r="AE60" i="3"/>
  <c r="AE65" i="3"/>
  <c r="AF60" i="3"/>
  <c r="AF65" i="3"/>
  <c r="AG60" i="3"/>
  <c r="AG65" i="3"/>
  <c r="AH60" i="3"/>
  <c r="AH65" i="3"/>
  <c r="AI60" i="3"/>
  <c r="AI65" i="3"/>
  <c r="AJ60" i="3"/>
  <c r="AJ65" i="3"/>
  <c r="AK60" i="3"/>
  <c r="AK65" i="3"/>
  <c r="AL60" i="3"/>
  <c r="AL65" i="3"/>
  <c r="AM60" i="3"/>
  <c r="AM65" i="3"/>
  <c r="AN60" i="3"/>
  <c r="AN65" i="3"/>
  <c r="AO60" i="3"/>
  <c r="AO65" i="3"/>
  <c r="AP60" i="3"/>
  <c r="AP65" i="3"/>
  <c r="AQ60" i="3"/>
  <c r="AQ65" i="3"/>
  <c r="AR60" i="3"/>
  <c r="AR65" i="3"/>
  <c r="AS60" i="3"/>
  <c r="AS65" i="3"/>
  <c r="AT60" i="3"/>
  <c r="AT65" i="3"/>
  <c r="AU60" i="3"/>
  <c r="AU65" i="3"/>
  <c r="AV60" i="3"/>
  <c r="AV65" i="3"/>
  <c r="AW60" i="3"/>
  <c r="AW65" i="3"/>
  <c r="AX60" i="3"/>
  <c r="AX65" i="3"/>
  <c r="AY60" i="3"/>
  <c r="AY65" i="3"/>
  <c r="AZ60" i="3"/>
  <c r="AZ65" i="3"/>
  <c r="BA60" i="3"/>
  <c r="BA65" i="3"/>
  <c r="BB60" i="3"/>
  <c r="BB65" i="3"/>
  <c r="BC60" i="3"/>
  <c r="BC65" i="3"/>
  <c r="BD60" i="3"/>
  <c r="BD65" i="3"/>
  <c r="BE60" i="3"/>
  <c r="BE65" i="3"/>
  <c r="BF60" i="3"/>
  <c r="BF65" i="3"/>
  <c r="BG60" i="3"/>
  <c r="BG65" i="3"/>
  <c r="BH60" i="3"/>
  <c r="BH65" i="3"/>
  <c r="BI60" i="3"/>
  <c r="BI65" i="3"/>
  <c r="BJ60" i="3"/>
  <c r="BJ65" i="3"/>
  <c r="BK60" i="3"/>
  <c r="BK65" i="3"/>
  <c r="BL60" i="3"/>
  <c r="BL65" i="3"/>
  <c r="E59" i="3"/>
  <c r="E64" i="3"/>
  <c r="E60" i="3"/>
  <c r="E65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E63" i="3"/>
  <c r="BA62" i="3"/>
  <c r="AO62" i="3"/>
  <c r="AC62" i="3"/>
  <c r="Q62" i="3"/>
  <c r="E62" i="3"/>
  <c r="BL61" i="3"/>
  <c r="AZ61" i="3"/>
  <c r="AN61" i="3"/>
  <c r="AB61" i="3"/>
  <c r="P61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G17" i="3"/>
  <c r="F17" i="3"/>
  <c r="H17" i="3"/>
  <c r="E17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BB148" i="3"/>
  <c r="BC148" i="3"/>
  <c r="BD148" i="3"/>
  <c r="BE148" i="3"/>
  <c r="BF148" i="3"/>
  <c r="BG148" i="3"/>
  <c r="BH148" i="3"/>
  <c r="BI148" i="3"/>
  <c r="BJ148" i="3"/>
  <c r="BK148" i="3"/>
  <c r="BL148" i="3"/>
  <c r="BA148" i="3"/>
  <c r="AP148" i="3"/>
  <c r="AQ148" i="3"/>
  <c r="AR148" i="3"/>
  <c r="AS148" i="3"/>
  <c r="AT148" i="3"/>
  <c r="AU148" i="3"/>
  <c r="AV148" i="3"/>
  <c r="AW148" i="3"/>
  <c r="AX148" i="3"/>
  <c r="AY148" i="3"/>
  <c r="AZ148" i="3"/>
  <c r="AO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T148" i="3"/>
  <c r="U148" i="3"/>
  <c r="V148" i="3"/>
  <c r="W148" i="3"/>
  <c r="X148" i="3"/>
  <c r="Y148" i="3"/>
  <c r="R148" i="3"/>
  <c r="S148" i="3"/>
  <c r="Q148" i="3"/>
  <c r="F148" i="3"/>
  <c r="G148" i="3"/>
  <c r="H148" i="3"/>
  <c r="I148" i="3"/>
  <c r="J148" i="3"/>
  <c r="K148" i="3"/>
  <c r="L148" i="3"/>
  <c r="M148" i="3"/>
  <c r="N148" i="3"/>
  <c r="O148" i="3"/>
  <c r="P148" i="3"/>
  <c r="E148" i="3"/>
  <c r="L7" i="14"/>
  <c r="E147" i="3"/>
  <c r="E166" i="3"/>
  <c r="E9" i="10"/>
  <c r="F4" i="16"/>
  <c r="M4" i="16"/>
  <c r="F5" i="16"/>
  <c r="M5" i="16"/>
  <c r="F6" i="16"/>
  <c r="M6" i="16"/>
  <c r="F7" i="16"/>
  <c r="M7" i="16"/>
  <c r="E4" i="16"/>
  <c r="L4" i="16"/>
  <c r="E5" i="16"/>
  <c r="L5" i="16"/>
  <c r="E6" i="16"/>
  <c r="E7" i="16"/>
  <c r="L7" i="16"/>
  <c r="D4" i="16"/>
  <c r="K4" i="16"/>
  <c r="D5" i="16"/>
  <c r="K5" i="16"/>
  <c r="D6" i="16"/>
  <c r="K6" i="16"/>
  <c r="D7" i="16"/>
  <c r="H77" i="3"/>
  <c r="H70" i="3"/>
  <c r="K7" i="16"/>
  <c r="J3" i="16"/>
  <c r="K3" i="16"/>
  <c r="L3" i="16"/>
  <c r="M3" i="16"/>
  <c r="C3" i="16"/>
  <c r="D3" i="16"/>
  <c r="E3" i="16"/>
  <c r="F3" i="16"/>
  <c r="BL126" i="3"/>
  <c r="BL81" i="3"/>
  <c r="BL80" i="3"/>
  <c r="BL159" i="3"/>
  <c r="BL88" i="3"/>
  <c r="BL160" i="3"/>
  <c r="BL101" i="3"/>
  <c r="BL161" i="3"/>
  <c r="BL118" i="3"/>
  <c r="BL163" i="3"/>
  <c r="BL147" i="3"/>
  <c r="BL166" i="3"/>
  <c r="BK126" i="3"/>
  <c r="BK81" i="3"/>
  <c r="BK80" i="3"/>
  <c r="BK159" i="3"/>
  <c r="BK88" i="3"/>
  <c r="BK160" i="3"/>
  <c r="BK101" i="3"/>
  <c r="BK161" i="3"/>
  <c r="BK118" i="3"/>
  <c r="BK163" i="3"/>
  <c r="BK147" i="3"/>
  <c r="BK166" i="3"/>
  <c r="BJ126" i="3"/>
  <c r="BJ81" i="3"/>
  <c r="BJ80" i="3"/>
  <c r="BJ159" i="3"/>
  <c r="BJ88" i="3"/>
  <c r="BJ160" i="3"/>
  <c r="BJ101" i="3"/>
  <c r="BJ161" i="3"/>
  <c r="BJ118" i="3"/>
  <c r="BJ163" i="3"/>
  <c r="BJ147" i="3"/>
  <c r="BJ166" i="3"/>
  <c r="BI126" i="3"/>
  <c r="BI81" i="3"/>
  <c r="BI80" i="3"/>
  <c r="BI159" i="3"/>
  <c r="BI88" i="3"/>
  <c r="BI160" i="3"/>
  <c r="BI101" i="3"/>
  <c r="BI161" i="3"/>
  <c r="BI118" i="3"/>
  <c r="BI163" i="3"/>
  <c r="BI147" i="3"/>
  <c r="BI166" i="3"/>
  <c r="BH126" i="3"/>
  <c r="BH81" i="3"/>
  <c r="BH80" i="3"/>
  <c r="BH159" i="3"/>
  <c r="BH88" i="3"/>
  <c r="BH160" i="3"/>
  <c r="BH101" i="3"/>
  <c r="BH161" i="3"/>
  <c r="BH118" i="3"/>
  <c r="BH163" i="3"/>
  <c r="BH147" i="3"/>
  <c r="BH166" i="3"/>
  <c r="BG126" i="3"/>
  <c r="BG81" i="3"/>
  <c r="BG80" i="3"/>
  <c r="BG159" i="3"/>
  <c r="BG88" i="3"/>
  <c r="BG160" i="3"/>
  <c r="BG101" i="3"/>
  <c r="BG161" i="3"/>
  <c r="BG118" i="3"/>
  <c r="BG163" i="3"/>
  <c r="BG132" i="3"/>
  <c r="BG165" i="3" s="1"/>
  <c r="BG155" i="3" s="1"/>
  <c r="BG147" i="3"/>
  <c r="BG166" i="3"/>
  <c r="BF126" i="3"/>
  <c r="BF81" i="3"/>
  <c r="BF80" i="3"/>
  <c r="BF159" i="3"/>
  <c r="BF88" i="3"/>
  <c r="BF160" i="3"/>
  <c r="BF101" i="3"/>
  <c r="BF161" i="3"/>
  <c r="BF118" i="3"/>
  <c r="BF163" i="3"/>
  <c r="BF147" i="3"/>
  <c r="BF166" i="3"/>
  <c r="BE126" i="3"/>
  <c r="BE81" i="3"/>
  <c r="BE80" i="3"/>
  <c r="BE159" i="3"/>
  <c r="BE88" i="3"/>
  <c r="BE160" i="3"/>
  <c r="BE101" i="3"/>
  <c r="BE161" i="3"/>
  <c r="BE118" i="3"/>
  <c r="BE163" i="3"/>
  <c r="BE147" i="3"/>
  <c r="BE166" i="3"/>
  <c r="BD126" i="3"/>
  <c r="BD81" i="3"/>
  <c r="BD80" i="3"/>
  <c r="BD159" i="3"/>
  <c r="BD88" i="3"/>
  <c r="BD160" i="3"/>
  <c r="BD101" i="3"/>
  <c r="BD161" i="3"/>
  <c r="BD118" i="3"/>
  <c r="BD163" i="3"/>
  <c r="BD132" i="3"/>
  <c r="BD165" i="3" s="1"/>
  <c r="BD155" i="3" s="1"/>
  <c r="BD16" i="3" s="1"/>
  <c r="BD4" i="3" s="1"/>
  <c r="BE4" i="14" s="1"/>
  <c r="BD147" i="3"/>
  <c r="BD166" i="3"/>
  <c r="BC126" i="3"/>
  <c r="BC81" i="3"/>
  <c r="BC80" i="3"/>
  <c r="BC159" i="3"/>
  <c r="BC88" i="3"/>
  <c r="BC160" i="3"/>
  <c r="BC101" i="3"/>
  <c r="BC161" i="3"/>
  <c r="BC118" i="3"/>
  <c r="BC163" i="3"/>
  <c r="BC147" i="3"/>
  <c r="BC166" i="3"/>
  <c r="BB126" i="3"/>
  <c r="BB81" i="3"/>
  <c r="BB80" i="3"/>
  <c r="BB159" i="3"/>
  <c r="BB88" i="3"/>
  <c r="BB160" i="3"/>
  <c r="BB101" i="3"/>
  <c r="BB161" i="3"/>
  <c r="BB118" i="3"/>
  <c r="BB163" i="3"/>
  <c r="BB147" i="3"/>
  <c r="BB166" i="3"/>
  <c r="BA126" i="3"/>
  <c r="BA81" i="3"/>
  <c r="BA80" i="3"/>
  <c r="BA159" i="3"/>
  <c r="BA88" i="3"/>
  <c r="BA160" i="3"/>
  <c r="BA101" i="3"/>
  <c r="BA161" i="3"/>
  <c r="BA118" i="3"/>
  <c r="BA163" i="3"/>
  <c r="BA147" i="3"/>
  <c r="BA166" i="3"/>
  <c r="AZ126" i="3"/>
  <c r="AZ81" i="3"/>
  <c r="AZ80" i="3"/>
  <c r="AZ159" i="3"/>
  <c r="AZ88" i="3"/>
  <c r="AZ160" i="3"/>
  <c r="AZ101" i="3"/>
  <c r="AZ161" i="3"/>
  <c r="AZ118" i="3"/>
  <c r="AZ163" i="3"/>
  <c r="AZ147" i="3"/>
  <c r="AZ166" i="3"/>
  <c r="AY126" i="3"/>
  <c r="AY81" i="3"/>
  <c r="AY80" i="3"/>
  <c r="AY159" i="3"/>
  <c r="AY88" i="3"/>
  <c r="AY160" i="3"/>
  <c r="AY101" i="3"/>
  <c r="AY161" i="3"/>
  <c r="AY118" i="3"/>
  <c r="AY163" i="3"/>
  <c r="AY147" i="3"/>
  <c r="AY166" i="3"/>
  <c r="AX126" i="3"/>
  <c r="AX81" i="3"/>
  <c r="AX80" i="3"/>
  <c r="AX159" i="3"/>
  <c r="AX88" i="3"/>
  <c r="AX160" i="3"/>
  <c r="AX101" i="3"/>
  <c r="AX161" i="3"/>
  <c r="AX118" i="3"/>
  <c r="AX163" i="3"/>
  <c r="AX132" i="3"/>
  <c r="AX165" i="3" s="1"/>
  <c r="AX155" i="3" s="1"/>
  <c r="AX16" i="3" s="1"/>
  <c r="AX4" i="3" s="1"/>
  <c r="AY4" i="14" s="1"/>
  <c r="AX147" i="3"/>
  <c r="AX166" i="3"/>
  <c r="AW126" i="3"/>
  <c r="AW81" i="3"/>
  <c r="AW80" i="3"/>
  <c r="AW159" i="3"/>
  <c r="AW88" i="3"/>
  <c r="AW160" i="3"/>
  <c r="AW101" i="3"/>
  <c r="AW161" i="3"/>
  <c r="AW118" i="3"/>
  <c r="AW163" i="3"/>
  <c r="AW147" i="3"/>
  <c r="AW166" i="3"/>
  <c r="AV126" i="3"/>
  <c r="AV81" i="3"/>
  <c r="AV80" i="3"/>
  <c r="AV159" i="3"/>
  <c r="AV88" i="3"/>
  <c r="AV160" i="3"/>
  <c r="AV101" i="3"/>
  <c r="AV161" i="3"/>
  <c r="AV118" i="3"/>
  <c r="AV163" i="3"/>
  <c r="AV147" i="3"/>
  <c r="AV166" i="3"/>
  <c r="AU126" i="3"/>
  <c r="AU81" i="3"/>
  <c r="AU80" i="3"/>
  <c r="AU159" i="3"/>
  <c r="AU88" i="3"/>
  <c r="AU160" i="3"/>
  <c r="AU101" i="3"/>
  <c r="AU161" i="3"/>
  <c r="AU118" i="3"/>
  <c r="AU163" i="3"/>
  <c r="AU147" i="3"/>
  <c r="AU166" i="3"/>
  <c r="AT126" i="3"/>
  <c r="AT81" i="3"/>
  <c r="AT80" i="3"/>
  <c r="AT159" i="3"/>
  <c r="AT88" i="3"/>
  <c r="AT160" i="3"/>
  <c r="AT101" i="3"/>
  <c r="AT161" i="3"/>
  <c r="AT118" i="3"/>
  <c r="AT163" i="3"/>
  <c r="AT147" i="3"/>
  <c r="AT166" i="3"/>
  <c r="AS126" i="3"/>
  <c r="AS81" i="3"/>
  <c r="AS80" i="3"/>
  <c r="AS159" i="3"/>
  <c r="AS88" i="3"/>
  <c r="AS160" i="3"/>
  <c r="AS101" i="3"/>
  <c r="AS161" i="3"/>
  <c r="AS118" i="3"/>
  <c r="AS163" i="3"/>
  <c r="AS147" i="3"/>
  <c r="AS166" i="3"/>
  <c r="AR126" i="3"/>
  <c r="AR81" i="3"/>
  <c r="AR80" i="3"/>
  <c r="AR159" i="3"/>
  <c r="AR88" i="3"/>
  <c r="AR160" i="3"/>
  <c r="AR101" i="3"/>
  <c r="AR161" i="3"/>
  <c r="AR118" i="3"/>
  <c r="AR163" i="3"/>
  <c r="AR147" i="3"/>
  <c r="AR166" i="3"/>
  <c r="AQ126" i="3"/>
  <c r="AQ81" i="3"/>
  <c r="AQ80" i="3"/>
  <c r="AQ159" i="3"/>
  <c r="AQ88" i="3"/>
  <c r="AQ160" i="3"/>
  <c r="AQ101" i="3"/>
  <c r="AQ161" i="3"/>
  <c r="AQ118" i="3"/>
  <c r="AQ163" i="3"/>
  <c r="AQ147" i="3"/>
  <c r="AQ166" i="3"/>
  <c r="AP126" i="3"/>
  <c r="AP81" i="3"/>
  <c r="AP80" i="3"/>
  <c r="AP159" i="3"/>
  <c r="AP88" i="3"/>
  <c r="AP160" i="3"/>
  <c r="AP101" i="3"/>
  <c r="AP161" i="3"/>
  <c r="AP118" i="3"/>
  <c r="AP163" i="3"/>
  <c r="AP147" i="3"/>
  <c r="AP166" i="3"/>
  <c r="AO126" i="3"/>
  <c r="AO81" i="3"/>
  <c r="AO80" i="3"/>
  <c r="AO159" i="3"/>
  <c r="AO88" i="3"/>
  <c r="AO160" i="3"/>
  <c r="AO101" i="3"/>
  <c r="AO161" i="3"/>
  <c r="AO118" i="3"/>
  <c r="AO163" i="3"/>
  <c r="AO147" i="3"/>
  <c r="AO166" i="3"/>
  <c r="AN126" i="3"/>
  <c r="AN81" i="3"/>
  <c r="AN80" i="3"/>
  <c r="AN159" i="3"/>
  <c r="AN88" i="3"/>
  <c r="AN160" i="3"/>
  <c r="AN101" i="3"/>
  <c r="AN161" i="3"/>
  <c r="AN118" i="3"/>
  <c r="AN163" i="3"/>
  <c r="AN147" i="3"/>
  <c r="AN166" i="3"/>
  <c r="AM126" i="3"/>
  <c r="AM81" i="3"/>
  <c r="AM80" i="3"/>
  <c r="AM159" i="3"/>
  <c r="AM88" i="3"/>
  <c r="AM160" i="3"/>
  <c r="AM101" i="3"/>
  <c r="AM161" i="3"/>
  <c r="AM118" i="3"/>
  <c r="AM163" i="3"/>
  <c r="AM147" i="3"/>
  <c r="AM166" i="3"/>
  <c r="AL126" i="3"/>
  <c r="AL81" i="3"/>
  <c r="AL80" i="3"/>
  <c r="AL159" i="3"/>
  <c r="AL88" i="3"/>
  <c r="AL160" i="3"/>
  <c r="AL101" i="3"/>
  <c r="AL161" i="3"/>
  <c r="AL118" i="3"/>
  <c r="AL163" i="3"/>
  <c r="AL147" i="3"/>
  <c r="AL166" i="3"/>
  <c r="AK126" i="3"/>
  <c r="AK81" i="3"/>
  <c r="AK80" i="3"/>
  <c r="AK159" i="3"/>
  <c r="AK88" i="3"/>
  <c r="AK160" i="3"/>
  <c r="AK101" i="3"/>
  <c r="AK161" i="3"/>
  <c r="AK118" i="3"/>
  <c r="AK163" i="3"/>
  <c r="AK147" i="3"/>
  <c r="AK166" i="3"/>
  <c r="AJ126" i="3"/>
  <c r="AJ81" i="3"/>
  <c r="AJ80" i="3"/>
  <c r="AJ159" i="3"/>
  <c r="AJ88" i="3"/>
  <c r="AJ160" i="3"/>
  <c r="AJ101" i="3"/>
  <c r="AJ161" i="3"/>
  <c r="AJ118" i="3"/>
  <c r="AJ163" i="3"/>
  <c r="AJ147" i="3"/>
  <c r="AJ166" i="3"/>
  <c r="AI126" i="3"/>
  <c r="AI81" i="3"/>
  <c r="AI80" i="3"/>
  <c r="AI159" i="3"/>
  <c r="AI88" i="3"/>
  <c r="AI160" i="3"/>
  <c r="AI101" i="3"/>
  <c r="AI161" i="3"/>
  <c r="AI118" i="3"/>
  <c r="AI163" i="3"/>
  <c r="AI147" i="3"/>
  <c r="AI166" i="3"/>
  <c r="AH126" i="3"/>
  <c r="AH81" i="3"/>
  <c r="AH80" i="3"/>
  <c r="AH159" i="3"/>
  <c r="AH88" i="3"/>
  <c r="AH160" i="3"/>
  <c r="AH101" i="3"/>
  <c r="AH161" i="3"/>
  <c r="AH118" i="3"/>
  <c r="AH163" i="3"/>
  <c r="AH147" i="3"/>
  <c r="AH166" i="3"/>
  <c r="AG126" i="3"/>
  <c r="AG81" i="3"/>
  <c r="AG80" i="3"/>
  <c r="AG159" i="3"/>
  <c r="AG88" i="3"/>
  <c r="AG160" i="3"/>
  <c r="AG101" i="3"/>
  <c r="AG161" i="3"/>
  <c r="AG118" i="3"/>
  <c r="AG163" i="3"/>
  <c r="AG147" i="3"/>
  <c r="AG166" i="3"/>
  <c r="AF126" i="3"/>
  <c r="AF81" i="3"/>
  <c r="AF80" i="3"/>
  <c r="AF159" i="3"/>
  <c r="AF88" i="3"/>
  <c r="AF160" i="3"/>
  <c r="AF101" i="3"/>
  <c r="AF161" i="3"/>
  <c r="AF118" i="3"/>
  <c r="AF163" i="3"/>
  <c r="AF147" i="3"/>
  <c r="AF166" i="3"/>
  <c r="AE126" i="3"/>
  <c r="AE81" i="3"/>
  <c r="AE80" i="3"/>
  <c r="AE159" i="3"/>
  <c r="AE88" i="3"/>
  <c r="AE160" i="3"/>
  <c r="AE101" i="3"/>
  <c r="AE161" i="3"/>
  <c r="AE118" i="3"/>
  <c r="AE163" i="3"/>
  <c r="AE147" i="3"/>
  <c r="AE166" i="3"/>
  <c r="AD126" i="3"/>
  <c r="AD81" i="3"/>
  <c r="AD80" i="3"/>
  <c r="AD159" i="3"/>
  <c r="AD88" i="3"/>
  <c r="AD160" i="3"/>
  <c r="AD101" i="3"/>
  <c r="AD161" i="3"/>
  <c r="AD118" i="3"/>
  <c r="AD163" i="3"/>
  <c r="AD147" i="3"/>
  <c r="AD166" i="3"/>
  <c r="AC126" i="3"/>
  <c r="AC81" i="3"/>
  <c r="AC80" i="3"/>
  <c r="AC159" i="3"/>
  <c r="AC88" i="3"/>
  <c r="AC160" i="3"/>
  <c r="AC101" i="3"/>
  <c r="AC161" i="3"/>
  <c r="AC118" i="3"/>
  <c r="AC163" i="3"/>
  <c r="AC147" i="3"/>
  <c r="AC166" i="3"/>
  <c r="AB81" i="3"/>
  <c r="AB80" i="3"/>
  <c r="AB159" i="3"/>
  <c r="AB88" i="3"/>
  <c r="AB160" i="3"/>
  <c r="AB101" i="3"/>
  <c r="AB161" i="3"/>
  <c r="AB118" i="3"/>
  <c r="AB163" i="3"/>
  <c r="AB126" i="3"/>
  <c r="AB147" i="3"/>
  <c r="AB166" i="3"/>
  <c r="AA81" i="3"/>
  <c r="AA80" i="3"/>
  <c r="AA159" i="3"/>
  <c r="AA88" i="3"/>
  <c r="AA160" i="3"/>
  <c r="AA101" i="3"/>
  <c r="AA161" i="3"/>
  <c r="AA118" i="3"/>
  <c r="AA163" i="3"/>
  <c r="AA126" i="3"/>
  <c r="AA147" i="3"/>
  <c r="AA166" i="3"/>
  <c r="Z81" i="3"/>
  <c r="Z80" i="3"/>
  <c r="Z159" i="3"/>
  <c r="Z88" i="3"/>
  <c r="Z160" i="3"/>
  <c r="Z101" i="3"/>
  <c r="Z161" i="3"/>
  <c r="Z118" i="3"/>
  <c r="Z163" i="3"/>
  <c r="Z126" i="3"/>
  <c r="Z147" i="3"/>
  <c r="Z166" i="3"/>
  <c r="Y81" i="3"/>
  <c r="Y80" i="3"/>
  <c r="Y159" i="3"/>
  <c r="Y88" i="3"/>
  <c r="Y160" i="3"/>
  <c r="Y101" i="3"/>
  <c r="Y161" i="3"/>
  <c r="Y118" i="3"/>
  <c r="Y163" i="3"/>
  <c r="Y126" i="3"/>
  <c r="Y147" i="3"/>
  <c r="Y166" i="3"/>
  <c r="X81" i="3"/>
  <c r="X80" i="3"/>
  <c r="X159" i="3"/>
  <c r="X88" i="3"/>
  <c r="X160" i="3"/>
  <c r="X101" i="3"/>
  <c r="X161" i="3"/>
  <c r="X118" i="3"/>
  <c r="X163" i="3"/>
  <c r="X126" i="3"/>
  <c r="X147" i="3"/>
  <c r="X166" i="3"/>
  <c r="W81" i="3"/>
  <c r="W80" i="3"/>
  <c r="W159" i="3"/>
  <c r="W88" i="3"/>
  <c r="W160" i="3"/>
  <c r="W101" i="3"/>
  <c r="W161" i="3"/>
  <c r="W118" i="3"/>
  <c r="W163" i="3"/>
  <c r="W126" i="3"/>
  <c r="W147" i="3"/>
  <c r="W166" i="3"/>
  <c r="V81" i="3"/>
  <c r="V80" i="3"/>
  <c r="V159" i="3"/>
  <c r="V88" i="3"/>
  <c r="V160" i="3"/>
  <c r="V101" i="3"/>
  <c r="V161" i="3"/>
  <c r="V118" i="3"/>
  <c r="V163" i="3"/>
  <c r="V126" i="3"/>
  <c r="V147" i="3"/>
  <c r="V166" i="3"/>
  <c r="U81" i="3"/>
  <c r="U80" i="3"/>
  <c r="U159" i="3"/>
  <c r="U88" i="3"/>
  <c r="U160" i="3"/>
  <c r="U101" i="3"/>
  <c r="U161" i="3"/>
  <c r="U118" i="3"/>
  <c r="U163" i="3"/>
  <c r="U126" i="3"/>
  <c r="U147" i="3"/>
  <c r="U166" i="3"/>
  <c r="T81" i="3"/>
  <c r="T80" i="3"/>
  <c r="T159" i="3"/>
  <c r="T88" i="3"/>
  <c r="T160" i="3"/>
  <c r="T101" i="3"/>
  <c r="T161" i="3"/>
  <c r="T118" i="3"/>
  <c r="T163" i="3"/>
  <c r="T126" i="3"/>
  <c r="T147" i="3"/>
  <c r="T166" i="3"/>
  <c r="S81" i="3"/>
  <c r="S80" i="3"/>
  <c r="S159" i="3"/>
  <c r="S88" i="3"/>
  <c r="S160" i="3"/>
  <c r="S101" i="3"/>
  <c r="S161" i="3"/>
  <c r="S118" i="3"/>
  <c r="S163" i="3"/>
  <c r="S126" i="3"/>
  <c r="S147" i="3"/>
  <c r="S166" i="3"/>
  <c r="R81" i="3"/>
  <c r="R80" i="3"/>
  <c r="R159" i="3"/>
  <c r="R88" i="3"/>
  <c r="R160" i="3"/>
  <c r="R101" i="3"/>
  <c r="R161" i="3"/>
  <c r="R118" i="3"/>
  <c r="R163" i="3"/>
  <c r="R126" i="3"/>
  <c r="R147" i="3"/>
  <c r="R166" i="3"/>
  <c r="Q126" i="3"/>
  <c r="Q81" i="3"/>
  <c r="Q80" i="3"/>
  <c r="Q159" i="3"/>
  <c r="Q88" i="3"/>
  <c r="Q160" i="3"/>
  <c r="Q101" i="3"/>
  <c r="Q161" i="3"/>
  <c r="Q118" i="3"/>
  <c r="Q163" i="3"/>
  <c r="Q147" i="3"/>
  <c r="Q166" i="3"/>
  <c r="P81" i="3"/>
  <c r="P80" i="3"/>
  <c r="P159" i="3"/>
  <c r="P88" i="3"/>
  <c r="P160" i="3"/>
  <c r="P101" i="3"/>
  <c r="P161" i="3"/>
  <c r="P118" i="3"/>
  <c r="P163" i="3"/>
  <c r="P126" i="3"/>
  <c r="P147" i="3"/>
  <c r="P166" i="3"/>
  <c r="O81" i="3"/>
  <c r="O80" i="3"/>
  <c r="O159" i="3"/>
  <c r="O88" i="3"/>
  <c r="O160" i="3"/>
  <c r="O101" i="3"/>
  <c r="O161" i="3"/>
  <c r="O118" i="3"/>
  <c r="O163" i="3"/>
  <c r="O126" i="3"/>
  <c r="O147" i="3"/>
  <c r="O166" i="3"/>
  <c r="N81" i="3"/>
  <c r="N80" i="3"/>
  <c r="N159" i="3"/>
  <c r="N88" i="3"/>
  <c r="N160" i="3"/>
  <c r="N101" i="3"/>
  <c r="N161" i="3"/>
  <c r="N118" i="3"/>
  <c r="N163" i="3"/>
  <c r="N126" i="3"/>
  <c r="N147" i="3"/>
  <c r="N166" i="3"/>
  <c r="M81" i="3"/>
  <c r="M80" i="3"/>
  <c r="M159" i="3"/>
  <c r="M88" i="3"/>
  <c r="M160" i="3"/>
  <c r="M101" i="3"/>
  <c r="M161" i="3"/>
  <c r="M118" i="3"/>
  <c r="M163" i="3"/>
  <c r="M126" i="3"/>
  <c r="M147" i="3"/>
  <c r="M166" i="3"/>
  <c r="L81" i="3"/>
  <c r="L80" i="3"/>
  <c r="L159" i="3"/>
  <c r="L88" i="3"/>
  <c r="L160" i="3"/>
  <c r="L101" i="3"/>
  <c r="L161" i="3"/>
  <c r="L118" i="3"/>
  <c r="L163" i="3"/>
  <c r="L126" i="3"/>
  <c r="L147" i="3"/>
  <c r="L166" i="3"/>
  <c r="K126" i="3"/>
  <c r="K81" i="3"/>
  <c r="K80" i="3"/>
  <c r="K88" i="3"/>
  <c r="K160" i="3"/>
  <c r="K101" i="3"/>
  <c r="K161" i="3"/>
  <c r="K118" i="3"/>
  <c r="K163" i="3"/>
  <c r="K147" i="3"/>
  <c r="K166" i="3"/>
  <c r="J126" i="3"/>
  <c r="J81" i="3"/>
  <c r="J80" i="3"/>
  <c r="J159" i="3"/>
  <c r="J88" i="3"/>
  <c r="J160" i="3"/>
  <c r="J101" i="3"/>
  <c r="J161" i="3"/>
  <c r="J118" i="3"/>
  <c r="J163" i="3"/>
  <c r="J132" i="3"/>
  <c r="J165" i="3"/>
  <c r="J147" i="3"/>
  <c r="J166" i="3"/>
  <c r="I126" i="3"/>
  <c r="I81" i="3"/>
  <c r="I80" i="3"/>
  <c r="I159" i="3"/>
  <c r="I88" i="3"/>
  <c r="I160" i="3"/>
  <c r="I101" i="3"/>
  <c r="I161" i="3"/>
  <c r="I118" i="3"/>
  <c r="I163" i="3"/>
  <c r="I132" i="3"/>
  <c r="I165" i="3"/>
  <c r="I147" i="3"/>
  <c r="I166" i="3"/>
  <c r="H126" i="3"/>
  <c r="H81" i="3"/>
  <c r="H80" i="3"/>
  <c r="H159" i="3"/>
  <c r="H88" i="3"/>
  <c r="H160" i="3"/>
  <c r="H101" i="3"/>
  <c r="H161" i="3"/>
  <c r="H118" i="3"/>
  <c r="H163" i="3"/>
  <c r="H132" i="3"/>
  <c r="H165" i="3"/>
  <c r="H147" i="3"/>
  <c r="H166" i="3"/>
  <c r="G77" i="3"/>
  <c r="G70" i="3"/>
  <c r="G158" i="3"/>
  <c r="G81" i="3"/>
  <c r="G80" i="3"/>
  <c r="G159" i="3"/>
  <c r="G88" i="3"/>
  <c r="G160" i="3"/>
  <c r="G101" i="3"/>
  <c r="G118" i="3"/>
  <c r="G163" i="3"/>
  <c r="G126" i="3"/>
  <c r="G132" i="3"/>
  <c r="G165" i="3"/>
  <c r="G147" i="3"/>
  <c r="G166" i="3"/>
  <c r="G161" i="3"/>
  <c r="F77" i="3"/>
  <c r="F70" i="3"/>
  <c r="F158" i="3"/>
  <c r="F81" i="3"/>
  <c r="F80" i="3"/>
  <c r="F159" i="3"/>
  <c r="F88" i="3"/>
  <c r="F160" i="3"/>
  <c r="F101" i="3"/>
  <c r="F161" i="3"/>
  <c r="F118" i="3"/>
  <c r="F163" i="3"/>
  <c r="F126" i="3"/>
  <c r="F132" i="3"/>
  <c r="F165" i="3"/>
  <c r="F147" i="3"/>
  <c r="F166" i="3"/>
  <c r="E77" i="3"/>
  <c r="E70" i="3"/>
  <c r="E158" i="3"/>
  <c r="E81" i="3"/>
  <c r="E80" i="3"/>
  <c r="E159" i="3"/>
  <c r="E88" i="3"/>
  <c r="E160" i="3"/>
  <c r="E101" i="3"/>
  <c r="E118" i="3"/>
  <c r="E163" i="3"/>
  <c r="E126" i="3"/>
  <c r="E132" i="3"/>
  <c r="E165" i="3"/>
  <c r="BF12" i="14"/>
  <c r="AZ12" i="14"/>
  <c r="BA12" i="14" s="1"/>
  <c r="BA11" i="14" s="1"/>
  <c r="BI8" i="14"/>
  <c r="BI7" i="14" s="1"/>
  <c r="BI10" i="14"/>
  <c r="BH7" i="14"/>
  <c r="BB7" i="14"/>
  <c r="BC10" i="14"/>
  <c r="G2" i="14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AH2" i="14" s="1"/>
  <c r="AI2" i="14" s="1"/>
  <c r="AJ2" i="14" s="1"/>
  <c r="AK2" i="14" s="1"/>
  <c r="AL2" i="14" s="1"/>
  <c r="AM2" i="14" s="1"/>
  <c r="AN2" i="14" s="1"/>
  <c r="AO2" i="14" s="1"/>
  <c r="AP2" i="14" s="1"/>
  <c r="AQ2" i="14" s="1"/>
  <c r="AR2" i="14" s="1"/>
  <c r="AS2" i="14" s="1"/>
  <c r="AT2" i="14" s="1"/>
  <c r="AU2" i="14" s="1"/>
  <c r="AV2" i="14" s="1"/>
  <c r="AW2" i="14" s="1"/>
  <c r="AX2" i="14" s="1"/>
  <c r="AY2" i="14" s="1"/>
  <c r="AZ2" i="14" s="1"/>
  <c r="BA2" i="14" s="1"/>
  <c r="BB2" i="14" s="1"/>
  <c r="BC2" i="14" s="1"/>
  <c r="BD2" i="14" s="1"/>
  <c r="BE2" i="14" s="1"/>
  <c r="BF2" i="14" s="1"/>
  <c r="BG2" i="14" s="1"/>
  <c r="BH2" i="14" s="1"/>
  <c r="BI2" i="14" s="1"/>
  <c r="BJ2" i="14" s="1"/>
  <c r="BK2" i="14" s="1"/>
  <c r="BL2" i="14" s="1"/>
  <c r="BM2" i="14" s="1"/>
  <c r="R1" i="14"/>
  <c r="AD1" i="14" s="1"/>
  <c r="AP1" i="14" s="1"/>
  <c r="BB1" i="14" s="1"/>
  <c r="AW8" i="14"/>
  <c r="AW12" i="14"/>
  <c r="AW11" i="14" s="1"/>
  <c r="AQ8" i="14"/>
  <c r="AQ7" i="14" s="1"/>
  <c r="AQ10" i="14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Q1" i="3"/>
  <c r="AC1" i="3"/>
  <c r="AO1" i="3"/>
  <c r="BA1" i="3"/>
  <c r="C40" i="14"/>
  <c r="C39" i="14"/>
  <c r="Y10" i="14"/>
  <c r="Z10" i="14" s="1"/>
  <c r="AK12" i="14"/>
  <c r="AK10" i="14"/>
  <c r="AK8" i="14"/>
  <c r="AE12" i="14"/>
  <c r="AE10" i="14"/>
  <c r="AF10" i="14" s="1"/>
  <c r="AE8" i="14"/>
  <c r="AE7" i="14" s="1"/>
  <c r="S12" i="14"/>
  <c r="S10" i="14"/>
  <c r="T10" i="14" s="1"/>
  <c r="S8" i="14"/>
  <c r="M12" i="14"/>
  <c r="N12" i="14" s="1"/>
  <c r="O12" i="14" s="1"/>
  <c r="M10" i="14"/>
  <c r="N10" i="14" s="1"/>
  <c r="AI16" i="15"/>
  <c r="AC16" i="15"/>
  <c r="W16" i="15"/>
  <c r="Q16" i="15"/>
  <c r="K16" i="15"/>
  <c r="AD7" i="14"/>
  <c r="F7" i="14"/>
  <c r="G7" i="14"/>
  <c r="H7" i="14"/>
  <c r="I7" i="14"/>
  <c r="J7" i="14"/>
  <c r="K7" i="14"/>
  <c r="F9" i="14"/>
  <c r="G9" i="14"/>
  <c r="H9" i="14"/>
  <c r="I9" i="14"/>
  <c r="J9" i="14"/>
  <c r="K9" i="14"/>
  <c r="L9" i="14"/>
  <c r="F11" i="14"/>
  <c r="G11" i="14"/>
  <c r="H11" i="14"/>
  <c r="I11" i="14"/>
  <c r="J11" i="14"/>
  <c r="K11" i="14"/>
  <c r="L11" i="14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3" i="11"/>
  <c r="E4" i="11"/>
  <c r="E5" i="11"/>
  <c r="E6" i="11"/>
  <c r="E7" i="11"/>
  <c r="E8" i="11"/>
  <c r="E9" i="11"/>
  <c r="E2" i="11"/>
  <c r="N6" i="11"/>
  <c r="N7" i="11"/>
  <c r="P2" i="11"/>
  <c r="A2" i="11"/>
  <c r="AF24" i="7"/>
  <c r="AF23" i="7"/>
  <c r="AF25" i="7"/>
  <c r="AF26" i="7"/>
  <c r="AF22" i="7"/>
  <c r="P3" i="11"/>
  <c r="A3" i="11"/>
  <c r="P4" i="11"/>
  <c r="A4" i="11"/>
  <c r="P6" i="11"/>
  <c r="A6" i="11"/>
  <c r="P5" i="11"/>
  <c r="A5" i="11"/>
  <c r="B2" i="11"/>
  <c r="B4" i="11"/>
  <c r="AH27" i="7"/>
  <c r="AG27" i="7"/>
  <c r="AF27" i="7"/>
  <c r="Q4" i="11"/>
  <c r="AH26" i="7"/>
  <c r="AG26" i="7"/>
  <c r="AH25" i="7"/>
  <c r="AH24" i="7"/>
  <c r="AH23" i="7"/>
  <c r="AH22" i="7"/>
  <c r="G23" i="7"/>
  <c r="K23" i="7"/>
  <c r="O23" i="7"/>
  <c r="S23" i="7"/>
  <c r="W23" i="7"/>
  <c r="G24" i="7"/>
  <c r="K24" i="7"/>
  <c r="O24" i="7"/>
  <c r="S24" i="7"/>
  <c r="W24" i="7"/>
  <c r="G25" i="7"/>
  <c r="K25" i="7"/>
  <c r="O25" i="7"/>
  <c r="S25" i="7"/>
  <c r="W25" i="7"/>
  <c r="G21" i="7"/>
  <c r="K21" i="7"/>
  <c r="O21" i="7"/>
  <c r="S21" i="7"/>
  <c r="W21" i="7"/>
  <c r="G22" i="7"/>
  <c r="K22" i="7"/>
  <c r="O22" i="7"/>
  <c r="S22" i="7"/>
  <c r="W22" i="7"/>
  <c r="G26" i="7"/>
  <c r="K26" i="7"/>
  <c r="O26" i="7"/>
  <c r="S26" i="7"/>
  <c r="W26" i="7"/>
  <c r="G27" i="7"/>
  <c r="K27" i="7"/>
  <c r="O27" i="7"/>
  <c r="S27" i="7"/>
  <c r="W27" i="7"/>
  <c r="G28" i="7"/>
  <c r="K28" i="7"/>
  <c r="O28" i="7"/>
  <c r="S28" i="7"/>
  <c r="W28" i="7"/>
  <c r="G29" i="7"/>
  <c r="K29" i="7"/>
  <c r="O29" i="7"/>
  <c r="S29" i="7"/>
  <c r="W29" i="7"/>
  <c r="G30" i="7"/>
  <c r="K30" i="7"/>
  <c r="O30" i="7"/>
  <c r="S30" i="7"/>
  <c r="W30" i="7"/>
  <c r="G31" i="7"/>
  <c r="K31" i="7"/>
  <c r="O31" i="7"/>
  <c r="S31" i="7"/>
  <c r="W31" i="7"/>
  <c r="G32" i="7"/>
  <c r="K32" i="7"/>
  <c r="O32" i="7"/>
  <c r="S32" i="7"/>
  <c r="W32" i="7"/>
  <c r="G33" i="7"/>
  <c r="K33" i="7"/>
  <c r="O33" i="7"/>
  <c r="S33" i="7"/>
  <c r="W33" i="7"/>
  <c r="G34" i="7"/>
  <c r="K34" i="7"/>
  <c r="O34" i="7"/>
  <c r="S34" i="7"/>
  <c r="W34" i="7"/>
  <c r="G35" i="7"/>
  <c r="K35" i="7"/>
  <c r="O35" i="7"/>
  <c r="S35" i="7"/>
  <c r="W35" i="7"/>
  <c r="W36" i="7"/>
  <c r="W38" i="7"/>
  <c r="W42" i="7"/>
  <c r="AA6" i="7"/>
  <c r="AA23" i="7"/>
  <c r="AA24" i="7"/>
  <c r="AA25" i="7"/>
  <c r="AA21" i="7"/>
  <c r="AA22" i="7"/>
  <c r="AA26" i="7"/>
  <c r="AA27" i="7"/>
  <c r="AA28" i="7"/>
  <c r="AA29" i="7"/>
  <c r="AA30" i="7"/>
  <c r="AA31" i="7"/>
  <c r="AA32" i="7"/>
  <c r="AA33" i="7"/>
  <c r="AA34" i="7"/>
  <c r="AA35" i="7"/>
  <c r="AA36" i="7"/>
  <c r="AA38" i="7"/>
  <c r="AD26" i="7"/>
  <c r="AD25" i="7"/>
  <c r="AG25" i="7"/>
  <c r="AD24" i="7"/>
  <c r="AG24" i="7"/>
  <c r="AD23" i="7"/>
  <c r="AG23" i="7"/>
  <c r="AD22" i="7"/>
  <c r="AG22" i="7"/>
  <c r="C11" i="7"/>
  <c r="G11" i="7"/>
  <c r="K11" i="7"/>
  <c r="O11" i="7"/>
  <c r="S11" i="7"/>
  <c r="W11" i="7"/>
  <c r="C12" i="7"/>
  <c r="G12" i="7"/>
  <c r="K12" i="7"/>
  <c r="O12" i="7"/>
  <c r="S12" i="7"/>
  <c r="W12" i="7"/>
  <c r="C13" i="7"/>
  <c r="G13" i="7"/>
  <c r="K13" i="7"/>
  <c r="O13" i="7"/>
  <c r="S13" i="7"/>
  <c r="W13" i="7"/>
  <c r="W10" i="7"/>
  <c r="C15" i="7"/>
  <c r="G15" i="7"/>
  <c r="K15" i="7"/>
  <c r="O15" i="7"/>
  <c r="S15" i="7"/>
  <c r="W15" i="7"/>
  <c r="C16" i="7"/>
  <c r="G16" i="7"/>
  <c r="K16" i="7"/>
  <c r="O16" i="7"/>
  <c r="S16" i="7"/>
  <c r="W16" i="7"/>
  <c r="C17" i="7"/>
  <c r="G17" i="7"/>
  <c r="K17" i="7"/>
  <c r="O17" i="7"/>
  <c r="S17" i="7"/>
  <c r="W17" i="7"/>
  <c r="W14" i="7"/>
  <c r="W18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AA11" i="7"/>
  <c r="AA12" i="7"/>
  <c r="AA13" i="7"/>
  <c r="AA10" i="7"/>
  <c r="AA15" i="7"/>
  <c r="AA16" i="7"/>
  <c r="AA17" i="7"/>
  <c r="AA14" i="7"/>
  <c r="AA18" i="7"/>
  <c r="AD11" i="7"/>
  <c r="G1" i="7"/>
  <c r="W1" i="7"/>
  <c r="S1" i="7"/>
  <c r="O1" i="7"/>
  <c r="K1" i="7"/>
  <c r="BL14" i="10"/>
  <c r="BK14" i="10"/>
  <c r="BJ14" i="10"/>
  <c r="BI14" i="10"/>
  <c r="BH14" i="10"/>
  <c r="BG14" i="10"/>
  <c r="BF14" i="10"/>
  <c r="BE14" i="10"/>
  <c r="BD14" i="10"/>
  <c r="BC14" i="10"/>
  <c r="BB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I14" i="10"/>
  <c r="H14" i="10"/>
  <c r="G14" i="10"/>
  <c r="F14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H13" i="10"/>
  <c r="G13" i="10"/>
  <c r="F13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G12" i="10"/>
  <c r="F12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J36" i="7"/>
  <c r="C11" i="10"/>
  <c r="Q11" i="10"/>
  <c r="P11" i="10"/>
  <c r="O11" i="10"/>
  <c r="N11" i="10"/>
  <c r="M11" i="10"/>
  <c r="L11" i="10"/>
  <c r="K11" i="10"/>
  <c r="J11" i="10"/>
  <c r="I11" i="10"/>
  <c r="H11" i="10"/>
  <c r="F11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G10" i="10"/>
  <c r="BL9" i="10"/>
  <c r="BK9" i="10"/>
  <c r="BJ9" i="10"/>
  <c r="BJ7" i="10"/>
  <c r="BJ4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C166" i="3"/>
  <c r="C165" i="3"/>
  <c r="C164" i="3"/>
  <c r="C163" i="3"/>
  <c r="C162" i="3"/>
  <c r="C161" i="3"/>
  <c r="C160" i="3"/>
  <c r="C159" i="3"/>
  <c r="C158" i="3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26" i="10"/>
  <c r="E17" i="10"/>
  <c r="C157" i="3"/>
  <c r="C156" i="3"/>
  <c r="C14" i="7"/>
  <c r="G5" i="7"/>
  <c r="K5" i="7"/>
  <c r="F36" i="7"/>
  <c r="F18" i="7"/>
  <c r="B36" i="7"/>
  <c r="C9" i="10"/>
  <c r="B18" i="7"/>
  <c r="V36" i="7"/>
  <c r="C14" i="10"/>
  <c r="BA14" i="10"/>
  <c r="N36" i="7"/>
  <c r="C12" i="10"/>
  <c r="H12" i="10"/>
  <c r="G11" i="10"/>
  <c r="V18" i="7"/>
  <c r="R18" i="7"/>
  <c r="N18" i="7"/>
  <c r="J18" i="7"/>
  <c r="W5" i="7"/>
  <c r="S5" i="7"/>
  <c r="O5" i="7"/>
  <c r="E12" i="10"/>
  <c r="E10" i="10"/>
  <c r="E14" i="10"/>
  <c r="J14" i="10"/>
  <c r="E11" i="10"/>
  <c r="C10" i="7"/>
  <c r="R36" i="7"/>
  <c r="E13" i="10"/>
  <c r="C18" i="7"/>
  <c r="CM3" i="10"/>
  <c r="CO3" i="10"/>
  <c r="CQ3" i="10"/>
  <c r="CS3" i="10"/>
  <c r="CU3" i="10"/>
  <c r="CW3" i="10"/>
  <c r="CY3" i="10"/>
  <c r="DA3" i="10"/>
  <c r="DC3" i="10"/>
  <c r="DE3" i="10"/>
  <c r="DG3" i="10"/>
  <c r="CI3" i="10"/>
  <c r="CH3" i="10"/>
  <c r="CG3" i="10"/>
  <c r="CF3" i="10"/>
  <c r="CL3" i="10"/>
  <c r="CE3" i="10"/>
  <c r="CD3" i="10"/>
  <c r="CC3" i="10"/>
  <c r="CB3" i="10"/>
  <c r="CA3" i="10"/>
  <c r="BZ3" i="10"/>
  <c r="BY3" i="10"/>
  <c r="BX3" i="10"/>
  <c r="BW3" i="10"/>
  <c r="BV3" i="10"/>
  <c r="BU3" i="10"/>
  <c r="BT3" i="10"/>
  <c r="BS3" i="10"/>
  <c r="BR3" i="10"/>
  <c r="BQ3" i="10"/>
  <c r="BP3" i="10"/>
  <c r="BP1" i="10"/>
  <c r="BT1" i="10"/>
  <c r="BX1" i="10"/>
  <c r="CB1" i="10"/>
  <c r="CF1" i="10"/>
  <c r="Q1" i="10"/>
  <c r="AC1" i="10"/>
  <c r="AO1" i="10"/>
  <c r="BA1" i="10"/>
  <c r="CL1" i="10"/>
  <c r="CN1" i="10"/>
  <c r="CP1" i="10"/>
  <c r="CR1" i="10"/>
  <c r="CT1" i="10"/>
  <c r="CV1" i="10"/>
  <c r="CX1" i="10"/>
  <c r="CZ1" i="10"/>
  <c r="DB1" i="10"/>
  <c r="DD1" i="10"/>
  <c r="DF1" i="10"/>
  <c r="DH1" i="10"/>
  <c r="CN3" i="10"/>
  <c r="CP3" i="10"/>
  <c r="CR3" i="10"/>
  <c r="CT3" i="10"/>
  <c r="CV3" i="10"/>
  <c r="CX3" i="10"/>
  <c r="CZ3" i="10"/>
  <c r="DB3" i="10"/>
  <c r="DD3" i="10"/>
  <c r="DF3" i="10"/>
  <c r="DH3" i="10"/>
  <c r="I13" i="10"/>
  <c r="C13" i="10"/>
  <c r="AO13" i="10"/>
  <c r="AO7" i="10"/>
  <c r="AO4" i="10"/>
  <c r="AC12" i="10"/>
  <c r="F10" i="10"/>
  <c r="F7" i="10"/>
  <c r="F4" i="10"/>
  <c r="C10" i="10"/>
  <c r="H10" i="10"/>
  <c r="H7" i="10"/>
  <c r="H4" i="10"/>
  <c r="AZ7" i="10"/>
  <c r="AZ4" i="10"/>
  <c r="C36" i="7"/>
  <c r="C38" i="7"/>
  <c r="D14" i="7"/>
  <c r="K7" i="10"/>
  <c r="K4" i="10"/>
  <c r="O7" i="10"/>
  <c r="O4" i="10"/>
  <c r="S7" i="10"/>
  <c r="S4" i="10"/>
  <c r="W7" i="10"/>
  <c r="W4" i="10"/>
  <c r="AA7" i="10"/>
  <c r="AA4" i="10"/>
  <c r="AE7" i="10"/>
  <c r="AE4" i="10"/>
  <c r="AI7" i="10"/>
  <c r="AI4" i="10"/>
  <c r="AM7" i="10"/>
  <c r="AM4" i="10"/>
  <c r="AQ7" i="10"/>
  <c r="AQ4" i="10"/>
  <c r="AU7" i="10"/>
  <c r="AU4" i="10"/>
  <c r="AY7" i="10"/>
  <c r="AY4" i="10"/>
  <c r="BC7" i="10"/>
  <c r="BC4" i="10"/>
  <c r="BG7" i="10"/>
  <c r="BG4" i="10"/>
  <c r="L7" i="10"/>
  <c r="L4" i="10"/>
  <c r="T7" i="10"/>
  <c r="T4" i="10"/>
  <c r="AB7" i="10"/>
  <c r="AB4" i="10"/>
  <c r="AF7" i="10"/>
  <c r="AF4" i="10"/>
  <c r="AJ7" i="10"/>
  <c r="AJ4" i="10"/>
  <c r="AN7" i="10"/>
  <c r="AN4" i="10"/>
  <c r="AR7" i="10"/>
  <c r="AR4" i="10"/>
  <c r="AV7" i="10"/>
  <c r="AV4" i="10"/>
  <c r="BD7" i="10"/>
  <c r="BD4" i="10"/>
  <c r="BH7" i="10"/>
  <c r="BH4" i="10"/>
  <c r="BL7" i="10"/>
  <c r="BL4" i="10"/>
  <c r="BK7" i="10"/>
  <c r="BK4" i="10"/>
  <c r="BB7" i="10"/>
  <c r="BB4" i="10"/>
  <c r="E7" i="10"/>
  <c r="E4" i="10"/>
  <c r="AL7" i="10"/>
  <c r="AL4" i="10"/>
  <c r="M7" i="10"/>
  <c r="M4" i="10"/>
  <c r="Q7" i="10"/>
  <c r="Q4" i="10"/>
  <c r="U7" i="10"/>
  <c r="U4" i="10"/>
  <c r="Y7" i="10"/>
  <c r="Y4" i="10"/>
  <c r="AC7" i="10"/>
  <c r="AC4" i="10"/>
  <c r="AG7" i="10"/>
  <c r="AG4" i="10"/>
  <c r="AK7" i="10"/>
  <c r="AK4" i="10"/>
  <c r="AS7" i="10"/>
  <c r="AS4" i="10"/>
  <c r="AW7" i="10"/>
  <c r="AW4" i="10"/>
  <c r="BA7" i="10"/>
  <c r="BA4" i="10"/>
  <c r="BE7" i="10"/>
  <c r="BE4" i="10"/>
  <c r="BI7" i="10"/>
  <c r="BI4" i="10"/>
  <c r="J7" i="10"/>
  <c r="J4" i="10"/>
  <c r="N7" i="10"/>
  <c r="N4" i="10"/>
  <c r="R7" i="10"/>
  <c r="R4" i="10"/>
  <c r="V7" i="10"/>
  <c r="V4" i="10"/>
  <c r="Z7" i="10"/>
  <c r="Z4" i="10"/>
  <c r="AD7" i="10"/>
  <c r="AD4" i="10"/>
  <c r="AH7" i="10"/>
  <c r="AH4" i="10"/>
  <c r="AP7" i="10"/>
  <c r="AP4" i="10"/>
  <c r="AT7" i="10"/>
  <c r="AT4" i="10"/>
  <c r="AX7" i="10"/>
  <c r="AX4" i="10"/>
  <c r="BF7" i="10"/>
  <c r="BF4" i="10"/>
  <c r="P7" i="10"/>
  <c r="P4" i="10"/>
  <c r="X7" i="10"/>
  <c r="X4" i="10"/>
  <c r="I7" i="10"/>
  <c r="I4" i="10"/>
  <c r="C40" i="7"/>
  <c r="G36" i="7"/>
  <c r="G10" i="7"/>
  <c r="G7" i="10"/>
  <c r="G14" i="7"/>
  <c r="D24" i="7"/>
  <c r="D27" i="7"/>
  <c r="D34" i="7"/>
  <c r="K14" i="7"/>
  <c r="G18" i="7"/>
  <c r="K10" i="7"/>
  <c r="K18" i="7"/>
  <c r="K36" i="7"/>
  <c r="D30" i="7"/>
  <c r="D29" i="7"/>
  <c r="D15" i="7"/>
  <c r="D21" i="7"/>
  <c r="D11" i="7"/>
  <c r="D31" i="7"/>
  <c r="D28" i="7"/>
  <c r="D13" i="7"/>
  <c r="D22" i="7"/>
  <c r="C42" i="7"/>
  <c r="C44" i="7"/>
  <c r="D26" i="7"/>
  <c r="D25" i="7"/>
  <c r="D35" i="7"/>
  <c r="D33" i="7"/>
  <c r="D12" i="7"/>
  <c r="D17" i="7"/>
  <c r="D23" i="7"/>
  <c r="D16" i="7"/>
  <c r="D32" i="7"/>
  <c r="G4" i="10"/>
  <c r="O10" i="7"/>
  <c r="O14" i="7"/>
  <c r="O18" i="7"/>
  <c r="D10" i="7"/>
  <c r="D18" i="7"/>
  <c r="K38" i="7"/>
  <c r="L14" i="7"/>
  <c r="K40" i="7"/>
  <c r="D36" i="7"/>
  <c r="G40" i="7"/>
  <c r="G38" i="7"/>
  <c r="L34" i="7"/>
  <c r="S14" i="7"/>
  <c r="S10" i="7"/>
  <c r="S18" i="7"/>
  <c r="L11" i="7"/>
  <c r="L23" i="7"/>
  <c r="L31" i="7"/>
  <c r="K42" i="7"/>
  <c r="K44" i="7"/>
  <c r="L21" i="7"/>
  <c r="L29" i="7"/>
  <c r="L25" i="7"/>
  <c r="L16" i="7"/>
  <c r="L33" i="7"/>
  <c r="L17" i="7"/>
  <c r="L28" i="7"/>
  <c r="L13" i="7"/>
  <c r="L30" i="7"/>
  <c r="L32" i="7"/>
  <c r="L24" i="7"/>
  <c r="L22" i="7"/>
  <c r="L26" i="7"/>
  <c r="L15" i="7"/>
  <c r="L12" i="7"/>
  <c r="L27" i="7"/>
  <c r="L35" i="7"/>
  <c r="O40" i="7"/>
  <c r="D38" i="7"/>
  <c r="H33" i="7"/>
  <c r="H11" i="7"/>
  <c r="H17" i="7"/>
  <c r="H25" i="7"/>
  <c r="H28" i="7"/>
  <c r="H32" i="7"/>
  <c r="H16" i="7"/>
  <c r="H31" i="7"/>
  <c r="H26" i="7"/>
  <c r="G42" i="7"/>
  <c r="G44" i="7"/>
  <c r="H29" i="7"/>
  <c r="H22" i="7"/>
  <c r="H24" i="7"/>
  <c r="H21" i="7"/>
  <c r="H15" i="7"/>
  <c r="H13" i="7"/>
  <c r="H12" i="7"/>
  <c r="H23" i="7"/>
  <c r="H35" i="7"/>
  <c r="H30" i="7"/>
  <c r="H27" i="7"/>
  <c r="H34" i="7"/>
  <c r="H14" i="7"/>
  <c r="O36" i="7"/>
  <c r="O38" i="7"/>
  <c r="P21" i="7"/>
  <c r="O42" i="7"/>
  <c r="O44" i="7"/>
  <c r="P23" i="7"/>
  <c r="P17" i="7"/>
  <c r="P25" i="7"/>
  <c r="P16" i="7"/>
  <c r="P11" i="7"/>
  <c r="P29" i="7"/>
  <c r="P33" i="7"/>
  <c r="P31" i="7"/>
  <c r="P26" i="7"/>
  <c r="P22" i="7"/>
  <c r="P32" i="7"/>
  <c r="P28" i="7"/>
  <c r="P30" i="7"/>
  <c r="P24" i="7"/>
  <c r="P13" i="7"/>
  <c r="P15" i="7"/>
  <c r="P27" i="7"/>
  <c r="P12" i="7"/>
  <c r="P35" i="7"/>
  <c r="P14" i="7"/>
  <c r="P34" i="7"/>
  <c r="H36" i="7"/>
  <c r="H10" i="7"/>
  <c r="H18" i="7"/>
  <c r="S36" i="7"/>
  <c r="S38" i="7"/>
  <c r="S40" i="7"/>
  <c r="L36" i="7"/>
  <c r="L10" i="7"/>
  <c r="L18" i="7"/>
  <c r="S42" i="7"/>
  <c r="S44" i="7"/>
  <c r="T33" i="7"/>
  <c r="T23" i="7"/>
  <c r="T17" i="7"/>
  <c r="T16" i="7"/>
  <c r="T11" i="7"/>
  <c r="T21" i="7"/>
  <c r="T29" i="7"/>
  <c r="T25" i="7"/>
  <c r="T31" i="7"/>
  <c r="T30" i="7"/>
  <c r="T24" i="7"/>
  <c r="T32" i="7"/>
  <c r="T22" i="7"/>
  <c r="T28" i="7"/>
  <c r="T26" i="7"/>
  <c r="T13" i="7"/>
  <c r="T35" i="7"/>
  <c r="T12" i="7"/>
  <c r="T27" i="7"/>
  <c r="T15" i="7"/>
  <c r="T34" i="7"/>
  <c r="T14" i="7"/>
  <c r="L38" i="7"/>
  <c r="H38" i="7"/>
  <c r="P10" i="7"/>
  <c r="P18" i="7"/>
  <c r="P36" i="7"/>
  <c r="AB14" i="7"/>
  <c r="W40" i="7"/>
  <c r="T36" i="7"/>
  <c r="T10" i="7"/>
  <c r="T18" i="7"/>
  <c r="P38" i="7"/>
  <c r="T38" i="7"/>
  <c r="X17" i="7"/>
  <c r="AB17" i="7"/>
  <c r="X16" i="7"/>
  <c r="AB16" i="7"/>
  <c r="X23" i="7"/>
  <c r="AB23" i="7"/>
  <c r="X33" i="7"/>
  <c r="AB33" i="7"/>
  <c r="X21" i="7"/>
  <c r="X11" i="7"/>
  <c r="X25" i="7"/>
  <c r="AB25" i="7"/>
  <c r="X31" i="7"/>
  <c r="AB31" i="7"/>
  <c r="X29" i="7"/>
  <c r="AB29" i="7"/>
  <c r="X26" i="7"/>
  <c r="AB26" i="7"/>
  <c r="X13" i="7"/>
  <c r="AB13" i="7"/>
  <c r="X24" i="7"/>
  <c r="AB24" i="7"/>
  <c r="X28" i="7"/>
  <c r="AB28" i="7"/>
  <c r="X22" i="7"/>
  <c r="AB22" i="7"/>
  <c r="X32" i="7"/>
  <c r="AB32" i="7"/>
  <c r="X30" i="7"/>
  <c r="AB30" i="7"/>
  <c r="X15" i="7"/>
  <c r="AB15" i="7"/>
  <c r="X27" i="7"/>
  <c r="AB27" i="7"/>
  <c r="X35" i="7"/>
  <c r="AB35" i="7"/>
  <c r="X12" i="7"/>
  <c r="AB12" i="7"/>
  <c r="X14" i="7"/>
  <c r="X34" i="7"/>
  <c r="AB34" i="7"/>
  <c r="X10" i="7"/>
  <c r="X18" i="7"/>
  <c r="AB11" i="7"/>
  <c r="AB10" i="7"/>
  <c r="AB18" i="7"/>
  <c r="AB21" i="7"/>
  <c r="AB36" i="7"/>
  <c r="X36" i="7"/>
  <c r="W44" i="7"/>
  <c r="AB38" i="7"/>
  <c r="X38" i="7"/>
  <c r="AD27" i="7"/>
  <c r="AD29" i="7"/>
  <c r="AD34" i="7"/>
  <c r="AD15" i="7"/>
  <c r="AD28" i="7"/>
  <c r="AD16" i="7"/>
  <c r="AD12" i="7"/>
  <c r="AD33" i="7"/>
  <c r="AD17" i="7"/>
  <c r="AD31" i="7"/>
  <c r="AD32" i="7"/>
  <c r="AD13" i="7"/>
  <c r="AD35" i="7"/>
  <c r="AD30" i="7"/>
  <c r="AD21" i="7"/>
  <c r="AF12" i="7"/>
  <c r="AF9" i="7"/>
  <c r="AF15" i="7"/>
  <c r="AF18" i="7"/>
  <c r="C2" i="11"/>
  <c r="C3" i="11"/>
  <c r="C4" i="11"/>
  <c r="C5" i="11"/>
  <c r="C6" i="11"/>
  <c r="C7" i="11"/>
  <c r="C8" i="11"/>
  <c r="Q5" i="11"/>
  <c r="Q6" i="11"/>
  <c r="Q3" i="11"/>
  <c r="Q2" i="11"/>
  <c r="R11" i="3"/>
  <c r="R10" i="3"/>
  <c r="BL11" i="3"/>
  <c r="BL10" i="3"/>
  <c r="V11" i="3"/>
  <c r="V10" i="3"/>
  <c r="V8" i="3"/>
  <c r="X11" i="3"/>
  <c r="X10" i="3"/>
  <c r="X8" i="3"/>
  <c r="AJ11" i="3"/>
  <c r="AJ10" i="3"/>
  <c r="AJ8" i="3"/>
  <c r="AV11" i="3"/>
  <c r="AV10" i="3"/>
  <c r="AV8" i="3"/>
  <c r="BD11" i="3"/>
  <c r="BD10" i="3"/>
  <c r="BD8" i="3"/>
  <c r="J77" i="3"/>
  <c r="J70" i="3"/>
  <c r="J158" i="3"/>
  <c r="AJ77" i="3"/>
  <c r="AJ70" i="3"/>
  <c r="AJ158" i="3"/>
  <c r="AI11" i="3"/>
  <c r="AI10" i="3"/>
  <c r="AI156" i="3"/>
  <c r="AU11" i="3"/>
  <c r="AU10" i="3"/>
  <c r="AU8" i="3"/>
  <c r="BH11" i="3"/>
  <c r="BH10" i="3"/>
  <c r="BH8" i="3"/>
  <c r="BG11" i="3"/>
  <c r="BG10" i="3"/>
  <c r="BG8" i="3"/>
  <c r="BC11" i="3"/>
  <c r="BC10" i="3"/>
  <c r="AF110" i="3"/>
  <c r="AF162" i="3"/>
  <c r="AE77" i="3"/>
  <c r="AE70" i="3"/>
  <c r="AE158" i="3"/>
  <c r="AQ110" i="3"/>
  <c r="AQ162" i="3"/>
  <c r="AE11" i="3"/>
  <c r="AE10" i="3"/>
  <c r="AE8" i="3"/>
  <c r="AR11" i="3"/>
  <c r="AR10" i="3"/>
  <c r="O11" i="3"/>
  <c r="O10" i="3"/>
  <c r="O156" i="3"/>
  <c r="AA11" i="3"/>
  <c r="AA10" i="3"/>
  <c r="AA156" i="3"/>
  <c r="AL11" i="3"/>
  <c r="AL10" i="3"/>
  <c r="AH11" i="3"/>
  <c r="AH10" i="3"/>
  <c r="AH156" i="3"/>
  <c r="AD11" i="3"/>
  <c r="AD10" i="3"/>
  <c r="AD8" i="3"/>
  <c r="AX11" i="3"/>
  <c r="AX10" i="3"/>
  <c r="AT11" i="3"/>
  <c r="AT10" i="3"/>
  <c r="AP11" i="3"/>
  <c r="AP10" i="3"/>
  <c r="BJ11" i="3"/>
  <c r="BJ10" i="3"/>
  <c r="BF11" i="3"/>
  <c r="BF10" i="3"/>
  <c r="H11" i="3"/>
  <c r="H10" i="3"/>
  <c r="H156" i="3"/>
  <c r="AI110" i="3"/>
  <c r="AI162" i="3"/>
  <c r="N11" i="3"/>
  <c r="N10" i="3"/>
  <c r="N8" i="3"/>
  <c r="J11" i="3"/>
  <c r="J10" i="3"/>
  <c r="J156" i="3"/>
  <c r="Y77" i="3"/>
  <c r="Y70" i="3"/>
  <c r="Y158" i="3"/>
  <c r="Z11" i="3"/>
  <c r="Z10" i="3"/>
  <c r="Z156" i="3"/>
  <c r="AG110" i="3"/>
  <c r="AG162" i="3"/>
  <c r="AK11" i="3"/>
  <c r="AK10" i="3"/>
  <c r="AG11" i="3"/>
  <c r="AG10" i="3"/>
  <c r="AC11" i="3"/>
  <c r="AC10" i="3"/>
  <c r="AC156" i="3"/>
  <c r="AW11" i="3"/>
  <c r="AW10" i="3"/>
  <c r="AO110" i="3"/>
  <c r="AO162" i="3"/>
  <c r="AO11" i="3"/>
  <c r="AO10" i="3"/>
  <c r="BI11" i="3"/>
  <c r="BI10" i="3"/>
  <c r="BE11" i="3"/>
  <c r="BE10" i="3"/>
  <c r="BA11" i="3"/>
  <c r="BA10" i="3"/>
  <c r="BA8" i="3"/>
  <c r="AB11" i="3"/>
  <c r="AB10" i="3"/>
  <c r="AB8" i="3"/>
  <c r="AZ11" i="3"/>
  <c r="AZ10" i="3"/>
  <c r="AZ156" i="3"/>
  <c r="AQ11" i="3"/>
  <c r="AQ10" i="3"/>
  <c r="AM11" i="3"/>
  <c r="AM10" i="3"/>
  <c r="Y11" i="3"/>
  <c r="Y10" i="3"/>
  <c r="Y8" i="3"/>
  <c r="AY11" i="3"/>
  <c r="AY10" i="3"/>
  <c r="AN11" i="3"/>
  <c r="AN10" i="3"/>
  <c r="AN156" i="3"/>
  <c r="N77" i="3"/>
  <c r="N70" i="3"/>
  <c r="N158" i="3"/>
  <c r="L77" i="3"/>
  <c r="L70" i="3"/>
  <c r="L158" i="3"/>
  <c r="AA77" i="3"/>
  <c r="AA70" i="3"/>
  <c r="AA158" i="3"/>
  <c r="W110" i="3"/>
  <c r="W162" i="3"/>
  <c r="U77" i="3"/>
  <c r="U70" i="3"/>
  <c r="U158" i="3"/>
  <c r="AF11" i="3"/>
  <c r="AF10" i="3"/>
  <c r="AF156" i="3"/>
  <c r="AS77" i="3"/>
  <c r="AS70" i="3"/>
  <c r="AS158" i="3"/>
  <c r="BE77" i="3"/>
  <c r="BE70" i="3"/>
  <c r="BE158" i="3"/>
  <c r="P77" i="3"/>
  <c r="P70" i="3"/>
  <c r="P158" i="3"/>
  <c r="AE110" i="3"/>
  <c r="AE162" i="3"/>
  <c r="AM77" i="3"/>
  <c r="AM70" i="3"/>
  <c r="AM158" i="3"/>
  <c r="K77" i="3"/>
  <c r="K70" i="3"/>
  <c r="K158" i="3"/>
  <c r="AH110" i="3"/>
  <c r="AH162" i="3"/>
  <c r="AW77" i="3"/>
  <c r="AW70" i="3"/>
  <c r="AW158" i="3"/>
  <c r="BA77" i="3"/>
  <c r="BA70" i="3"/>
  <c r="BA158" i="3"/>
  <c r="AN110" i="3"/>
  <c r="AN162" i="3"/>
  <c r="AN77" i="3"/>
  <c r="AN70" i="3"/>
  <c r="AN158" i="3"/>
  <c r="M9" i="16"/>
  <c r="AC77" i="3"/>
  <c r="AC70" i="3"/>
  <c r="AC158" i="3"/>
  <c r="AD77" i="3"/>
  <c r="AD70" i="3"/>
  <c r="AD158" i="3"/>
  <c r="AI77" i="3"/>
  <c r="AI70" i="3"/>
  <c r="AI158" i="3"/>
  <c r="AL110" i="3"/>
  <c r="AL162" i="3"/>
  <c r="AQ77" i="3"/>
  <c r="AQ70" i="3"/>
  <c r="AQ158" i="3"/>
  <c r="AY77" i="3"/>
  <c r="AY70" i="3"/>
  <c r="AY158" i="3"/>
  <c r="AB77" i="3"/>
  <c r="AB70" i="3"/>
  <c r="AB158" i="3"/>
  <c r="T77" i="3"/>
  <c r="T70" i="3"/>
  <c r="T158" i="3"/>
  <c r="AJ110" i="3"/>
  <c r="AJ162" i="3"/>
  <c r="AF77" i="3"/>
  <c r="AF70" i="3"/>
  <c r="AF158" i="3"/>
  <c r="AR77" i="3"/>
  <c r="AR70" i="3"/>
  <c r="AR158" i="3"/>
  <c r="AM110" i="3"/>
  <c r="AM162" i="3"/>
  <c r="AH77" i="3"/>
  <c r="AH70" i="3"/>
  <c r="AH158" i="3"/>
  <c r="AD110" i="3"/>
  <c r="AD162" i="3"/>
  <c r="AG77" i="3"/>
  <c r="AG70" i="3"/>
  <c r="AG158" i="3"/>
  <c r="AX110" i="3"/>
  <c r="AX162" i="3"/>
  <c r="AP110" i="3"/>
  <c r="AP162" i="3"/>
  <c r="BG77" i="3"/>
  <c r="BG70" i="3"/>
  <c r="BG158" i="3"/>
  <c r="B101" i="3"/>
  <c r="I77" i="3"/>
  <c r="I70" i="3"/>
  <c r="I158" i="3"/>
  <c r="M77" i="3"/>
  <c r="M70" i="3"/>
  <c r="M158" i="3"/>
  <c r="O77" i="3"/>
  <c r="O70" i="3"/>
  <c r="O158" i="3"/>
  <c r="W11" i="3"/>
  <c r="W10" i="3"/>
  <c r="W156" i="3"/>
  <c r="AC110" i="3"/>
  <c r="AC162" i="3"/>
  <c r="AL77" i="3"/>
  <c r="AL70" i="3"/>
  <c r="AL158" i="3"/>
  <c r="AK110" i="3"/>
  <c r="AK162" i="3"/>
  <c r="AK77" i="3"/>
  <c r="AK70" i="3"/>
  <c r="AK158" i="3"/>
  <c r="E161" i="3"/>
  <c r="B118" i="3"/>
  <c r="AD125" i="3"/>
  <c r="AD164" i="3"/>
  <c r="AU77" i="3"/>
  <c r="AU70" i="3"/>
  <c r="AU158" i="3"/>
  <c r="AV77" i="3"/>
  <c r="AV70" i="3"/>
  <c r="AV158" i="3"/>
  <c r="AZ110" i="3"/>
  <c r="AZ162" i="3"/>
  <c r="BA110" i="3"/>
  <c r="BA162" i="3"/>
  <c r="K159" i="3"/>
  <c r="B80" i="3"/>
  <c r="S77" i="3"/>
  <c r="S70" i="3"/>
  <c r="S158" i="3"/>
  <c r="U110" i="3"/>
  <c r="U162" i="3"/>
  <c r="V77" i="3"/>
  <c r="V70" i="3"/>
  <c r="V158" i="3"/>
  <c r="Z77" i="3"/>
  <c r="Z70" i="3"/>
  <c r="Z158" i="3"/>
  <c r="Z110" i="3"/>
  <c r="Z162" i="3"/>
  <c r="Q110" i="3"/>
  <c r="Q162" i="3"/>
  <c r="Q77" i="3"/>
  <c r="Q70" i="3"/>
  <c r="Q158" i="3"/>
  <c r="Y110" i="3"/>
  <c r="Y162" i="3"/>
  <c r="S11" i="3"/>
  <c r="S10" i="3"/>
  <c r="S156" i="3"/>
  <c r="R77" i="3"/>
  <c r="R70" i="3"/>
  <c r="R158" i="3"/>
  <c r="R110" i="3"/>
  <c r="R162" i="3"/>
  <c r="X77" i="3"/>
  <c r="X70" i="3"/>
  <c r="X158" i="3"/>
  <c r="B88" i="3"/>
  <c r="S110" i="3"/>
  <c r="S162" i="3"/>
  <c r="V110" i="3"/>
  <c r="V162" i="3"/>
  <c r="W77" i="3"/>
  <c r="W70" i="3"/>
  <c r="W158" i="3"/>
  <c r="AT110" i="3"/>
  <c r="AT162" i="3"/>
  <c r="AS11" i="3"/>
  <c r="AS10" i="3"/>
  <c r="AS8" i="3"/>
  <c r="AR110" i="3"/>
  <c r="AR162" i="3"/>
  <c r="AY110" i="3"/>
  <c r="AY162" i="3"/>
  <c r="BB110" i="3"/>
  <c r="BB162" i="3"/>
  <c r="BB77" i="3"/>
  <c r="BB70" i="3"/>
  <c r="BB158" i="3"/>
  <c r="BH110" i="3"/>
  <c r="BH162" i="3"/>
  <c r="AZ77" i="3"/>
  <c r="AZ70" i="3"/>
  <c r="AZ158" i="3"/>
  <c r="BL110" i="3"/>
  <c r="BL162" i="3"/>
  <c r="C8" i="16"/>
  <c r="J8" i="16"/>
  <c r="I9" i="16"/>
  <c r="C5" i="16"/>
  <c r="J5" i="16"/>
  <c r="D8" i="16"/>
  <c r="K8" i="16"/>
  <c r="E8" i="16"/>
  <c r="L8" i="16"/>
  <c r="F8" i="16"/>
  <c r="F10" i="16"/>
  <c r="M10" i="16"/>
  <c r="J9" i="16"/>
  <c r="L9" i="16"/>
  <c r="B8" i="16"/>
  <c r="I8" i="16"/>
  <c r="C6" i="16"/>
  <c r="J6" i="16"/>
  <c r="C7" i="16"/>
  <c r="J7" i="16"/>
  <c r="Q11" i="3"/>
  <c r="Q10" i="3"/>
  <c r="Q8" i="3"/>
  <c r="B147" i="3"/>
  <c r="O110" i="3"/>
  <c r="O162" i="3"/>
  <c r="M11" i="3"/>
  <c r="M10" i="3"/>
  <c r="M8" i="3"/>
  <c r="G110" i="3"/>
  <c r="G162" i="3"/>
  <c r="K110" i="3"/>
  <c r="K162" i="3"/>
  <c r="AB110" i="3"/>
  <c r="AB162" i="3"/>
  <c r="H110" i="3"/>
  <c r="H162" i="3"/>
  <c r="P110" i="3"/>
  <c r="P162" i="3"/>
  <c r="I11" i="3"/>
  <c r="I10" i="3"/>
  <c r="I156" i="3"/>
  <c r="B6" i="16"/>
  <c r="I6" i="16"/>
  <c r="L110" i="3"/>
  <c r="L162" i="3"/>
  <c r="L11" i="3"/>
  <c r="L10" i="3"/>
  <c r="L8" i="3"/>
  <c r="P11" i="3"/>
  <c r="P10" i="3"/>
  <c r="P156" i="3"/>
  <c r="AA110" i="3"/>
  <c r="AA162" i="3"/>
  <c r="I110" i="3"/>
  <c r="I162" i="3"/>
  <c r="G11" i="3"/>
  <c r="G10" i="3"/>
  <c r="G8" i="3"/>
  <c r="B5" i="16"/>
  <c r="I5" i="16"/>
  <c r="M110" i="3"/>
  <c r="M162" i="3"/>
  <c r="F110" i="3"/>
  <c r="F162" i="3"/>
  <c r="F11" i="3"/>
  <c r="F10" i="3"/>
  <c r="F8" i="3"/>
  <c r="X110" i="3"/>
  <c r="X162" i="3"/>
  <c r="K11" i="3"/>
  <c r="K10" i="3"/>
  <c r="K8" i="3"/>
  <c r="N110" i="3"/>
  <c r="N162" i="3"/>
  <c r="U11" i="3"/>
  <c r="U10" i="3"/>
  <c r="U156" i="3"/>
  <c r="T11" i="3"/>
  <c r="T10" i="3"/>
  <c r="T8" i="3"/>
  <c r="J110" i="3"/>
  <c r="J162" i="3"/>
  <c r="T110" i="3"/>
  <c r="T162" i="3"/>
  <c r="C4" i="16"/>
  <c r="H158" i="3"/>
  <c r="BI77" i="3"/>
  <c r="BI70" i="3"/>
  <c r="BI158" i="3"/>
  <c r="BH77" i="3"/>
  <c r="BH70" i="3"/>
  <c r="BH158" i="3"/>
  <c r="BD110" i="3"/>
  <c r="BD162" i="3"/>
  <c r="BD77" i="3"/>
  <c r="BD70" i="3"/>
  <c r="BD158" i="3"/>
  <c r="BK11" i="3"/>
  <c r="BK10" i="3"/>
  <c r="BK110" i="3"/>
  <c r="BK162" i="3"/>
  <c r="BL77" i="3"/>
  <c r="BL70" i="3"/>
  <c r="BL158" i="3"/>
  <c r="BK77" i="3"/>
  <c r="BK70" i="3"/>
  <c r="BK158" i="3"/>
  <c r="BG110" i="3"/>
  <c r="BG162" i="3"/>
  <c r="BC110" i="3"/>
  <c r="BC162" i="3"/>
  <c r="BC77" i="3"/>
  <c r="BC70" i="3"/>
  <c r="BC158" i="3"/>
  <c r="BJ77" i="3"/>
  <c r="BJ70" i="3"/>
  <c r="BJ158" i="3"/>
  <c r="BJ110" i="3"/>
  <c r="BJ162" i="3"/>
  <c r="BF77" i="3"/>
  <c r="BF70" i="3"/>
  <c r="BF158" i="3"/>
  <c r="BF110" i="3"/>
  <c r="BF162" i="3"/>
  <c r="BB11" i="3"/>
  <c r="BB10" i="3"/>
  <c r="B4" i="16"/>
  <c r="AU110" i="3"/>
  <c r="AU162" i="3"/>
  <c r="AX77" i="3"/>
  <c r="AX70" i="3"/>
  <c r="AX158" i="3"/>
  <c r="AT77" i="3"/>
  <c r="AT70" i="3"/>
  <c r="AT158" i="3"/>
  <c r="AP77" i="3"/>
  <c r="AP70" i="3"/>
  <c r="AP158" i="3"/>
  <c r="AW110" i="3"/>
  <c r="AW162" i="3"/>
  <c r="AS110" i="3"/>
  <c r="AS162" i="3"/>
  <c r="AO77" i="3"/>
  <c r="AO70" i="3"/>
  <c r="AO158" i="3"/>
  <c r="AV110" i="3"/>
  <c r="AV162" i="3"/>
  <c r="L6" i="16"/>
  <c r="B7" i="16"/>
  <c r="I7" i="16"/>
  <c r="E110" i="3"/>
  <c r="K9" i="16"/>
  <c r="E11" i="3"/>
  <c r="E10" i="3"/>
  <c r="BI110" i="3"/>
  <c r="BI162" i="3"/>
  <c r="BE110" i="3"/>
  <c r="BE162" i="3"/>
  <c r="BD125" i="3"/>
  <c r="BD164" i="3"/>
  <c r="S18" i="3"/>
  <c r="S157" i="3"/>
  <c r="Y125" i="3"/>
  <c r="Y164" i="3"/>
  <c r="AF8" i="3"/>
  <c r="AK8" i="3"/>
  <c r="AK156" i="3"/>
  <c r="R156" i="3"/>
  <c r="R8" i="3"/>
  <c r="AH125" i="3"/>
  <c r="AH164" i="3"/>
  <c r="AA8" i="3"/>
  <c r="AU125" i="3"/>
  <c r="AU164" i="3"/>
  <c r="R18" i="3"/>
  <c r="R157" i="3"/>
  <c r="AY125" i="3"/>
  <c r="AY164" i="3"/>
  <c r="AG18" i="3"/>
  <c r="AG157" i="3"/>
  <c r="BK18" i="3"/>
  <c r="BK157" i="3"/>
  <c r="AU18" i="3"/>
  <c r="AD18" i="3"/>
  <c r="AD157" i="3"/>
  <c r="AC125" i="3"/>
  <c r="AC164" i="3"/>
  <c r="AI8" i="3"/>
  <c r="AQ8" i="3"/>
  <c r="AQ156" i="3"/>
  <c r="BL18" i="3"/>
  <c r="AT125" i="3"/>
  <c r="AT164" i="3"/>
  <c r="AY18" i="3"/>
  <c r="AY157" i="3"/>
  <c r="BG156" i="3"/>
  <c r="BA156" i="3"/>
  <c r="AC18" i="3"/>
  <c r="AC157" i="3"/>
  <c r="AE156" i="3"/>
  <c r="AI18" i="3"/>
  <c r="AI157" i="3"/>
  <c r="G156" i="3"/>
  <c r="AV156" i="3"/>
  <c r="BD156" i="3"/>
  <c r="W8" i="3"/>
  <c r="AJ125" i="3"/>
  <c r="AJ164" i="3"/>
  <c r="AL125" i="3"/>
  <c r="AL164" i="3"/>
  <c r="AR125" i="3"/>
  <c r="AR164" i="3"/>
  <c r="I125" i="3"/>
  <c r="I164" i="3"/>
  <c r="AE18" i="3"/>
  <c r="L125" i="3"/>
  <c r="L164" i="3"/>
  <c r="AI125" i="3"/>
  <c r="AI164" i="3"/>
  <c r="AF18" i="3"/>
  <c r="Q125" i="3"/>
  <c r="Q164" i="3"/>
  <c r="AM156" i="3"/>
  <c r="AM8" i="3"/>
  <c r="AO8" i="3"/>
  <c r="AO156" i="3"/>
  <c r="AG8" i="3"/>
  <c r="AG156" i="3"/>
  <c r="AL156" i="3"/>
  <c r="AL8" i="3"/>
  <c r="AR156" i="3"/>
  <c r="AR8" i="3"/>
  <c r="BC125" i="3"/>
  <c r="BC164" i="3"/>
  <c r="AN125" i="3"/>
  <c r="AN164" i="3"/>
  <c r="BB125" i="3"/>
  <c r="BB164" i="3"/>
  <c r="BC18" i="3"/>
  <c r="BC157" i="3"/>
  <c r="BA125" i="3"/>
  <c r="BA164" i="3"/>
  <c r="AH8" i="3"/>
  <c r="S8" i="3"/>
  <c r="H18" i="3"/>
  <c r="H157" i="3"/>
  <c r="AB125" i="3"/>
  <c r="AB164" i="3"/>
  <c r="U18" i="3"/>
  <c r="U157" i="3"/>
  <c r="V156" i="3"/>
  <c r="AK18" i="3"/>
  <c r="AK157" i="3"/>
  <c r="AN18" i="3"/>
  <c r="AN157" i="3"/>
  <c r="AO18" i="3"/>
  <c r="AN8" i="3"/>
  <c r="AD156" i="3"/>
  <c r="Q156" i="3"/>
  <c r="M18" i="3"/>
  <c r="M157" i="3"/>
  <c r="AQ18" i="3"/>
  <c r="AQ157" i="3"/>
  <c r="V18" i="3"/>
  <c r="V157" i="3"/>
  <c r="S125" i="3"/>
  <c r="S164" i="3"/>
  <c r="R125" i="3"/>
  <c r="R164" i="3"/>
  <c r="W125" i="3"/>
  <c r="W164" i="3"/>
  <c r="AM18" i="3"/>
  <c r="AM157" i="3"/>
  <c r="AJ18" i="3"/>
  <c r="AJ157" i="3"/>
  <c r="AG125" i="3"/>
  <c r="AG164" i="3"/>
  <c r="Q18" i="3"/>
  <c r="Q157" i="3"/>
  <c r="AH18" i="3"/>
  <c r="AH157" i="3"/>
  <c r="AZ18" i="3"/>
  <c r="AZ157" i="3"/>
  <c r="AL18" i="3"/>
  <c r="AL157" i="3"/>
  <c r="I8" i="3"/>
  <c r="BH156" i="3"/>
  <c r="AB156" i="3"/>
  <c r="AZ8" i="3"/>
  <c r="AV18" i="3"/>
  <c r="AV157" i="3"/>
  <c r="D10" i="16"/>
  <c r="K10" i="16"/>
  <c r="AW125" i="3"/>
  <c r="AW164" i="3"/>
  <c r="AP125" i="3"/>
  <c r="AP164" i="3"/>
  <c r="M8" i="16"/>
  <c r="M156" i="3"/>
  <c r="AZ125" i="3"/>
  <c r="AZ164" i="3"/>
  <c r="W18" i="3"/>
  <c r="W157" i="3"/>
  <c r="AM125" i="3"/>
  <c r="AM164" i="3"/>
  <c r="AF125" i="3"/>
  <c r="AF164" i="3"/>
  <c r="K125" i="3"/>
  <c r="K164" i="3"/>
  <c r="AK125" i="3"/>
  <c r="AK164" i="3"/>
  <c r="AE125" i="3"/>
  <c r="AE164" i="3"/>
  <c r="K156" i="3"/>
  <c r="C10" i="16"/>
  <c r="J10" i="16"/>
  <c r="O125" i="3"/>
  <c r="O164" i="3"/>
  <c r="Z125" i="3"/>
  <c r="Z164" i="3"/>
  <c r="Z18" i="3"/>
  <c r="Z157" i="3"/>
  <c r="AS156" i="3"/>
  <c r="Z8" i="3"/>
  <c r="M125" i="3"/>
  <c r="M164" i="3"/>
  <c r="BL125" i="3"/>
  <c r="BL164" i="3"/>
  <c r="AW18" i="3"/>
  <c r="AW157" i="3"/>
  <c r="H125" i="3"/>
  <c r="H164" i="3"/>
  <c r="P125" i="3"/>
  <c r="P164" i="3"/>
  <c r="U125" i="3"/>
  <c r="U164" i="3"/>
  <c r="AV125" i="3"/>
  <c r="AV164" i="3"/>
  <c r="AS125" i="3"/>
  <c r="AS164" i="3"/>
  <c r="AJ156" i="3"/>
  <c r="AU156" i="3"/>
  <c r="AC8" i="3"/>
  <c r="B70" i="3"/>
  <c r="F18" i="3"/>
  <c r="F157" i="3"/>
  <c r="G125" i="3"/>
  <c r="G164" i="3"/>
  <c r="E125" i="3"/>
  <c r="E164" i="3"/>
  <c r="AQ125" i="3"/>
  <c r="AQ164" i="3"/>
  <c r="AO125" i="3"/>
  <c r="AO164" i="3"/>
  <c r="L156" i="3"/>
  <c r="J18" i="3"/>
  <c r="J157" i="3"/>
  <c r="Y18" i="3"/>
  <c r="Y157" i="3"/>
  <c r="V125" i="3"/>
  <c r="V164" i="3"/>
  <c r="BG125" i="3"/>
  <c r="BG164" i="3"/>
  <c r="J125" i="3"/>
  <c r="J164" i="3"/>
  <c r="E18" i="3"/>
  <c r="E157" i="3"/>
  <c r="AB18" i="3"/>
  <c r="AB157" i="3"/>
  <c r="G18" i="3"/>
  <c r="G157" i="3"/>
  <c r="O18" i="3"/>
  <c r="O157" i="3"/>
  <c r="AA125" i="3"/>
  <c r="AA164" i="3"/>
  <c r="P18" i="3"/>
  <c r="P157" i="3"/>
  <c r="K18" i="3"/>
  <c r="K157" i="3"/>
  <c r="BF18" i="3"/>
  <c r="BF157" i="3"/>
  <c r="N156" i="3"/>
  <c r="L18" i="3"/>
  <c r="L157" i="3"/>
  <c r="N125" i="3"/>
  <c r="N164" i="3"/>
  <c r="O8" i="3"/>
  <c r="P8" i="3"/>
  <c r="H8" i="3"/>
  <c r="AA18" i="3"/>
  <c r="AA157" i="3"/>
  <c r="F156" i="3"/>
  <c r="I18" i="3"/>
  <c r="I157" i="3"/>
  <c r="I155" i="3"/>
  <c r="I16" i="3"/>
  <c r="X156" i="3"/>
  <c r="T156" i="3"/>
  <c r="Y156" i="3"/>
  <c r="J4" i="16"/>
  <c r="U8" i="3"/>
  <c r="X18" i="3"/>
  <c r="X157" i="3"/>
  <c r="T18" i="3"/>
  <c r="T157" i="3"/>
  <c r="BG18" i="3"/>
  <c r="BG157" i="3"/>
  <c r="J8" i="3"/>
  <c r="X125" i="3"/>
  <c r="X164" i="3"/>
  <c r="N18" i="3"/>
  <c r="N157" i="3"/>
  <c r="T125" i="3"/>
  <c r="T164" i="3"/>
  <c r="BD18" i="3"/>
  <c r="F125" i="3"/>
  <c r="F164" i="3"/>
  <c r="BB18" i="3"/>
  <c r="BF125" i="3"/>
  <c r="BF164" i="3"/>
  <c r="BJ125" i="3"/>
  <c r="BJ164" i="3"/>
  <c r="BK125" i="3"/>
  <c r="BK164" i="3"/>
  <c r="BA18" i="3"/>
  <c r="AP18" i="3"/>
  <c r="AP157" i="3"/>
  <c r="AX125" i="3"/>
  <c r="AX164" i="3"/>
  <c r="AT18" i="3"/>
  <c r="AT157" i="3"/>
  <c r="AR18" i="3"/>
  <c r="AR157" i="3"/>
  <c r="AX18" i="3"/>
  <c r="AX157" i="3"/>
  <c r="AF157" i="3"/>
  <c r="AP156" i="3"/>
  <c r="AP8" i="3"/>
  <c r="B10" i="16"/>
  <c r="I10" i="16"/>
  <c r="I4" i="16"/>
  <c r="BB8" i="3"/>
  <c r="BB156" i="3"/>
  <c r="BF156" i="3"/>
  <c r="BF8" i="3"/>
  <c r="BC8" i="3"/>
  <c r="BC156" i="3"/>
  <c r="BE18" i="3"/>
  <c r="BI125" i="3"/>
  <c r="BI164" i="3"/>
  <c r="BI18" i="3"/>
  <c r="E8" i="3"/>
  <c r="B10" i="3"/>
  <c r="E156" i="3"/>
  <c r="E162" i="3"/>
  <c r="B110" i="3"/>
  <c r="AS18" i="3"/>
  <c r="BH18" i="3"/>
  <c r="BE125" i="3"/>
  <c r="BE164" i="3"/>
  <c r="AE157" i="3"/>
  <c r="BL156" i="3"/>
  <c r="BL8" i="3"/>
  <c r="E10" i="16"/>
  <c r="L10" i="16"/>
  <c r="AT156" i="3"/>
  <c r="AT8" i="3"/>
  <c r="AX156" i="3"/>
  <c r="AX8" i="3"/>
  <c r="BJ156" i="3"/>
  <c r="BJ8" i="3"/>
  <c r="BI156" i="3"/>
  <c r="BI8" i="3"/>
  <c r="AW8" i="3"/>
  <c r="AW156" i="3"/>
  <c r="AY8" i="3"/>
  <c r="AY156" i="3"/>
  <c r="BJ18" i="3"/>
  <c r="BK8" i="3"/>
  <c r="BK156" i="3"/>
  <c r="BH125" i="3"/>
  <c r="BH164" i="3"/>
  <c r="BE156" i="3"/>
  <c r="BE8" i="3"/>
  <c r="I4" i="3"/>
  <c r="J4" i="14"/>
  <c r="G155" i="3"/>
  <c r="G16" i="3"/>
  <c r="G4" i="3"/>
  <c r="H4" i="14"/>
  <c r="J155" i="3"/>
  <c r="J16" i="3"/>
  <c r="J4" i="3"/>
  <c r="K4" i="14"/>
  <c r="H155" i="3"/>
  <c r="H16" i="3"/>
  <c r="H4" i="3"/>
  <c r="I4" i="14"/>
  <c r="F155" i="3"/>
  <c r="F16" i="3"/>
  <c r="F4" i="3"/>
  <c r="G4" i="14"/>
  <c r="B18" i="3"/>
  <c r="BJ157" i="3"/>
  <c r="AS157" i="3"/>
  <c r="BA157" i="3"/>
  <c r="BL157" i="3"/>
  <c r="E155" i="3"/>
  <c r="BB157" i="3"/>
  <c r="AO157" i="3"/>
  <c r="AU157" i="3"/>
  <c r="BD157" i="3"/>
  <c r="BE157" i="3"/>
  <c r="BH157" i="3"/>
  <c r="BI157" i="3"/>
  <c r="E16" i="3"/>
  <c r="E4" i="3"/>
  <c r="F4" i="14"/>
  <c r="K16" i="14" l="1"/>
  <c r="AZ11" i="14"/>
  <c r="AX12" i="14"/>
  <c r="AX11" i="14" s="1"/>
  <c r="AF8" i="14"/>
  <c r="AG8" i="14" s="1"/>
  <c r="Q132" i="3"/>
  <c r="Q165" i="3" s="1"/>
  <c r="Q155" i="3" s="1"/>
  <c r="Q16" i="3" s="1"/>
  <c r="Q4" i="3" s="1"/>
  <c r="R4" i="14" s="1"/>
  <c r="K132" i="3"/>
  <c r="K165" i="3" s="1"/>
  <c r="K155" i="3" s="1"/>
  <c r="K16" i="3" s="1"/>
  <c r="K4" i="3" s="1"/>
  <c r="L4" i="14" s="1"/>
  <c r="AP7" i="14"/>
  <c r="AC132" i="3"/>
  <c r="AC165" i="3" s="1"/>
  <c r="AC155" i="3" s="1"/>
  <c r="AC16" i="3" s="1"/>
  <c r="AC4" i="3" s="1"/>
  <c r="AD4" i="14" s="1"/>
  <c r="AY132" i="3"/>
  <c r="AY165" i="3" s="1"/>
  <c r="AY155" i="3" s="1"/>
  <c r="AY16" i="3" s="1"/>
  <c r="AY4" i="3" s="1"/>
  <c r="AZ4" i="14" s="1"/>
  <c r="AZ134" i="3"/>
  <c r="AZ132" i="3" s="1"/>
  <c r="AZ165" i="3" s="1"/>
  <c r="AZ155" i="3" s="1"/>
  <c r="AZ16" i="3" s="1"/>
  <c r="AZ4" i="3" s="1"/>
  <c r="BA4" i="14" s="1"/>
  <c r="G16" i="14"/>
  <c r="G18" i="14" s="1"/>
  <c r="W132" i="3"/>
  <c r="W165" i="3" s="1"/>
  <c r="W155" i="3" s="1"/>
  <c r="N11" i="14"/>
  <c r="M11" i="14"/>
  <c r="K18" i="14"/>
  <c r="AO132" i="3"/>
  <c r="AO165" i="3" s="1"/>
  <c r="AO155" i="3" s="1"/>
  <c r="Y9" i="14"/>
  <c r="S9" i="14"/>
  <c r="T12" i="14"/>
  <c r="S11" i="14"/>
  <c r="AL10" i="14"/>
  <c r="AK9" i="14"/>
  <c r="S134" i="3"/>
  <c r="R132" i="3"/>
  <c r="AQ134" i="3"/>
  <c r="AQ132" i="3" s="1"/>
  <c r="AP132" i="3"/>
  <c r="T8" i="14"/>
  <c r="T7" i="14" s="1"/>
  <c r="S7" i="14"/>
  <c r="AG10" i="14"/>
  <c r="AH10" i="14" s="1"/>
  <c r="AH9" i="14" s="1"/>
  <c r="AF9" i="14"/>
  <c r="O10" i="14"/>
  <c r="O9" i="14" s="1"/>
  <c r="N9" i="14"/>
  <c r="AF12" i="14"/>
  <c r="AF11" i="14" s="1"/>
  <c r="AE11" i="14"/>
  <c r="AW7" i="14"/>
  <c r="AX8" i="14"/>
  <c r="AX7" i="14" s="1"/>
  <c r="L16" i="14"/>
  <c r="H16" i="14"/>
  <c r="H18" i="14" s="1"/>
  <c r="AV7" i="14"/>
  <c r="AV16" i="14" s="1"/>
  <c r="BB16" i="14"/>
  <c r="BA132" i="3"/>
  <c r="BA165" i="3" s="1"/>
  <c r="BA155" i="3" s="1"/>
  <c r="BA16" i="3" s="1"/>
  <c r="BA4" i="3" s="1"/>
  <c r="BB4" i="14" s="1"/>
  <c r="BG16" i="3"/>
  <c r="BG4" i="3" s="1"/>
  <c r="BH4" i="14" s="1"/>
  <c r="J16" i="14"/>
  <c r="J18" i="14" s="1"/>
  <c r="F16" i="14"/>
  <c r="F18" i="14" s="1"/>
  <c r="M8" i="14"/>
  <c r="N8" i="14" s="1"/>
  <c r="AD16" i="14"/>
  <c r="AO16" i="3"/>
  <c r="AO4" i="3" s="1"/>
  <c r="AP4" i="14" s="1"/>
  <c r="R7" i="14"/>
  <c r="R16" i="14" s="1"/>
  <c r="R18" i="14" s="1"/>
  <c r="AE9" i="14"/>
  <c r="M9" i="14"/>
  <c r="AJ7" i="14"/>
  <c r="AJ16" i="14" s="1"/>
  <c r="BC12" i="14"/>
  <c r="P12" i="14"/>
  <c r="O11" i="14"/>
  <c r="AI10" i="14"/>
  <c r="AI9" i="14" s="1"/>
  <c r="T9" i="14"/>
  <c r="U10" i="14"/>
  <c r="AL8" i="14"/>
  <c r="AK7" i="14"/>
  <c r="BI12" i="14"/>
  <c r="BH16" i="14"/>
  <c r="BH18" i="14" s="1"/>
  <c r="AJ134" i="3"/>
  <c r="AI132" i="3"/>
  <c r="AV134" i="3"/>
  <c r="AU132" i="3"/>
  <c r="L132" i="3"/>
  <c r="M134" i="3"/>
  <c r="AD132" i="3"/>
  <c r="AE134" i="3"/>
  <c r="BD10" i="14"/>
  <c r="BC9" i="14"/>
  <c r="Y12" i="14"/>
  <c r="AG12" i="14"/>
  <c r="AL12" i="14"/>
  <c r="AK11" i="14"/>
  <c r="BJ10" i="14"/>
  <c r="BI9" i="14"/>
  <c r="BF11" i="14"/>
  <c r="BG12" i="14"/>
  <c r="BG11" i="14" s="1"/>
  <c r="Y8" i="14"/>
  <c r="X7" i="14"/>
  <c r="AQ12" i="14"/>
  <c r="AW10" i="14"/>
  <c r="BF134" i="3"/>
  <c r="BF132" i="3" s="1"/>
  <c r="BE132" i="3"/>
  <c r="T11" i="14"/>
  <c r="U12" i="14"/>
  <c r="AA10" i="14"/>
  <c r="Z9" i="14"/>
  <c r="AR10" i="14"/>
  <c r="AQ9" i="14"/>
  <c r="AR8" i="14"/>
  <c r="BC8" i="14"/>
  <c r="BJ8" i="14"/>
  <c r="BC134" i="3"/>
  <c r="BC132" i="3" s="1"/>
  <c r="BB132" i="3"/>
  <c r="Y134" i="3"/>
  <c r="X132" i="3"/>
  <c r="BI134" i="3"/>
  <c r="BH132" i="3"/>
  <c r="AS134" i="3"/>
  <c r="I16" i="14"/>
  <c r="I18" i="14" s="1"/>
  <c r="AF7" i="14" l="1"/>
  <c r="AF16" i="14" s="1"/>
  <c r="AG9" i="14"/>
  <c r="AD18" i="14"/>
  <c r="AP16" i="14"/>
  <c r="AP18" i="14" s="1"/>
  <c r="W16" i="3"/>
  <c r="W4" i="3" s="1"/>
  <c r="X4" i="14" s="1"/>
  <c r="X16" i="14"/>
  <c r="BB18" i="14"/>
  <c r="T16" i="14"/>
  <c r="P10" i="14"/>
  <c r="Q10" i="14" s="1"/>
  <c r="Q9" i="14" s="1"/>
  <c r="M7" i="14"/>
  <c r="M16" i="14" s="1"/>
  <c r="U8" i="14"/>
  <c r="V8" i="14" s="1"/>
  <c r="BC11" i="14"/>
  <c r="BD12" i="14"/>
  <c r="BD11" i="14" s="1"/>
  <c r="AE16" i="14"/>
  <c r="AQ165" i="3"/>
  <c r="AQ155" i="3" s="1"/>
  <c r="AQ16" i="3" s="1"/>
  <c r="AQ4" i="3" s="1"/>
  <c r="AR4" i="14" s="1"/>
  <c r="AM10" i="14"/>
  <c r="AL9" i="14"/>
  <c r="AP165" i="3"/>
  <c r="AP155" i="3" s="1"/>
  <c r="AP16" i="3" s="1"/>
  <c r="AP4" i="3" s="1"/>
  <c r="AQ4" i="14" s="1"/>
  <c r="L18" i="14"/>
  <c r="R165" i="3"/>
  <c r="R155" i="3" s="1"/>
  <c r="R16" i="3" s="1"/>
  <c r="R4" i="3" s="1"/>
  <c r="S4" i="14" s="1"/>
  <c r="S16" i="14"/>
  <c r="S132" i="3"/>
  <c r="S165" i="3" s="1"/>
  <c r="S155" i="3" s="1"/>
  <c r="S16" i="3" s="1"/>
  <c r="S4" i="3" s="1"/>
  <c r="T4" i="14" s="1"/>
  <c r="T134" i="3"/>
  <c r="AS132" i="3"/>
  <c r="AT134" i="3"/>
  <c r="AT132" i="3" s="1"/>
  <c r="BD8" i="14"/>
  <c r="BC7" i="14"/>
  <c r="AZ8" i="14"/>
  <c r="AY7" i="14"/>
  <c r="AB10" i="14"/>
  <c r="AA9" i="14"/>
  <c r="AW9" i="14"/>
  <c r="AW16" i="14" s="1"/>
  <c r="AX10" i="14"/>
  <c r="AH8" i="14"/>
  <c r="AG7" i="14"/>
  <c r="O8" i="14"/>
  <c r="N7" i="14"/>
  <c r="N16" i="14" s="1"/>
  <c r="AH12" i="14"/>
  <c r="AG11" i="14"/>
  <c r="L165" i="3"/>
  <c r="L155" i="3" s="1"/>
  <c r="AJ132" i="3"/>
  <c r="AK134" i="3"/>
  <c r="V10" i="14"/>
  <c r="U9" i="14"/>
  <c r="BH165" i="3"/>
  <c r="BH155" i="3" s="1"/>
  <c r="BH16" i="3" s="1"/>
  <c r="BH4" i="3" s="1"/>
  <c r="BI4" i="14" s="1"/>
  <c r="BB165" i="3"/>
  <c r="BB155" i="3" s="1"/>
  <c r="BB16" i="3" s="1"/>
  <c r="BB4" i="3" s="1"/>
  <c r="BC4" i="14" s="1"/>
  <c r="AR7" i="14"/>
  <c r="V12" i="14"/>
  <c r="U11" i="14"/>
  <c r="BE165" i="3"/>
  <c r="BE155" i="3" s="1"/>
  <c r="BE16" i="3" s="1"/>
  <c r="BE4" i="3" s="1"/>
  <c r="BF4" i="14" s="1"/>
  <c r="AF134" i="3"/>
  <c r="AE132" i="3"/>
  <c r="AU165" i="3"/>
  <c r="AU155" i="3" s="1"/>
  <c r="AU16" i="3" s="1"/>
  <c r="AU4" i="3" s="1"/>
  <c r="AV4" i="14" s="1"/>
  <c r="AV18" i="14" s="1"/>
  <c r="Q12" i="14"/>
  <c r="Q11" i="14" s="1"/>
  <c r="P11" i="14"/>
  <c r="BJ134" i="3"/>
  <c r="BI132" i="3"/>
  <c r="BC165" i="3"/>
  <c r="BC155" i="3" s="1"/>
  <c r="BC16" i="3" s="1"/>
  <c r="BC4" i="3" s="1"/>
  <c r="BD4" i="14" s="1"/>
  <c r="AR9" i="14"/>
  <c r="BF165" i="3"/>
  <c r="BF155" i="3" s="1"/>
  <c r="BF16" i="3" s="1"/>
  <c r="BF4" i="3" s="1"/>
  <c r="BG4" i="14" s="1"/>
  <c r="AQ11" i="14"/>
  <c r="AQ16" i="14" s="1"/>
  <c r="AR12" i="14"/>
  <c r="Y7" i="14"/>
  <c r="Z8" i="14"/>
  <c r="AM12" i="14"/>
  <c r="AL11" i="14"/>
  <c r="Y11" i="14"/>
  <c r="Z12" i="14"/>
  <c r="BD9" i="14"/>
  <c r="AD165" i="3"/>
  <c r="AD155" i="3" s="1"/>
  <c r="AD16" i="3" s="1"/>
  <c r="AD4" i="3" s="1"/>
  <c r="AE4" i="14" s="1"/>
  <c r="AW134" i="3"/>
  <c r="AW132" i="3" s="1"/>
  <c r="AV132" i="3"/>
  <c r="BI11" i="14"/>
  <c r="BI16" i="14" s="1"/>
  <c r="BJ12" i="14"/>
  <c r="AK16" i="14"/>
  <c r="X165" i="3"/>
  <c r="X155" i="3" s="1"/>
  <c r="X16" i="3" s="1"/>
  <c r="X4" i="3" s="1"/>
  <c r="Y4" i="14" s="1"/>
  <c r="BJ7" i="14"/>
  <c r="BK8" i="14"/>
  <c r="M132" i="3"/>
  <c r="N134" i="3"/>
  <c r="AI165" i="3"/>
  <c r="AI155" i="3" s="1"/>
  <c r="AI16" i="3" s="1"/>
  <c r="AI4" i="3" s="1"/>
  <c r="AJ4" i="14" s="1"/>
  <c r="AJ18" i="14" s="1"/>
  <c r="AM8" i="14"/>
  <c r="AL7" i="14"/>
  <c r="Z134" i="3"/>
  <c r="Y132" i="3"/>
  <c r="BK10" i="14"/>
  <c r="BJ9" i="14"/>
  <c r="BC16" i="14" l="1"/>
  <c r="BC18" i="14" s="1"/>
  <c r="AE18" i="14"/>
  <c r="U7" i="14"/>
  <c r="Y16" i="14"/>
  <c r="Y18" i="14" s="1"/>
  <c r="AQ18" i="14"/>
  <c r="X18" i="14"/>
  <c r="P9" i="14"/>
  <c r="BI18" i="14"/>
  <c r="T18" i="14"/>
  <c r="AN10" i="14"/>
  <c r="AM9" i="14"/>
  <c r="S18" i="14"/>
  <c r="T132" i="3"/>
  <c r="U134" i="3"/>
  <c r="Y165" i="3"/>
  <c r="Y155" i="3" s="1"/>
  <c r="Y16" i="3" s="1"/>
  <c r="Y4" i="3" s="1"/>
  <c r="Z4" i="14" s="1"/>
  <c r="V7" i="14"/>
  <c r="W8" i="14"/>
  <c r="W7" i="14" s="1"/>
  <c r="V11" i="14"/>
  <c r="W12" i="14"/>
  <c r="W11" i="14" s="1"/>
  <c r="AJ165" i="3"/>
  <c r="AJ155" i="3" s="1"/>
  <c r="AJ16" i="3" s="1"/>
  <c r="AJ4" i="3" s="1"/>
  <c r="AK4" i="14" s="1"/>
  <c r="AK18" i="14" s="1"/>
  <c r="AG16" i="14"/>
  <c r="AG134" i="3"/>
  <c r="AF132" i="3"/>
  <c r="AL134" i="3"/>
  <c r="AK132" i="3"/>
  <c r="O7" i="14"/>
  <c r="O16" i="14" s="1"/>
  <c r="P8" i="14"/>
  <c r="BA8" i="14"/>
  <c r="BA7" i="14" s="1"/>
  <c r="AZ7" i="14"/>
  <c r="BF10" i="14"/>
  <c r="AT8" i="14"/>
  <c r="AS7" i="14"/>
  <c r="AS165" i="3"/>
  <c r="AS155" i="3" s="1"/>
  <c r="AS16" i="3" s="1"/>
  <c r="AS4" i="3" s="1"/>
  <c r="AT4" i="14" s="1"/>
  <c r="Z132" i="3"/>
  <c r="AA134" i="3"/>
  <c r="U16" i="14"/>
  <c r="AV165" i="3"/>
  <c r="AV155" i="3" s="1"/>
  <c r="AV16" i="3" s="1"/>
  <c r="AV4" i="3" s="1"/>
  <c r="AW4" i="14" s="1"/>
  <c r="AW18" i="14" s="1"/>
  <c r="AR11" i="14"/>
  <c r="AR16" i="14" s="1"/>
  <c r="AR18" i="14" s="1"/>
  <c r="BI165" i="3"/>
  <c r="BI155" i="3" s="1"/>
  <c r="BI16" i="3" s="1"/>
  <c r="BI4" i="3" s="1"/>
  <c r="BJ4" i="14" s="1"/>
  <c r="W10" i="14"/>
  <c r="W9" i="14" s="1"/>
  <c r="V9" i="14"/>
  <c r="AL16" i="14"/>
  <c r="O134" i="3"/>
  <c r="N132" i="3"/>
  <c r="BL8" i="14"/>
  <c r="BK7" i="14"/>
  <c r="AW165" i="3"/>
  <c r="AW155" i="3" s="1"/>
  <c r="AW16" i="3" s="1"/>
  <c r="AW4" i="3" s="1"/>
  <c r="AX4" i="14" s="1"/>
  <c r="AM11" i="14"/>
  <c r="AN12" i="14"/>
  <c r="AT10" i="14"/>
  <c r="BJ132" i="3"/>
  <c r="BK134" i="3"/>
  <c r="L16" i="3"/>
  <c r="L4" i="3" s="1"/>
  <c r="AH11" i="14"/>
  <c r="AI12" i="14"/>
  <c r="AI11" i="14" s="1"/>
  <c r="AH7" i="14"/>
  <c r="AI8" i="14"/>
  <c r="AI7" i="14" s="1"/>
  <c r="AC10" i="14"/>
  <c r="AC9" i="14" s="1"/>
  <c r="AB9" i="14"/>
  <c r="BD7" i="14"/>
  <c r="BD16" i="14" s="1"/>
  <c r="BD18" i="14" s="1"/>
  <c r="BK9" i="14"/>
  <c r="BL10" i="14"/>
  <c r="AN8" i="14"/>
  <c r="AM7" i="14"/>
  <c r="M165" i="3"/>
  <c r="M155" i="3" s="1"/>
  <c r="M16" i="3" s="1"/>
  <c r="M4" i="3" s="1"/>
  <c r="N4" i="14" s="1"/>
  <c r="N18" i="14" s="1"/>
  <c r="BK12" i="14"/>
  <c r="BJ11" i="14"/>
  <c r="BJ16" i="14" s="1"/>
  <c r="AA12" i="14"/>
  <c r="Z11" i="14"/>
  <c r="Z7" i="14"/>
  <c r="AA8" i="14"/>
  <c r="AE165" i="3"/>
  <c r="AE155" i="3" s="1"/>
  <c r="AE16" i="3" s="1"/>
  <c r="AE4" i="3" s="1"/>
  <c r="AF4" i="14" s="1"/>
  <c r="AF18" i="14" s="1"/>
  <c r="AX9" i="14"/>
  <c r="AX16" i="14" s="1"/>
  <c r="AT165" i="3"/>
  <c r="AT155" i="3" s="1"/>
  <c r="AT16" i="3"/>
  <c r="AT4" i="3" s="1"/>
  <c r="AU4" i="14" s="1"/>
  <c r="AH16" i="14" l="1"/>
  <c r="AX18" i="14"/>
  <c r="V134" i="3"/>
  <c r="V132" i="3" s="1"/>
  <c r="U132" i="3"/>
  <c r="U165" i="3" s="1"/>
  <c r="U155" i="3" s="1"/>
  <c r="U16" i="3" s="1"/>
  <c r="U4" i="3" s="1"/>
  <c r="V4" i="14" s="1"/>
  <c r="AO10" i="14"/>
  <c r="AO9" i="14" s="1"/>
  <c r="AN9" i="14"/>
  <c r="T165" i="3"/>
  <c r="T155" i="3" s="1"/>
  <c r="T16" i="3"/>
  <c r="T4" i="3" s="1"/>
  <c r="U4" i="14" s="1"/>
  <c r="U18" i="14" s="1"/>
  <c r="BL134" i="3"/>
  <c r="BL132" i="3" s="1"/>
  <c r="BK132" i="3"/>
  <c r="W16" i="14"/>
  <c r="BJ165" i="3"/>
  <c r="BJ155" i="3" s="1"/>
  <c r="BJ16" i="3" s="1"/>
  <c r="BJ4" i="3" s="1"/>
  <c r="BK4" i="14" s="1"/>
  <c r="BM8" i="14"/>
  <c r="BM7" i="14" s="1"/>
  <c r="BL7" i="14"/>
  <c r="AT12" i="14"/>
  <c r="AS16" i="14"/>
  <c r="AS18" i="14" s="1"/>
  <c r="BG10" i="14"/>
  <c r="BG9" i="14" s="1"/>
  <c r="BF9" i="14"/>
  <c r="V16" i="14"/>
  <c r="AA7" i="14"/>
  <c r="AB8" i="14"/>
  <c r="AT9" i="14"/>
  <c r="AU10" i="14"/>
  <c r="AU9" i="14" s="1"/>
  <c r="N165" i="3"/>
  <c r="N155" i="3" s="1"/>
  <c r="N16" i="3" s="1"/>
  <c r="N4" i="3" s="1"/>
  <c r="O4" i="14" s="1"/>
  <c r="O18" i="14" s="1"/>
  <c r="AB134" i="3"/>
  <c r="AB132" i="3" s="1"/>
  <c r="AA132" i="3"/>
  <c r="P7" i="14"/>
  <c r="P16" i="14" s="1"/>
  <c r="Q8" i="14"/>
  <c r="Q7" i="14" s="1"/>
  <c r="Q16" i="14" s="1"/>
  <c r="AF165" i="3"/>
  <c r="AF155" i="3" s="1"/>
  <c r="AF16" i="3" s="1"/>
  <c r="AF4" i="3" s="1"/>
  <c r="AG4" i="14" s="1"/>
  <c r="AG18" i="14" s="1"/>
  <c r="AY16" i="14"/>
  <c r="AY18" i="14" s="1"/>
  <c r="AZ10" i="14"/>
  <c r="BJ18" i="14"/>
  <c r="AO8" i="14"/>
  <c r="AO7" i="14" s="1"/>
  <c r="AN7" i="14"/>
  <c r="AO12" i="14"/>
  <c r="AO11" i="14" s="1"/>
  <c r="AN11" i="14"/>
  <c r="AU8" i="14"/>
  <c r="AU7" i="14" s="1"/>
  <c r="AT7" i="14"/>
  <c r="AK165" i="3"/>
  <c r="AK155" i="3" s="1"/>
  <c r="AK16" i="3" s="1"/>
  <c r="AK4" i="3" s="1"/>
  <c r="AL4" i="14" s="1"/>
  <c r="AL18" i="14" s="1"/>
  <c r="AA11" i="14"/>
  <c r="AB12" i="14"/>
  <c r="BL9" i="14"/>
  <c r="BM10" i="14"/>
  <c r="BM9" i="14" s="1"/>
  <c r="AM134" i="3"/>
  <c r="AL132" i="3"/>
  <c r="Z16" i="14"/>
  <c r="Z18" i="14" s="1"/>
  <c r="BL12" i="14"/>
  <c r="BK11" i="14"/>
  <c r="BK16" i="14" s="1"/>
  <c r="AM16" i="14"/>
  <c r="BF8" i="14"/>
  <c r="BE7" i="14"/>
  <c r="BE16" i="14" s="1"/>
  <c r="BE18" i="14" s="1"/>
  <c r="AI16" i="14"/>
  <c r="M4" i="14"/>
  <c r="M18" i="14" s="1"/>
  <c r="P134" i="3"/>
  <c r="P132" i="3" s="1"/>
  <c r="O132" i="3"/>
  <c r="Z165" i="3"/>
  <c r="Z155" i="3" s="1"/>
  <c r="Z16" i="3" s="1"/>
  <c r="Z4" i="3" s="1"/>
  <c r="AA4" i="14" s="1"/>
  <c r="AH134" i="3"/>
  <c r="AH132" i="3" s="1"/>
  <c r="AG132" i="3"/>
  <c r="V18" i="14" l="1"/>
  <c r="V165" i="3"/>
  <c r="V155" i="3" s="1"/>
  <c r="V16" i="3" s="1"/>
  <c r="V4" i="3" s="1"/>
  <c r="W4" i="14" s="1"/>
  <c r="W18" i="14" s="1"/>
  <c r="AO16" i="14"/>
  <c r="AA165" i="3"/>
  <c r="AA155" i="3" s="1"/>
  <c r="AA16" i="3" s="1"/>
  <c r="AA4" i="3" s="1"/>
  <c r="AB4" i="14" s="1"/>
  <c r="BK18" i="14"/>
  <c r="AT11" i="14"/>
  <c r="AT16" i="14" s="1"/>
  <c r="AT18" i="14" s="1"/>
  <c r="AU12" i="14"/>
  <c r="AU11" i="14" s="1"/>
  <c r="AU16" i="14" s="1"/>
  <c r="AU18" i="14" s="1"/>
  <c r="AG165" i="3"/>
  <c r="AG155" i="3" s="1"/>
  <c r="AG16" i="3" s="1"/>
  <c r="AG4" i="3" s="1"/>
  <c r="AH4" i="14" s="1"/>
  <c r="AH18" i="14" s="1"/>
  <c r="BG8" i="14"/>
  <c r="BG7" i="14" s="1"/>
  <c r="BG16" i="14" s="1"/>
  <c r="BG18" i="14" s="1"/>
  <c r="BF7" i="14"/>
  <c r="BF16" i="14" s="1"/>
  <c r="BF18" i="14" s="1"/>
  <c r="AH165" i="3"/>
  <c r="AH155" i="3" s="1"/>
  <c r="AH16" i="3"/>
  <c r="AH4" i="3" s="1"/>
  <c r="AI4" i="14" s="1"/>
  <c r="AI18" i="14" s="1"/>
  <c r="AL165" i="3"/>
  <c r="AL155" i="3" s="1"/>
  <c r="AL16" i="3"/>
  <c r="AL4" i="3" s="1"/>
  <c r="AM4" i="14" s="1"/>
  <c r="AM18" i="14" s="1"/>
  <c r="AC12" i="14"/>
  <c r="AC11" i="14" s="1"/>
  <c r="AB11" i="14"/>
  <c r="AB165" i="3"/>
  <c r="AB155" i="3" s="1"/>
  <c r="AB16" i="3"/>
  <c r="AB4" i="3" s="1"/>
  <c r="AC4" i="14" s="1"/>
  <c r="BK165" i="3"/>
  <c r="BK155" i="3" s="1"/>
  <c r="BK16" i="3"/>
  <c r="BK4" i="3" s="1"/>
  <c r="BL4" i="14" s="1"/>
  <c r="O165" i="3"/>
  <c r="O155" i="3" s="1"/>
  <c r="O16" i="3"/>
  <c r="O4" i="3" s="1"/>
  <c r="AN134" i="3"/>
  <c r="AN132" i="3" s="1"/>
  <c r="AM132" i="3"/>
  <c r="BA10" i="14"/>
  <c r="BA9" i="14" s="1"/>
  <c r="BA16" i="14" s="1"/>
  <c r="BA18" i="14" s="1"/>
  <c r="AZ9" i="14"/>
  <c r="AZ16" i="14" s="1"/>
  <c r="AZ18" i="14" s="1"/>
  <c r="AC8" i="14"/>
  <c r="AC7" i="14" s="1"/>
  <c r="AC16" i="14" s="1"/>
  <c r="AB7" i="14"/>
  <c r="AB16" i="14" s="1"/>
  <c r="BL165" i="3"/>
  <c r="BL155" i="3" s="1"/>
  <c r="BL16" i="3" s="1"/>
  <c r="BL4" i="3" s="1"/>
  <c r="BM4" i="14" s="1"/>
  <c r="P165" i="3"/>
  <c r="P155" i="3" s="1"/>
  <c r="P16" i="3" s="1"/>
  <c r="P4" i="3" s="1"/>
  <c r="Q4" i="14" s="1"/>
  <c r="Q18" i="14" s="1"/>
  <c r="BL11" i="14"/>
  <c r="BL16" i="14" s="1"/>
  <c r="BM12" i="14"/>
  <c r="BM11" i="14" s="1"/>
  <c r="BM16" i="14" s="1"/>
  <c r="AN16" i="14"/>
  <c r="AA16" i="14"/>
  <c r="AA18" i="14" s="1"/>
  <c r="BL18" i="14" l="1"/>
  <c r="AB18" i="14"/>
  <c r="AM165" i="3"/>
  <c r="AM155" i="3" s="1"/>
  <c r="AM16" i="3" s="1"/>
  <c r="AM4" i="3" s="1"/>
  <c r="AN165" i="3"/>
  <c r="AN155" i="3" s="1"/>
  <c r="B155" i="3" s="1"/>
  <c r="BM18" i="14"/>
  <c r="AC18" i="14"/>
  <c r="B132" i="3"/>
  <c r="P4" i="14"/>
  <c r="P18" i="14" s="1"/>
  <c r="AN16" i="3" l="1"/>
  <c r="AN4" i="3" s="1"/>
  <c r="AO4" i="14" s="1"/>
  <c r="AO18" i="14" s="1"/>
  <c r="AN4" i="14"/>
  <c r="AN18" i="14" s="1"/>
  <c r="C2" i="3" l="1"/>
</calcChain>
</file>

<file path=xl/sharedStrings.xml><?xml version="1.0" encoding="utf-8"?>
<sst xmlns="http://schemas.openxmlformats.org/spreadsheetml/2006/main" count="624" uniqueCount="366">
  <si>
    <t>NOTES</t>
  </si>
  <si>
    <t>Date</t>
  </si>
  <si>
    <t>Initials</t>
  </si>
  <si>
    <t>Details</t>
  </si>
  <si>
    <t>ALS</t>
  </si>
  <si>
    <t>Setup template</t>
  </si>
  <si>
    <t>Completed first draft costs, investments + cap table</t>
  </si>
  <si>
    <t>Created Roadmap + first draft ROI analysis + Rev Forecast</t>
  </si>
  <si>
    <t>Assumption</t>
  </si>
  <si>
    <t>The plan is prepared for the following audience: Angel Investors, Seed Round Investment Firms</t>
  </si>
  <si>
    <t>VReeMind will be a fully remote operation</t>
  </si>
  <si>
    <t>Each new hire will be provided a $5000 work-from-home package to supplement office equipment costs</t>
  </si>
  <si>
    <t>CRITICAL PATHWAY</t>
  </si>
  <si>
    <t>Gate 1</t>
  </si>
  <si>
    <t>Gate 2</t>
  </si>
  <si>
    <t>GATE 3</t>
  </si>
  <si>
    <t>GATE 4</t>
  </si>
  <si>
    <t>GATE 5</t>
  </si>
  <si>
    <t>GATE 6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</si>
  <si>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</si>
  <si>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</si>
  <si>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</si>
  <si>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</si>
  <si>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</si>
  <si>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</si>
  <si>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</si>
  <si>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</si>
  <si>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</si>
  <si>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</si>
  <si>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</si>
  <si>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</si>
  <si>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</si>
  <si>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</si>
  <si>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</si>
  <si>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</si>
  <si>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</si>
  <si>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</si>
  <si>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</si>
  <si>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</si>
  <si>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</si>
  <si>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</si>
  <si>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</si>
  <si>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</si>
  <si>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</si>
  <si>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</si>
  <si>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</si>
  <si>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</si>
  <si>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</si>
  <si>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</si>
  <si>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</si>
  <si>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</si>
  <si>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</si>
  <si>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</si>
  <si>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</si>
  <si>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</si>
  <si>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</si>
  <si>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</si>
  <si>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</si>
  <si>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</si>
  <si>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</si>
  <si>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</si>
  <si>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</si>
  <si>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</si>
  <si>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</si>
  <si>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</si>
  <si>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</si>
  <si>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</si>
  <si>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</si>
  <si>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</si>
  <si>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</si>
  <si>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</si>
  <si>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</si>
  <si>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</si>
  <si>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</si>
  <si>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</si>
  <si>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</si>
  <si>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</si>
  <si>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</si>
  <si>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</si>
  <si>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CORPORATE &amp; TAX</t>
  </si>
  <si>
    <t>Incorporate Co.</t>
  </si>
  <si>
    <t>Annual Return</t>
  </si>
  <si>
    <t>Form UK/EU Co.</t>
  </si>
  <si>
    <t>MARKETS</t>
  </si>
  <si>
    <t>US / Consumer</t>
  </si>
  <si>
    <t>US / Health Service</t>
  </si>
  <si>
    <t>US / Corporate</t>
  </si>
  <si>
    <t>Europe / Consumer</t>
  </si>
  <si>
    <t>Europe / Health Services</t>
  </si>
  <si>
    <t>Europe / Corporate</t>
  </si>
  <si>
    <t>INVESTMENT</t>
  </si>
  <si>
    <t xml:space="preserve"> Seed </t>
  </si>
  <si>
    <t>Series A VC Funding</t>
  </si>
  <si>
    <t>Series B VC Funding</t>
  </si>
  <si>
    <t>Series C VC Funding</t>
  </si>
  <si>
    <t>Series D VC Funding</t>
  </si>
  <si>
    <t>EXIT</t>
  </si>
  <si>
    <t>ACCOUNTING</t>
  </si>
  <si>
    <t>End of Year Accounts</t>
  </si>
  <si>
    <t>Exit Accounts Preparation</t>
  </si>
  <si>
    <t>IP</t>
  </si>
  <si>
    <t>Patent(s) Drafted</t>
  </si>
  <si>
    <t>US Patents Pending</t>
  </si>
  <si>
    <t>IP Valuation</t>
  </si>
  <si>
    <t>PCT Patents Pending</t>
  </si>
  <si>
    <t>US Patents Granted</t>
  </si>
  <si>
    <t>PCT Patents Granted</t>
  </si>
  <si>
    <t>TECHNOLOGY</t>
  </si>
  <si>
    <t>POC</t>
  </si>
  <si>
    <t>Mob
v1.0</t>
  </si>
  <si>
    <t>Mob
v2.0</t>
  </si>
  <si>
    <t>Mob
v2.5</t>
  </si>
  <si>
    <t>Mob
v3.0</t>
  </si>
  <si>
    <t>Mob
v3.5</t>
  </si>
  <si>
    <t>VR
v1.0</t>
  </si>
  <si>
    <t>Mob
v4.0</t>
  </si>
  <si>
    <t>VR
v1.5</t>
  </si>
  <si>
    <t>Mob
v4.5</t>
  </si>
  <si>
    <t>VR
v2.0</t>
  </si>
  <si>
    <t>VR
v2.5</t>
  </si>
  <si>
    <t>VR
v3.0</t>
  </si>
  <si>
    <t>TRACTION 
(Paid Subscribers)</t>
  </si>
  <si>
    <t>TOTAL</t>
  </si>
  <si>
    <t>x</t>
  </si>
  <si>
    <t>Q1</t>
  </si>
  <si>
    <t>Q2</t>
  </si>
  <si>
    <t>Q3</t>
  </si>
  <si>
    <t>Q4</t>
  </si>
  <si>
    <t xml:space="preserve">TOTAL </t>
  </si>
  <si>
    <t>Investment</t>
  </si>
  <si>
    <t>Sub Total</t>
  </si>
  <si>
    <t>Pre-seed</t>
  </si>
  <si>
    <t>Seed</t>
  </si>
  <si>
    <t>A Series</t>
  </si>
  <si>
    <t>B Series</t>
  </si>
  <si>
    <t>C Series</t>
  </si>
  <si>
    <t>D Series</t>
  </si>
  <si>
    <t>Grants</t>
  </si>
  <si>
    <t xml:space="preserve"> - </t>
  </si>
  <si>
    <t xml:space="preserve"> -</t>
  </si>
  <si>
    <t>ICO/ STO</t>
  </si>
  <si>
    <t>Offering Fees</t>
  </si>
  <si>
    <t>VReeMind Inc.</t>
  </si>
  <si>
    <t>Expected Month:</t>
  </si>
  <si>
    <t>Exit at Year:</t>
  </si>
  <si>
    <t>Pre-Seed</t>
  </si>
  <si>
    <t>Series A</t>
  </si>
  <si>
    <t>Series B</t>
  </si>
  <si>
    <t>Series C</t>
  </si>
  <si>
    <t>Series D</t>
  </si>
  <si>
    <t>Exit</t>
  </si>
  <si>
    <t>Share price</t>
  </si>
  <si>
    <t>Multiplier:</t>
  </si>
  <si>
    <t>Multipliers</t>
  </si>
  <si>
    <t>Net shares added this round</t>
  </si>
  <si>
    <t>Cumulative shareholding</t>
  </si>
  <si>
    <t>Ownership</t>
  </si>
  <si>
    <t>Founders Returns</t>
  </si>
  <si>
    <t>Laurens</t>
  </si>
  <si>
    <t>Common stock</t>
  </si>
  <si>
    <t>EBITDA</t>
  </si>
  <si>
    <t>Founder restricted stock</t>
  </si>
  <si>
    <t>Founders</t>
  </si>
  <si>
    <t>Aaron</t>
  </si>
  <si>
    <t>Senior Leadership Team</t>
  </si>
  <si>
    <t>IP license</t>
  </si>
  <si>
    <t>Option pool</t>
  </si>
  <si>
    <t>Scott</t>
  </si>
  <si>
    <t>Staff Stock Options</t>
  </si>
  <si>
    <t>Issued and outstanding</t>
  </si>
  <si>
    <t>Reserved</t>
    <phoneticPr fontId="4"/>
  </si>
  <si>
    <t>Sam</t>
  </si>
  <si>
    <t>Total</t>
  </si>
  <si>
    <t>Preference Stock</t>
  </si>
  <si>
    <t>Investment in this round</t>
  </si>
  <si>
    <t>CAGR</t>
  </si>
  <si>
    <t>ROI</t>
  </si>
  <si>
    <t>ROI Multiplier</t>
  </si>
  <si>
    <t>Co-Founders (pre-seed)</t>
  </si>
  <si>
    <t>Seed Investor</t>
  </si>
  <si>
    <t>Investor 7</t>
  </si>
  <si>
    <t>Investor 8</t>
  </si>
  <si>
    <t>Investor 9</t>
  </si>
  <si>
    <t>Investor 10</t>
  </si>
  <si>
    <t>Investor 11</t>
  </si>
  <si>
    <t>Investor 12</t>
  </si>
  <si>
    <t>Investor 13</t>
  </si>
  <si>
    <t>Investor 14</t>
  </si>
  <si>
    <t>Investor 15</t>
  </si>
  <si>
    <t>Total allocated shares</t>
  </si>
  <si>
    <t>Pre-money valuation</t>
  </si>
  <si>
    <t>Post-money valuation</t>
  </si>
  <si>
    <t>Difference</t>
  </si>
  <si>
    <t>Original</t>
  </si>
  <si>
    <t>Average</t>
  </si>
  <si>
    <t>Bin</t>
  </si>
  <si>
    <t>Random</t>
  </si>
  <si>
    <t>Norm Dist</t>
  </si>
  <si>
    <t>Histogram</t>
  </si>
  <si>
    <t>Probability Distribution</t>
  </si>
  <si>
    <t>Frequency</t>
  </si>
  <si>
    <t>STDEV</t>
  </si>
  <si>
    <t>Mean</t>
  </si>
  <si>
    <t>Std Dev</t>
  </si>
  <si>
    <t>More</t>
  </si>
  <si>
    <t>24 Months Total Costs</t>
  </si>
  <si>
    <t>Year</t>
  </si>
  <si>
    <t>Month</t>
  </si>
  <si>
    <t>TOTAL COSTS</t>
  </si>
  <si>
    <t>Type</t>
  </si>
  <si>
    <t>Category</t>
  </si>
  <si>
    <t>Unit Cost</t>
  </si>
  <si>
    <t>CAPEX</t>
  </si>
  <si>
    <t>Equipment</t>
  </si>
  <si>
    <t>WFH Package</t>
  </si>
  <si>
    <t>OPEX</t>
  </si>
  <si>
    <t># of new hires</t>
  </si>
  <si>
    <t>HR</t>
  </si>
  <si>
    <t>CEO</t>
  </si>
  <si>
    <t>CTO</t>
  </si>
  <si>
    <t>CFO</t>
  </si>
  <si>
    <t>CMO</t>
  </si>
  <si>
    <t>VR Dev 1</t>
  </si>
  <si>
    <t>VR Dev 2</t>
  </si>
  <si>
    <t>VR Dev 3</t>
  </si>
  <si>
    <t>VR Dev 4</t>
  </si>
  <si>
    <t>Cloud Engineer 1</t>
  </si>
  <si>
    <t>Cloud Engineer 2</t>
  </si>
  <si>
    <t>Experience Designer 1</t>
  </si>
  <si>
    <t>Data Scientist 1</t>
  </si>
  <si>
    <t>Customer Support 1</t>
  </si>
  <si>
    <t>VR Dev 5</t>
  </si>
  <si>
    <t>VR Dev 6</t>
  </si>
  <si>
    <t>VR Dev 7</t>
  </si>
  <si>
    <t>VR Dev 8</t>
  </si>
  <si>
    <t>Cloud Engineer 3</t>
  </si>
  <si>
    <t>Cloud Engineer 4</t>
  </si>
  <si>
    <t>Experience Designer 2</t>
  </si>
  <si>
    <t>Data Scientist 2</t>
  </si>
  <si>
    <t>Customer Support 2</t>
  </si>
  <si>
    <t>VR Dev 9</t>
  </si>
  <si>
    <t>VR Dev 10</t>
  </si>
  <si>
    <t>Machine Learning Dev 1</t>
  </si>
  <si>
    <t>Machine Learning Dev 2</t>
  </si>
  <si>
    <t>Cloud Engineer 5</t>
  </si>
  <si>
    <t>Cloud Engineer 6</t>
  </si>
  <si>
    <t>Experience Designer 3</t>
  </si>
  <si>
    <t>Data Scientist 3</t>
  </si>
  <si>
    <t>Customer Support 3</t>
  </si>
  <si>
    <t>Machine Learning Dev 3</t>
  </si>
  <si>
    <t>Machine Learning Dev 4</t>
  </si>
  <si>
    <t>Cloud Engineer 7</t>
  </si>
  <si>
    <t>Cloud Engineer 8</t>
  </si>
  <si>
    <t>Experience Designer 4</t>
  </si>
  <si>
    <t>Data Scientist 4</t>
  </si>
  <si>
    <t>Customer Support 4</t>
  </si>
  <si>
    <t>Lunches</t>
  </si>
  <si>
    <t>Travel &amp; Mileage</t>
  </si>
  <si>
    <t>Golden Hellos</t>
  </si>
  <si>
    <t>Vacation Contribution</t>
  </si>
  <si>
    <t>Life Insurance</t>
  </si>
  <si>
    <t>Private Health Care</t>
  </si>
  <si>
    <t>Health Vouchers</t>
  </si>
  <si>
    <t>Government Pension</t>
  </si>
  <si>
    <t>Private Pension</t>
  </si>
  <si>
    <t>Payroll NIC</t>
  </si>
  <si>
    <t>Legal, Finance &amp; HR</t>
  </si>
  <si>
    <t>Legal</t>
  </si>
  <si>
    <t>Sucondered Internal IP Advisor</t>
  </si>
  <si>
    <t>IP Drafting Costs</t>
  </si>
  <si>
    <t>IP Fees</t>
  </si>
  <si>
    <t>Tax Advice</t>
  </si>
  <si>
    <t>HR External Advisor</t>
  </si>
  <si>
    <t>Recruitment Costs</t>
  </si>
  <si>
    <t xml:space="preserve">Investment Fees </t>
  </si>
  <si>
    <t>Consultants &amp; NEDS</t>
  </si>
  <si>
    <t>Board Advisory 1</t>
  </si>
  <si>
    <t>Board Advisory 2</t>
  </si>
  <si>
    <t xml:space="preserve">Office </t>
  </si>
  <si>
    <t>Rent</t>
  </si>
  <si>
    <t>Rates</t>
  </si>
  <si>
    <t>Telephony/ Mobile Accounts</t>
  </si>
  <si>
    <t>Internet [Primary Line]</t>
  </si>
  <si>
    <t>Internet [Secondary Line]</t>
  </si>
  <si>
    <t>Utilities</t>
  </si>
  <si>
    <t>Repairs and Maintenance</t>
  </si>
  <si>
    <t>PLI Insurance</t>
  </si>
  <si>
    <t>Stationery</t>
  </si>
  <si>
    <t>Confectionary</t>
  </si>
  <si>
    <t>Travel</t>
  </si>
  <si>
    <t>International Travel</t>
  </si>
  <si>
    <t>National Travel</t>
  </si>
  <si>
    <t>Accomodation</t>
  </si>
  <si>
    <t>Expenses</t>
  </si>
  <si>
    <t xml:space="preserve">Sustenance Allowance </t>
  </si>
  <si>
    <t>Vehicle Hire</t>
  </si>
  <si>
    <t>Misc Cost</t>
  </si>
  <si>
    <t>Finance</t>
  </si>
  <si>
    <t>Payroll</t>
  </si>
  <si>
    <t>Accounting Software</t>
  </si>
  <si>
    <t>Banking Fees</t>
  </si>
  <si>
    <t>Petty Cash</t>
  </si>
  <si>
    <t>Direct Capital Raise Costs</t>
  </si>
  <si>
    <t>Grant Applications</t>
  </si>
  <si>
    <t>Compliance &amp; Regulation</t>
  </si>
  <si>
    <t>Management System</t>
  </si>
  <si>
    <t>Quality Systems</t>
  </si>
  <si>
    <t>Professional Liability Insurance</t>
  </si>
  <si>
    <t>Equipment Liability Insurance</t>
  </si>
  <si>
    <t>Employers Liability Insurance</t>
  </si>
  <si>
    <t>Tooling</t>
  </si>
  <si>
    <t>GoToMeeting</t>
  </si>
  <si>
    <t>Email</t>
  </si>
  <si>
    <t>Asana</t>
  </si>
  <si>
    <t>Office (inc skype)</t>
  </si>
  <si>
    <t>Mobile</t>
  </si>
  <si>
    <t xml:space="preserve">Product </t>
  </si>
  <si>
    <t>Cloud Infrastructure (serverless):</t>
  </si>
  <si>
    <t>AWS Lambda</t>
  </si>
  <si>
    <t>Azure Functions</t>
  </si>
  <si>
    <t>DevOps:</t>
  </si>
  <si>
    <t>GitLab Silver/Premium</t>
  </si>
  <si>
    <t>GitLab Gold/Ultimate</t>
  </si>
  <si>
    <t xml:space="preserve">Customer Support: </t>
  </si>
  <si>
    <t xml:space="preserve"> </t>
  </si>
  <si>
    <t>Zendesk Team</t>
  </si>
  <si>
    <t>Zendesk Pro</t>
  </si>
  <si>
    <t>Zendesk Enterprise</t>
  </si>
  <si>
    <t>Marketing &amp; Coms</t>
  </si>
  <si>
    <t xml:space="preserve">Marketing </t>
  </si>
  <si>
    <t>Emergency</t>
  </si>
  <si>
    <t>VReeMind Personnel Plan</t>
  </si>
  <si>
    <t xml:space="preserve">Personnel </t>
  </si>
  <si>
    <t>Laurens Coeveld</t>
  </si>
  <si>
    <t>Aaron Smiles</t>
  </si>
  <si>
    <t xml:space="preserve">Scott McFaddin </t>
  </si>
  <si>
    <t>Sam Contractor</t>
  </si>
  <si>
    <t>Other</t>
  </si>
  <si>
    <t>Total People</t>
  </si>
  <si>
    <t>Total Payroll</t>
  </si>
  <si>
    <t>Weight (%)</t>
  </si>
  <si>
    <t>Subscription</t>
  </si>
  <si>
    <t>Price</t>
  </si>
  <si>
    <t>Monthly</t>
  </si>
  <si>
    <t>Silver</t>
  </si>
  <si>
    <t># of paid subcribers</t>
  </si>
  <si>
    <t xml:space="preserve">Gold </t>
  </si>
  <si>
    <t>Platinum</t>
  </si>
  <si>
    <t>Traction Benchmarks</t>
  </si>
  <si>
    <t>TOTAL REVS</t>
  </si>
  <si>
    <t>GROSS PROFIT</t>
  </si>
  <si>
    <t>PAM:</t>
  </si>
  <si>
    <t>Global smart phone users</t>
  </si>
  <si>
    <t>https://www.statista.com/statistics/330695/number-of-smartphone-users-worldwide/</t>
  </si>
  <si>
    <t>TAM:</t>
  </si>
  <si>
    <t>Global mental health sufferers/market</t>
  </si>
  <si>
    <t>https://ourworldindata.org/global-mental-health</t>
  </si>
  <si>
    <t>SAM:</t>
  </si>
  <si>
    <t>US mental health sufferers/market</t>
  </si>
  <si>
    <t>https://www.hopkinsmedicine.org/health/wellness-and-prevention/mental-health-disorder-statistics</t>
  </si>
  <si>
    <t>https://policyadvice.net/health-insurance/insights/mental-health-statistics/</t>
  </si>
  <si>
    <t xml:space="preserve"> https://www.census.gov/popclock/</t>
  </si>
  <si>
    <t>SOM:</t>
  </si>
  <si>
    <t>US phobia sufferers</t>
  </si>
  <si>
    <t>https://www.nimh.nih.gov/health/statistics/specific-phobia.shtml</t>
  </si>
  <si>
    <t xml:space="preserve"> https://www.verywellmind.com/prevalence-of-phobias-in-the-united-states-2671912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</si>
</sst>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-* #,##0.00_-;\-* #,##0.00_-;_-* &quot;-&quot;??_-;_-@_-"/>
    <numFmt numFmtId="165" formatCode="_(&quot;£&quot;* #,##0.00_);_(&quot;£&quot;* \(#,##0.00\);_(&quot;£&quot;* &quot;-&quot;??_);_(@_)"/>
    <numFmt numFmtId="166" formatCode="_(* #,##0_);_(* \(#,##0\);_(* &quot;-&quot;??_);_(@_)"/>
    <numFmt numFmtId="167" formatCode="0.0%"/>
    <numFmt numFmtId="168" formatCode="0_);[Red]\(0\)"/>
    <numFmt numFmtId="169" formatCode="#.00\x"/>
    <numFmt numFmtId="170" formatCode="#.#\x"/>
    <numFmt numFmtId="171" formatCode="&quot;$&quot;#,##0"/>
    <numFmt numFmtId="172" formatCode="&quot;$&quot;#,##0.00000000_);[Red]\(&quot;$&quot;#,##0.00000000\)"/>
    <numFmt numFmtId="173" formatCode="mm/dd/yy"/>
    <numFmt numFmtId="174" formatCode="_(&quot;£&quot;* #,##0_);_(&quot;£&quot;* \(#,##0\);_(&quot;£&quot;* &quot;-&quot;??_);_(@_)"/>
    <numFmt numFmtId="175" formatCode="_-[$$-409]* #,##0.00_ ;_-[$$-409]* \-#,##0.00\ ;_-[$$-409]* &quot;-&quot;??_ ;_-@_ "/>
    <numFmt numFmtId="176" formatCode="_-[$$-409]* #,##0_ ;_-[$$-409]* \-#,##0\ ;_-[$$-409]* &quot;-&quot;??_ ;_-@_ "/>
    <numFmt numFmtId="177" formatCode="_([$$-409]* #,##0.00_);_([$$-409]* \(#,##0.00\);_([$$-409]* &quot;-&quot;??_);_(@_)"/>
    <numFmt numFmtId="178" formatCode="0.00000000000000%"/>
    <numFmt numFmtId="179" formatCode="_([$$-409]* #,##0_);_([$$-409]* \(#,##0\);_([$$-409]* &quot;-&quot;_);_(@_)"/>
    <numFmt numFmtId="180" formatCode="0.00_);[Red]\(0.00\)"/>
    <numFmt numFmtId="181" formatCode="0.0"/>
  </numFmts>
  <fonts count="40">
    <font>
      <sz val="10"/>
      <color theme="1"/>
      <name val="Avenir"/>
      <family val="2"/>
    </font>
    <font>
      <sz val="10"/>
      <color theme="1"/>
      <name val="Avenir"/>
      <family val="2"/>
    </font>
    <font>
      <b/>
      <sz val="10"/>
      <color theme="1"/>
      <name val="Avenir"/>
      <family val="2"/>
    </font>
    <font>
      <sz val="12"/>
      <color theme="1"/>
      <name val="Trebuchet MS"/>
      <family val="2"/>
      <scheme val="minor"/>
    </font>
    <font>
      <sz val="8"/>
      <color theme="1"/>
      <name val="Avenir Next Regular"/>
    </font>
    <font>
      <sz val="10"/>
      <color rgb="FFFF0000"/>
      <name val="Avenir"/>
      <family val="2"/>
    </font>
    <font>
      <sz val="10"/>
      <name val="Avenir Book"/>
      <family val="2"/>
    </font>
    <font>
      <sz val="10"/>
      <color rgb="FF000000"/>
      <name val="Avenir"/>
      <family val="2"/>
    </font>
    <font>
      <sz val="12"/>
      <name val="Avenir Next Regular"/>
    </font>
    <font>
      <sz val="10"/>
      <color indexed="12"/>
      <name val="Avenir Next Regular"/>
    </font>
    <font>
      <sz val="10"/>
      <name val="Avenir Next Regular"/>
    </font>
    <font>
      <sz val="10"/>
      <color indexed="23"/>
      <name val="Avenir Next Regular"/>
    </font>
    <font>
      <b/>
      <sz val="10"/>
      <name val="Avenir Next Regular"/>
    </font>
    <font>
      <sz val="10"/>
      <color theme="0" tint="-0.499984740745262"/>
      <name val="Avenir Next Regular"/>
    </font>
    <font>
      <sz val="10"/>
      <color rgb="FF92D050"/>
      <name val="Avenir Next Regular"/>
    </font>
    <font>
      <sz val="10"/>
      <color theme="5"/>
      <name val="Avenir Next Regular"/>
    </font>
    <font>
      <b/>
      <sz val="10"/>
      <color theme="1"/>
      <name val="Avenir Book"/>
      <family val="2"/>
    </font>
    <font>
      <b/>
      <sz val="10"/>
      <color theme="0" tint="-0.249977111117893"/>
      <name val="Avenir Book"/>
      <family val="2"/>
    </font>
    <font>
      <sz val="10"/>
      <color theme="1"/>
      <name val="Avenir Book"/>
      <family val="2"/>
    </font>
    <font>
      <sz val="10"/>
      <color rgb="FF000000"/>
      <name val="Avenir Book"/>
      <family val="2"/>
    </font>
    <font>
      <b/>
      <sz val="10"/>
      <color rgb="FF000000"/>
      <name val="Avenir"/>
      <family val="2"/>
    </font>
    <font>
      <i/>
      <sz val="10"/>
      <color theme="1"/>
      <name val="Avenir"/>
    </font>
    <font>
      <b/>
      <i/>
      <sz val="10"/>
      <name val="Avenir Next Regular"/>
    </font>
    <font>
      <b/>
      <sz val="10"/>
      <color theme="1"/>
      <name val="Avenir"/>
    </font>
    <font>
      <i/>
      <sz val="10"/>
      <color theme="1"/>
      <name val="Avenir"/>
      <family val="2"/>
    </font>
    <font>
      <u/>
      <sz val="10"/>
      <color theme="1"/>
      <name val="Avenir"/>
      <family val="2"/>
    </font>
    <font>
      <i/>
      <sz val="10"/>
      <color theme="1"/>
      <name val="Avenir Book"/>
      <family val="2"/>
    </font>
    <font>
      <b/>
      <sz val="10"/>
      <name val="Avenir"/>
      <family val="2"/>
    </font>
    <font>
      <b/>
      <sz val="12"/>
      <color theme="1"/>
      <name val="Avenir Next Regular"/>
    </font>
    <font>
      <sz val="12"/>
      <color theme="1"/>
      <name val="Avenir Next Regular"/>
    </font>
    <font>
      <b/>
      <sz val="12"/>
      <color theme="0" tint="-0.249977111117893"/>
      <name val="Avenir Next Regular"/>
    </font>
    <font>
      <b/>
      <sz val="12"/>
      <color rgb="FF000000"/>
      <name val="Avenir Next Regular"/>
    </font>
    <font>
      <b/>
      <sz val="26"/>
      <color theme="1"/>
      <name val="Avenir Next Regular"/>
    </font>
    <font>
      <b/>
      <sz val="12"/>
      <name val="Avenir Next Regular"/>
    </font>
    <font>
      <b/>
      <i/>
      <sz val="12"/>
      <color theme="0" tint="-0.249977111117893"/>
      <name val="Avenir Next Regular"/>
    </font>
    <font>
      <b/>
      <i/>
      <sz val="12"/>
      <color theme="1"/>
      <name val="Avenir Next Regular"/>
    </font>
    <font>
      <i/>
      <sz val="12"/>
      <color theme="1"/>
      <name val="Avenir Next Regular"/>
    </font>
    <font>
      <b/>
      <i/>
      <sz val="12"/>
      <color theme="1"/>
      <name val="Avenir"/>
    </font>
    <font>
      <u/>
      <sz val="10"/>
      <color theme="10"/>
      <name val="Avenir"/>
      <family val="2"/>
    </font>
    <font>
      <b/>
      <sz val="17"/>
      <color theme="3" tint="0.39997558519241921"/>
      <name val="Avenir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D5D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medium">
        <color rgb="FF50505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408">
    <xf numFmtId="0" fontId="0" fillId="0" borderId="0" xfId="0"/>
    <xf numFmtId="0" fontId="2" fillId="2" borderId="0" xfId="0" applyFont="1" applyFill="1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right"/>
    </xf>
    <xf numFmtId="9" fontId="5" fillId="0" borderId="0" xfId="5" applyFont="1"/>
    <xf numFmtId="0" fontId="0" fillId="5" borderId="0" xfId="0" applyFill="1"/>
    <xf numFmtId="0" fontId="6" fillId="0" borderId="0" xfId="0" applyFont="1" applyAlignment="1">
      <alignment horizontal="righ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8" fillId="0" borderId="0" xfId="0" applyFont="1"/>
    <xf numFmtId="6" fontId="10" fillId="0" borderId="0" xfId="0" applyNumberFormat="1" applyFont="1"/>
    <xf numFmtId="0" fontId="10" fillId="0" borderId="0" xfId="0" applyFont="1"/>
    <xf numFmtId="10" fontId="10" fillId="0" borderId="0" xfId="0" applyNumberFormat="1" applyFont="1"/>
    <xf numFmtId="8" fontId="12" fillId="0" borderId="0" xfId="0" applyNumberFormat="1" applyFont="1"/>
    <xf numFmtId="8" fontId="10" fillId="0" borderId="0" xfId="0" applyNumberFormat="1" applyFont="1"/>
    <xf numFmtId="169" fontId="10" fillId="0" borderId="0" xfId="0" applyNumberFormat="1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10" fillId="0" borderId="0" xfId="0" applyFont="1" applyAlignment="1">
      <alignment wrapText="1"/>
    </xf>
    <xf numFmtId="6" fontId="12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10" fontId="12" fillId="0" borderId="1" xfId="0" applyNumberFormat="1" applyFont="1" applyBorder="1" applyAlignment="1">
      <alignment horizontal="center" wrapText="1"/>
    </xf>
    <xf numFmtId="6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0" fontId="12" fillId="0" borderId="0" xfId="0" applyFont="1"/>
    <xf numFmtId="0" fontId="10" fillId="0" borderId="0" xfId="0" applyFont="1" applyAlignment="1">
      <alignment horizontal="left" indent="1"/>
    </xf>
    <xf numFmtId="38" fontId="10" fillId="0" borderId="0" xfId="0" applyNumberFormat="1" applyFont="1"/>
    <xf numFmtId="0" fontId="13" fillId="0" borderId="0" xfId="0" applyFont="1" applyAlignment="1">
      <alignment horizontal="left" indent="2"/>
    </xf>
    <xf numFmtId="166" fontId="13" fillId="0" borderId="0" xfId="1" applyNumberFormat="1" applyFont="1"/>
    <xf numFmtId="10" fontId="13" fillId="0" borderId="0" xfId="0" applyNumberFormat="1" applyFont="1" applyAlignment="1"/>
    <xf numFmtId="38" fontId="13" fillId="0" borderId="0" xfId="0" applyNumberFormat="1" applyFont="1" applyAlignment="1"/>
    <xf numFmtId="0" fontId="11" fillId="0" borderId="0" xfId="0" applyFont="1"/>
    <xf numFmtId="0" fontId="10" fillId="0" borderId="0" xfId="0" applyFont="1" applyBorder="1"/>
    <xf numFmtId="38" fontId="10" fillId="0" borderId="0" xfId="0" applyNumberFormat="1" applyFont="1" applyBorder="1"/>
    <xf numFmtId="10" fontId="10" fillId="0" borderId="0" xfId="0" applyNumberFormat="1" applyFont="1" applyBorder="1"/>
    <xf numFmtId="0" fontId="13" fillId="0" borderId="0" xfId="0" applyFont="1" applyBorder="1" applyAlignment="1">
      <alignment horizontal="left" indent="2"/>
    </xf>
    <xf numFmtId="10" fontId="13" fillId="0" borderId="0" xfId="0" applyNumberFormat="1" applyFont="1" applyBorder="1" applyAlignment="1">
      <alignment horizontal="right"/>
    </xf>
    <xf numFmtId="0" fontId="13" fillId="0" borderId="1" xfId="0" applyFont="1" applyBorder="1" applyAlignment="1">
      <alignment horizontal="left" indent="2"/>
    </xf>
    <xf numFmtId="166" fontId="13" fillId="0" borderId="1" xfId="1" applyNumberFormat="1" applyFont="1" applyBorder="1"/>
    <xf numFmtId="10" fontId="13" fillId="0" borderId="1" xfId="0" applyNumberFormat="1" applyFont="1" applyBorder="1" applyAlignment="1">
      <alignment horizontal="right"/>
    </xf>
    <xf numFmtId="166" fontId="10" fillId="0" borderId="0" xfId="0" applyNumberFormat="1" applyFont="1"/>
    <xf numFmtId="10" fontId="12" fillId="0" borderId="1" xfId="0" applyNumberFormat="1" applyFont="1" applyBorder="1" applyAlignment="1">
      <alignment horizontal="center"/>
    </xf>
    <xf numFmtId="38" fontId="10" fillId="0" borderId="1" xfId="0" applyNumberFormat="1" applyFont="1" applyBorder="1"/>
    <xf numFmtId="10" fontId="10" fillId="0" borderId="1" xfId="0" applyNumberFormat="1" applyFont="1" applyBorder="1"/>
    <xf numFmtId="171" fontId="10" fillId="0" borderId="0" xfId="0" applyNumberFormat="1" applyFont="1"/>
    <xf numFmtId="171" fontId="8" fillId="0" borderId="0" xfId="0" applyNumberFormat="1" applyFont="1"/>
    <xf numFmtId="0" fontId="8" fillId="0" borderId="0" xfId="0" applyFont="1" applyAlignment="1">
      <alignment horizontal="right"/>
    </xf>
    <xf numFmtId="38" fontId="8" fillId="0" borderId="0" xfId="0" applyNumberFormat="1" applyFont="1"/>
    <xf numFmtId="38" fontId="8" fillId="0" borderId="0" xfId="0" applyNumberFormat="1" applyFont="1" applyBorder="1"/>
    <xf numFmtId="10" fontId="12" fillId="0" borderId="0" xfId="0" applyNumberFormat="1" applyFont="1" applyAlignment="1">
      <alignment horizontal="right"/>
    </xf>
    <xf numFmtId="166" fontId="9" fillId="7" borderId="0" xfId="1" applyNumberFormat="1" applyFont="1" applyFill="1"/>
    <xf numFmtId="166" fontId="9" fillId="7" borderId="1" xfId="1" applyNumberFormat="1" applyFont="1" applyFill="1" applyBorder="1"/>
    <xf numFmtId="174" fontId="10" fillId="0" borderId="0" xfId="6" applyNumberFormat="1" applyFont="1"/>
    <xf numFmtId="165" fontId="9" fillId="7" borderId="0" xfId="6" applyNumberFormat="1" applyFont="1" applyFill="1" applyAlignment="1">
      <alignment horizontal="center"/>
    </xf>
    <xf numFmtId="165" fontId="10" fillId="0" borderId="0" xfId="6" applyNumberFormat="1" applyFont="1"/>
    <xf numFmtId="6" fontId="10" fillId="3" borderId="2" xfId="0" applyNumberFormat="1" applyFont="1" applyFill="1" applyBorder="1"/>
    <xf numFmtId="0" fontId="10" fillId="3" borderId="3" xfId="0" applyFont="1" applyFill="1" applyBorder="1"/>
    <xf numFmtId="10" fontId="10" fillId="3" borderId="4" xfId="0" applyNumberFormat="1" applyFont="1" applyFill="1" applyBorder="1"/>
    <xf numFmtId="6" fontId="10" fillId="3" borderId="5" xfId="0" applyNumberFormat="1" applyFont="1" applyFill="1" applyBorder="1"/>
    <xf numFmtId="0" fontId="10" fillId="3" borderId="0" xfId="0" applyFont="1" applyFill="1" applyBorder="1"/>
    <xf numFmtId="10" fontId="10" fillId="3" borderId="6" xfId="0" applyNumberFormat="1" applyFont="1" applyFill="1" applyBorder="1"/>
    <xf numFmtId="0" fontId="10" fillId="3" borderId="4" xfId="0" applyFont="1" applyFill="1" applyBorder="1"/>
    <xf numFmtId="0" fontId="10" fillId="3" borderId="5" xfId="0" applyFont="1" applyFill="1" applyBorder="1"/>
    <xf numFmtId="0" fontId="10" fillId="3" borderId="6" xfId="0" applyFont="1" applyFill="1" applyBorder="1"/>
    <xf numFmtId="0" fontId="12" fillId="5" borderId="0" xfId="0" applyFont="1" applyFill="1" applyBorder="1" applyAlignment="1">
      <alignment horizontal="left" indent="1"/>
    </xf>
    <xf numFmtId="0" fontId="12" fillId="5" borderId="0" xfId="0" applyFont="1" applyFill="1" applyBorder="1"/>
    <xf numFmtId="38" fontId="12" fillId="5" borderId="0" xfId="0" applyNumberFormat="1" applyFont="1" applyFill="1" applyBorder="1"/>
    <xf numFmtId="10" fontId="12" fillId="5" borderId="0" xfId="0" applyNumberFormat="1" applyFont="1" applyFill="1" applyBorder="1"/>
    <xf numFmtId="0" fontId="12" fillId="5" borderId="0" xfId="0" applyFont="1" applyFill="1" applyAlignment="1">
      <alignment horizontal="left" indent="1"/>
    </xf>
    <xf numFmtId="0" fontId="12" fillId="5" borderId="0" xfId="0" applyFont="1" applyFill="1"/>
    <xf numFmtId="38" fontId="12" fillId="5" borderId="0" xfId="0" applyNumberFormat="1" applyFont="1" applyFill="1"/>
    <xf numFmtId="10" fontId="12" fillId="5" borderId="0" xfId="0" applyNumberFormat="1" applyFont="1" applyFill="1"/>
    <xf numFmtId="0" fontId="10" fillId="0" borderId="10" xfId="0" applyFont="1" applyBorder="1"/>
    <xf numFmtId="38" fontId="10" fillId="0" borderId="10" xfId="0" applyNumberFormat="1" applyFont="1" applyFill="1" applyBorder="1"/>
    <xf numFmtId="10" fontId="10" fillId="0" borderId="10" xfId="0" applyNumberFormat="1" applyFont="1" applyBorder="1"/>
    <xf numFmtId="38" fontId="10" fillId="0" borderId="10" xfId="0" applyNumberFormat="1" applyFont="1" applyBorder="1"/>
    <xf numFmtId="0" fontId="10" fillId="8" borderId="0" xfId="0" applyFont="1" applyFill="1"/>
    <xf numFmtId="165" fontId="10" fillId="8" borderId="0" xfId="6" applyNumberFormat="1" applyFont="1" applyFill="1"/>
    <xf numFmtId="0" fontId="10" fillId="8" borderId="0" xfId="0" applyFont="1" applyFill="1" applyAlignment="1">
      <alignment horizontal="center" wrapText="1"/>
    </xf>
    <xf numFmtId="0" fontId="12" fillId="8" borderId="0" xfId="0" applyFont="1" applyFill="1"/>
    <xf numFmtId="0" fontId="11" fillId="8" borderId="0" xfId="0" applyFont="1" applyFill="1" applyAlignment="1"/>
    <xf numFmtId="0" fontId="12" fillId="8" borderId="0" xfId="0" applyFont="1" applyFill="1" applyBorder="1"/>
    <xf numFmtId="0" fontId="11" fillId="8" borderId="0" xfId="0" applyFont="1" applyFill="1" applyAlignment="1">
      <alignment horizontal="right"/>
    </xf>
    <xf numFmtId="0" fontId="10" fillId="8" borderId="0" xfId="0" applyFont="1" applyFill="1" applyAlignment="1">
      <alignment horizontal="center"/>
    </xf>
    <xf numFmtId="0" fontId="10" fillId="8" borderId="0" xfId="0" applyFont="1" applyFill="1" applyBorder="1"/>
    <xf numFmtId="0" fontId="10" fillId="8" borderId="1" xfId="0" applyFont="1" applyFill="1" applyBorder="1"/>
    <xf numFmtId="0" fontId="8" fillId="8" borderId="0" xfId="0" applyFont="1" applyFill="1"/>
    <xf numFmtId="174" fontId="10" fillId="8" borderId="0" xfId="6" applyNumberFormat="1" applyFont="1" applyFill="1"/>
    <xf numFmtId="38" fontId="10" fillId="8" borderId="0" xfId="0" applyNumberFormat="1" applyFont="1" applyFill="1" applyBorder="1"/>
    <xf numFmtId="172" fontId="8" fillId="8" borderId="0" xfId="0" applyNumberFormat="1" applyFont="1" applyFill="1"/>
    <xf numFmtId="173" fontId="8" fillId="8" borderId="0" xfId="0" applyNumberFormat="1" applyFont="1" applyFill="1" applyAlignment="1"/>
    <xf numFmtId="0" fontId="8" fillId="8" borderId="0" xfId="0" applyFont="1" applyFill="1" applyAlignment="1">
      <alignment horizontal="right"/>
    </xf>
    <xf numFmtId="171" fontId="8" fillId="8" borderId="0" xfId="0" applyNumberFormat="1" applyFont="1" applyFill="1"/>
    <xf numFmtId="10" fontId="8" fillId="8" borderId="0" xfId="0" applyNumberFormat="1" applyFont="1" applyFill="1"/>
    <xf numFmtId="10" fontId="10" fillId="8" borderId="0" xfId="0" applyNumberFormat="1" applyFont="1" applyFill="1" applyAlignment="1">
      <alignment horizontal="right"/>
    </xf>
    <xf numFmtId="0" fontId="12" fillId="0" borderId="0" xfId="0" applyFont="1" applyFill="1" applyBorder="1" applyAlignment="1">
      <alignment horizontal="right"/>
    </xf>
    <xf numFmtId="171" fontId="12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wrapText="1"/>
    </xf>
    <xf numFmtId="170" fontId="12" fillId="0" borderId="0" xfId="0" applyNumberFormat="1" applyFont="1" applyAlignment="1">
      <alignment horizontal="right"/>
    </xf>
    <xf numFmtId="9" fontId="13" fillId="0" borderId="0" xfId="5" applyFont="1" applyAlignment="1"/>
    <xf numFmtId="9" fontId="12" fillId="5" borderId="0" xfId="5" applyFont="1" applyFill="1" applyBorder="1"/>
    <xf numFmtId="9" fontId="10" fillId="0" borderId="0" xfId="5" applyFont="1"/>
    <xf numFmtId="38" fontId="13" fillId="0" borderId="1" xfId="0" applyNumberFormat="1" applyFont="1" applyBorder="1" applyAlignment="1"/>
    <xf numFmtId="9" fontId="13" fillId="0" borderId="1" xfId="5" applyFont="1" applyBorder="1" applyAlignment="1"/>
    <xf numFmtId="0" fontId="12" fillId="0" borderId="11" xfId="0" applyFont="1" applyBorder="1" applyAlignment="1">
      <alignment horizontal="center"/>
    </xf>
    <xf numFmtId="0" fontId="10" fillId="0" borderId="12" xfId="0" applyFont="1" applyBorder="1"/>
    <xf numFmtId="0" fontId="10" fillId="0" borderId="13" xfId="0" applyFont="1" applyBorder="1"/>
    <xf numFmtId="174" fontId="11" fillId="0" borderId="0" xfId="0" applyNumberFormat="1" applyFont="1"/>
    <xf numFmtId="6" fontId="10" fillId="9" borderId="2" xfId="0" applyNumberFormat="1" applyFont="1" applyFill="1" applyBorder="1"/>
    <xf numFmtId="0" fontId="10" fillId="9" borderId="4" xfId="0" applyFont="1" applyFill="1" applyBorder="1"/>
    <xf numFmtId="0" fontId="10" fillId="9" borderId="5" xfId="0" applyFont="1" applyFill="1" applyBorder="1"/>
    <xf numFmtId="0" fontId="10" fillId="9" borderId="0" xfId="0" applyFont="1" applyFill="1" applyBorder="1"/>
    <xf numFmtId="0" fontId="10" fillId="9" borderId="6" xfId="0" applyFont="1" applyFill="1" applyBorder="1"/>
    <xf numFmtId="0" fontId="2" fillId="0" borderId="0" xfId="0" applyFont="1" applyAlignment="1">
      <alignment horizontal="right"/>
    </xf>
    <xf numFmtId="0" fontId="0" fillId="0" borderId="0" xfId="0" applyFont="1"/>
    <xf numFmtId="0" fontId="0" fillId="2" borderId="0" xfId="0" applyFont="1" applyFill="1"/>
    <xf numFmtId="166" fontId="0" fillId="0" borderId="0" xfId="1" applyNumberFormat="1" applyFont="1" applyAlignment="1">
      <alignment horizontal="right"/>
    </xf>
    <xf numFmtId="0" fontId="2" fillId="8" borderId="0" xfId="0" applyFont="1" applyFill="1"/>
    <xf numFmtId="0" fontId="2" fillId="8" borderId="0" xfId="0" applyFont="1" applyFill="1" applyAlignment="1">
      <alignment horizontal="right"/>
    </xf>
    <xf numFmtId="0" fontId="0" fillId="5" borderId="0" xfId="0" applyFont="1" applyFill="1"/>
    <xf numFmtId="0" fontId="0" fillId="0" borderId="0" xfId="0" applyFont="1" applyAlignment="1">
      <alignment horizontal="right"/>
    </xf>
    <xf numFmtId="0" fontId="16" fillId="0" borderId="0" xfId="0" applyFont="1" applyBorder="1" applyAlignment="1">
      <alignment horizontal="right" vertical="center" wrapText="1"/>
    </xf>
    <xf numFmtId="0" fontId="17" fillId="6" borderId="0" xfId="0" applyFont="1" applyFill="1" applyBorder="1" applyAlignment="1">
      <alignment horizontal="right" vertical="center" wrapText="1"/>
    </xf>
    <xf numFmtId="0" fontId="19" fillId="0" borderId="0" xfId="0" applyFont="1" applyAlignment="1">
      <alignment horizontal="right"/>
    </xf>
    <xf numFmtId="0" fontId="18" fillId="0" borderId="0" xfId="0" applyFont="1" applyFill="1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applyFont="1" applyBorder="1" applyAlignment="1">
      <alignment horizontal="right" wrapText="1"/>
    </xf>
    <xf numFmtId="0" fontId="18" fillId="0" borderId="0" xfId="0" applyFont="1" applyAlignment="1">
      <alignment horizontal="right" vertical="center"/>
    </xf>
    <xf numFmtId="0" fontId="18" fillId="0" borderId="0" xfId="0" applyFont="1" applyBorder="1" applyAlignment="1">
      <alignment horizontal="right" vertical="center" wrapText="1"/>
    </xf>
    <xf numFmtId="168" fontId="0" fillId="0" borderId="0" xfId="0" applyNumberFormat="1" applyFont="1"/>
    <xf numFmtId="0" fontId="16" fillId="3" borderId="0" xfId="0" applyFont="1" applyFill="1" applyAlignment="1">
      <alignment horizontal="left" vertical="top"/>
    </xf>
    <xf numFmtId="0" fontId="0" fillId="3" borderId="0" xfId="0" applyFont="1" applyFill="1"/>
    <xf numFmtId="0" fontId="0" fillId="3" borderId="0" xfId="0" applyFill="1"/>
    <xf numFmtId="0" fontId="2" fillId="3" borderId="0" xfId="0" applyFont="1" applyFill="1"/>
    <xf numFmtId="0" fontId="20" fillId="4" borderId="0" xfId="0" applyFont="1" applyFill="1"/>
    <xf numFmtId="0" fontId="0" fillId="7" borderId="0" xfId="0" applyFill="1"/>
    <xf numFmtId="0" fontId="0" fillId="0" borderId="0" xfId="0" applyFont="1" applyAlignment="1">
      <alignment horizontal="left"/>
    </xf>
    <xf numFmtId="38" fontId="18" fillId="0" borderId="0" xfId="0" applyNumberFormat="1" applyFont="1" applyFill="1" applyAlignment="1">
      <alignment horizontal="right"/>
    </xf>
    <xf numFmtId="38" fontId="18" fillId="0" borderId="0" xfId="0" applyNumberFormat="1" applyFont="1" applyBorder="1" applyAlignment="1">
      <alignment horizontal="right" wrapText="1"/>
    </xf>
    <xf numFmtId="38" fontId="0" fillId="0" borderId="0" xfId="0" applyNumberFormat="1" applyFont="1" applyAlignment="1">
      <alignment horizontal="right"/>
    </xf>
    <xf numFmtId="38" fontId="0" fillId="0" borderId="10" xfId="0" applyNumberFormat="1" applyFont="1" applyBorder="1"/>
    <xf numFmtId="38" fontId="0" fillId="0" borderId="0" xfId="0" applyNumberFormat="1" applyFont="1"/>
    <xf numFmtId="38" fontId="0" fillId="0" borderId="0" xfId="0" applyNumberFormat="1" applyFont="1" applyBorder="1"/>
    <xf numFmtId="38" fontId="0" fillId="0" borderId="8" xfId="0" applyNumberFormat="1" applyFont="1" applyBorder="1"/>
    <xf numFmtId="38" fontId="0" fillId="3" borderId="1" xfId="0" applyNumberFormat="1" applyFont="1" applyFill="1" applyBorder="1"/>
    <xf numFmtId="38" fontId="7" fillId="0" borderId="0" xfId="0" applyNumberFormat="1" applyFont="1"/>
    <xf numFmtId="38" fontId="0" fillId="0" borderId="0" xfId="0" applyNumberFormat="1" applyFont="1" applyFill="1"/>
    <xf numFmtId="174" fontId="9" fillId="7" borderId="0" xfId="6" applyNumberFormat="1" applyFont="1" applyFill="1" applyAlignment="1">
      <alignment horizontal="center"/>
    </xf>
    <xf numFmtId="0" fontId="0" fillId="0" borderId="0" xfId="0" applyFill="1"/>
    <xf numFmtId="38" fontId="10" fillId="0" borderId="0" xfId="0" applyNumberFormat="1" applyFont="1" applyBorder="1" applyAlignment="1">
      <alignment horizontal="right"/>
    </xf>
    <xf numFmtId="38" fontId="10" fillId="0" borderId="0" xfId="0" applyNumberFormat="1" applyFont="1" applyAlignment="1">
      <alignment horizontal="right"/>
    </xf>
    <xf numFmtId="166" fontId="0" fillId="0" borderId="0" xfId="1" applyNumberFormat="1" applyFont="1" applyAlignment="1">
      <alignment horizontal="left"/>
    </xf>
    <xf numFmtId="0" fontId="10" fillId="4" borderId="3" xfId="0" applyFont="1" applyFill="1" applyBorder="1"/>
    <xf numFmtId="166" fontId="10" fillId="0" borderId="0" xfId="1" applyNumberFormat="1" applyFont="1" applyAlignment="1">
      <alignment horizontal="right"/>
    </xf>
    <xf numFmtId="9" fontId="0" fillId="10" borderId="0" xfId="5" applyFont="1" applyFill="1"/>
    <xf numFmtId="168" fontId="0" fillId="10" borderId="0" xfId="0" applyNumberFormat="1" applyFont="1" applyFill="1"/>
    <xf numFmtId="167" fontId="0" fillId="10" borderId="0" xfId="5" applyNumberFormat="1" applyFont="1" applyFill="1"/>
    <xf numFmtId="175" fontId="9" fillId="7" borderId="0" xfId="6" applyNumberFormat="1" applyFont="1" applyFill="1" applyBorder="1"/>
    <xf numFmtId="175" fontId="9" fillId="7" borderId="1" xfId="6" applyNumberFormat="1" applyFont="1" applyFill="1" applyBorder="1"/>
    <xf numFmtId="175" fontId="10" fillId="0" borderId="0" xfId="0" applyNumberFormat="1" applyFont="1"/>
    <xf numFmtId="175" fontId="10" fillId="0" borderId="0" xfId="6" applyNumberFormat="1" applyFont="1"/>
    <xf numFmtId="176" fontId="14" fillId="0" borderId="12" xfId="6" applyNumberFormat="1" applyFont="1" applyBorder="1"/>
    <xf numFmtId="176" fontId="10" fillId="0" borderId="12" xfId="0" applyNumberFormat="1" applyFont="1" applyBorder="1"/>
    <xf numFmtId="176" fontId="10" fillId="0" borderId="0" xfId="6" applyNumberFormat="1" applyFont="1"/>
    <xf numFmtId="176" fontId="15" fillId="0" borderId="0" xfId="6" applyNumberFormat="1" applyFont="1"/>
    <xf numFmtId="176" fontId="8" fillId="0" borderId="0" xfId="0" applyNumberFormat="1" applyFont="1"/>
    <xf numFmtId="0" fontId="21" fillId="0" borderId="0" xfId="0" applyFont="1" applyAlignment="1">
      <alignment horizontal="right"/>
    </xf>
    <xf numFmtId="0" fontId="21" fillId="0" borderId="0" xfId="0" applyFont="1"/>
    <xf numFmtId="168" fontId="21" fillId="0" borderId="0" xfId="0" applyNumberFormat="1" applyFont="1"/>
    <xf numFmtId="38" fontId="21" fillId="0" borderId="0" xfId="0" applyNumberFormat="1" applyFont="1"/>
    <xf numFmtId="0" fontId="12" fillId="0" borderId="11" xfId="0" applyFont="1" applyBorder="1" applyAlignment="1">
      <alignment wrapText="1"/>
    </xf>
    <xf numFmtId="174" fontId="11" fillId="0" borderId="12" xfId="6" applyNumberFormat="1" applyFont="1" applyBorder="1"/>
    <xf numFmtId="0" fontId="11" fillId="0" borderId="12" xfId="0" applyFont="1" applyBorder="1"/>
    <xf numFmtId="174" fontId="11" fillId="0" borderId="13" xfId="6" applyNumberFormat="1" applyFont="1" applyBorder="1"/>
    <xf numFmtId="10" fontId="10" fillId="0" borderId="0" xfId="5" applyNumberFormat="1" applyFont="1"/>
    <xf numFmtId="10" fontId="10" fillId="0" borderId="0" xfId="5" applyNumberFormat="1" applyFont="1" applyBorder="1"/>
    <xf numFmtId="14" fontId="10" fillId="0" borderId="0" xfId="0" applyNumberFormat="1" applyFont="1"/>
    <xf numFmtId="166" fontId="12" fillId="0" borderId="0" xfId="0" applyNumberFormat="1" applyFont="1"/>
    <xf numFmtId="0" fontId="12" fillId="0" borderId="15" xfId="0" applyFont="1" applyBorder="1"/>
    <xf numFmtId="0" fontId="12" fillId="0" borderId="14" xfId="0" applyFont="1" applyBorder="1"/>
    <xf numFmtId="10" fontId="10" fillId="0" borderId="17" xfId="5" applyNumberFormat="1" applyFont="1" applyBorder="1"/>
    <xf numFmtId="9" fontId="10" fillId="0" borderId="17" xfId="5" applyNumberFormat="1" applyFont="1" applyBorder="1"/>
    <xf numFmtId="9" fontId="10" fillId="0" borderId="0" xfId="0" applyNumberFormat="1" applyFont="1" applyBorder="1"/>
    <xf numFmtId="9" fontId="22" fillId="11" borderId="19" xfId="5" applyNumberFormat="1" applyFont="1" applyFill="1" applyBorder="1"/>
    <xf numFmtId="9" fontId="22" fillId="11" borderId="20" xfId="0" applyNumberFormat="1" applyFont="1" applyFill="1" applyBorder="1"/>
    <xf numFmtId="0" fontId="22" fillId="0" borderId="0" xfId="0" applyFont="1" applyFill="1" applyBorder="1" applyAlignment="1">
      <alignment horizontal="right"/>
    </xf>
    <xf numFmtId="0" fontId="12" fillId="0" borderId="16" xfId="0" applyFont="1" applyBorder="1"/>
    <xf numFmtId="177" fontId="10" fillId="0" borderId="18" xfId="0" applyNumberFormat="1" applyFont="1" applyBorder="1"/>
    <xf numFmtId="3" fontId="10" fillId="0" borderId="18" xfId="0" applyNumberFormat="1" applyFont="1" applyBorder="1"/>
    <xf numFmtId="3" fontId="22" fillId="11" borderId="21" xfId="0" applyNumberFormat="1" applyFont="1" applyFill="1" applyBorder="1"/>
    <xf numFmtId="9" fontId="0" fillId="0" borderId="0" xfId="0" applyNumberFormat="1"/>
    <xf numFmtId="2" fontId="0" fillId="0" borderId="0" xfId="0" applyNumberFormat="1"/>
    <xf numFmtId="0" fontId="23" fillId="0" borderId="0" xfId="0" applyFont="1"/>
    <xf numFmtId="0" fontId="23" fillId="0" borderId="0" xfId="0" applyFont="1" applyAlignment="1">
      <alignment wrapText="1"/>
    </xf>
    <xf numFmtId="9" fontId="0" fillId="0" borderId="0" xfId="5" applyFont="1"/>
    <xf numFmtId="0" fontId="10" fillId="9" borderId="3" xfId="0" applyFont="1" applyFill="1" applyBorder="1" applyAlignment="1">
      <alignment horizontal="left"/>
    </xf>
    <xf numFmtId="178" fontId="0" fillId="0" borderId="0" xfId="0" applyNumberFormat="1"/>
    <xf numFmtId="178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8" xfId="0" applyFill="1" applyBorder="1" applyAlignment="1"/>
    <xf numFmtId="0" fontId="24" fillId="0" borderId="22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5" fillId="12" borderId="0" xfId="0" applyFont="1" applyFill="1"/>
    <xf numFmtId="0" fontId="0" fillId="12" borderId="0" xfId="0" applyFill="1"/>
    <xf numFmtId="0" fontId="17" fillId="0" borderId="0" xfId="0" applyFont="1" applyFill="1" applyBorder="1" applyAlignment="1">
      <alignment horizontal="right" vertical="center" wrapText="1"/>
    </xf>
    <xf numFmtId="38" fontId="0" fillId="0" borderId="0" xfId="0" applyNumberFormat="1" applyFont="1" applyFill="1" applyBorder="1"/>
    <xf numFmtId="0" fontId="18" fillId="0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right" wrapText="1"/>
    </xf>
    <xf numFmtId="0" fontId="18" fillId="0" borderId="0" xfId="0" applyFont="1" applyFill="1" applyBorder="1" applyAlignment="1">
      <alignment horizontal="right" vertical="center" wrapText="1"/>
    </xf>
    <xf numFmtId="38" fontId="18" fillId="0" borderId="0" xfId="0" applyNumberFormat="1" applyFont="1" applyFill="1" applyBorder="1" applyAlignment="1">
      <alignment horizontal="right" wrapText="1"/>
    </xf>
    <xf numFmtId="168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38" fontId="0" fillId="0" borderId="0" xfId="0" applyNumberFormat="1" applyFont="1" applyFill="1" applyBorder="1" applyAlignment="1">
      <alignment horizontal="right"/>
    </xf>
    <xf numFmtId="0" fontId="16" fillId="0" borderId="0" xfId="0" applyFont="1" applyFill="1" applyBorder="1" applyAlignment="1">
      <alignment horizontal="left" vertical="top"/>
    </xf>
    <xf numFmtId="9" fontId="0" fillId="0" borderId="0" xfId="5" applyFont="1" applyFill="1" applyBorder="1"/>
    <xf numFmtId="0" fontId="19" fillId="0" borderId="0" xfId="0" applyFont="1" applyFill="1" applyBorder="1" applyAlignment="1">
      <alignment horizontal="right"/>
    </xf>
    <xf numFmtId="0" fontId="21" fillId="0" borderId="0" xfId="0" applyFont="1" applyFill="1" applyBorder="1"/>
    <xf numFmtId="168" fontId="21" fillId="0" borderId="0" xfId="0" applyNumberFormat="1" applyFont="1" applyFill="1" applyBorder="1"/>
    <xf numFmtId="0" fontId="21" fillId="0" borderId="0" xfId="0" applyFont="1" applyFill="1" applyBorder="1" applyAlignment="1">
      <alignment horizontal="right"/>
    </xf>
    <xf numFmtId="38" fontId="21" fillId="0" borderId="0" xfId="0" applyNumberFormat="1" applyFont="1" applyFill="1" applyBorder="1"/>
    <xf numFmtId="38" fontId="21" fillId="0" borderId="0" xfId="0" applyNumberFormat="1" applyFont="1" applyFill="1" applyBorder="1" applyAlignment="1">
      <alignment horizontal="right"/>
    </xf>
    <xf numFmtId="167" fontId="0" fillId="0" borderId="0" xfId="5" applyNumberFormat="1" applyFont="1" applyFill="1" applyBorder="1"/>
    <xf numFmtId="38" fontId="7" fillId="0" borderId="0" xfId="0" applyNumberFormat="1" applyFont="1" applyFill="1" applyBorder="1"/>
    <xf numFmtId="0" fontId="18" fillId="0" borderId="0" xfId="0" applyFont="1" applyFill="1" applyBorder="1" applyAlignment="1">
      <alignment horizontal="right" vertical="center"/>
    </xf>
    <xf numFmtId="0" fontId="0" fillId="0" borderId="0" xfId="0" applyFill="1" applyBorder="1"/>
    <xf numFmtId="38" fontId="18" fillId="0" borderId="0" xfId="0" applyNumberFormat="1" applyFont="1" applyFill="1" applyBorder="1" applyAlignment="1">
      <alignment horizontal="right"/>
    </xf>
    <xf numFmtId="175" fontId="0" fillId="0" borderId="0" xfId="0" applyNumberFormat="1" applyFont="1"/>
    <xf numFmtId="175" fontId="0" fillId="13" borderId="24" xfId="0" applyNumberFormat="1" applyFont="1" applyFill="1" applyBorder="1"/>
    <xf numFmtId="175" fontId="0" fillId="13" borderId="0" xfId="0" applyNumberFormat="1" applyFont="1" applyFill="1" applyBorder="1"/>
    <xf numFmtId="175" fontId="17" fillId="13" borderId="0" xfId="0" applyNumberFormat="1" applyFont="1" applyFill="1" applyBorder="1" applyAlignment="1">
      <alignment horizontal="right" vertical="center" wrapText="1"/>
    </xf>
    <xf numFmtId="175" fontId="0" fillId="13" borderId="0" xfId="0" applyNumberFormat="1" applyFont="1" applyFill="1" applyBorder="1" applyAlignment="1"/>
    <xf numFmtId="175" fontId="0" fillId="13" borderId="0" xfId="0" applyNumberFormat="1" applyFill="1"/>
    <xf numFmtId="175" fontId="18" fillId="13" borderId="24" xfId="0" applyNumberFormat="1" applyFont="1" applyFill="1" applyBorder="1" applyAlignment="1">
      <alignment vertical="center" wrapText="1"/>
    </xf>
    <xf numFmtId="175" fontId="0" fillId="13" borderId="24" xfId="0" applyNumberFormat="1" applyFill="1" applyBorder="1"/>
    <xf numFmtId="175" fontId="0" fillId="13" borderId="24" xfId="0" applyNumberFormat="1" applyFont="1" applyFill="1" applyBorder="1" applyAlignment="1"/>
    <xf numFmtId="175" fontId="18" fillId="13" borderId="23" xfId="0" applyNumberFormat="1" applyFont="1" applyFill="1" applyBorder="1" applyAlignment="1">
      <alignment vertical="top"/>
    </xf>
    <xf numFmtId="175" fontId="2" fillId="0" borderId="0" xfId="0" applyNumberFormat="1" applyFont="1" applyAlignment="1">
      <alignment horizontal="right"/>
    </xf>
    <xf numFmtId="175" fontId="0" fillId="0" borderId="0" xfId="0" applyNumberFormat="1" applyFont="1" applyFill="1"/>
    <xf numFmtId="176" fontId="0" fillId="0" borderId="10" xfId="0" applyNumberFormat="1" applyFont="1" applyBorder="1"/>
    <xf numFmtId="175" fontId="5" fillId="0" borderId="0" xfId="0" applyNumberFormat="1" applyFont="1"/>
    <xf numFmtId="176" fontId="5" fillId="0" borderId="10" xfId="0" applyNumberFormat="1" applyFont="1" applyBorder="1"/>
    <xf numFmtId="175" fontId="5" fillId="0" borderId="0" xfId="0" applyNumberFormat="1" applyFont="1" applyFill="1"/>
    <xf numFmtId="175" fontId="27" fillId="0" borderId="0" xfId="0" applyNumberFormat="1" applyFont="1" applyAlignment="1">
      <alignment horizontal="right"/>
    </xf>
    <xf numFmtId="176" fontId="0" fillId="0" borderId="0" xfId="0" applyNumberFormat="1" applyFont="1"/>
    <xf numFmtId="176" fontId="2" fillId="0" borderId="0" xfId="0" applyNumberFormat="1" applyFont="1" applyAlignment="1">
      <alignment horizontal="right"/>
    </xf>
    <xf numFmtId="176" fontId="0" fillId="0" borderId="0" xfId="0" applyNumberFormat="1" applyFont="1" applyFill="1"/>
    <xf numFmtId="176" fontId="0" fillId="0" borderId="0" xfId="0" applyNumberFormat="1"/>
    <xf numFmtId="0" fontId="28" fillId="14" borderId="0" xfId="2" applyFont="1" applyFill="1" applyBorder="1" applyAlignment="1">
      <alignment horizontal="right" vertical="center"/>
    </xf>
    <xf numFmtId="0" fontId="28" fillId="12" borderId="0" xfId="2" applyFont="1" applyFill="1" applyBorder="1" applyAlignment="1">
      <alignment horizontal="right" vertical="center"/>
    </xf>
    <xf numFmtId="0" fontId="29" fillId="12" borderId="0" xfId="2" applyFont="1" applyFill="1" applyBorder="1" applyAlignment="1">
      <alignment horizontal="right" vertical="center"/>
    </xf>
    <xf numFmtId="0" fontId="28" fillId="12" borderId="0" xfId="2" applyFont="1" applyFill="1" applyBorder="1" applyAlignment="1">
      <alignment horizontal="right" vertical="center" wrapText="1"/>
    </xf>
    <xf numFmtId="0" fontId="31" fillId="12" borderId="0" xfId="2" applyFont="1" applyFill="1" applyBorder="1" applyAlignment="1">
      <alignment horizontal="right" vertical="center"/>
    </xf>
    <xf numFmtId="0" fontId="28" fillId="16" borderId="0" xfId="2" applyFont="1" applyFill="1" applyBorder="1" applyAlignment="1">
      <alignment horizontal="right" vertical="center"/>
    </xf>
    <xf numFmtId="0" fontId="28" fillId="21" borderId="0" xfId="2" applyFont="1" applyFill="1" applyBorder="1" applyAlignment="1">
      <alignment horizontal="right" vertical="center"/>
    </xf>
    <xf numFmtId="0" fontId="28" fillId="22" borderId="0" xfId="2" applyFont="1" applyFill="1" applyBorder="1" applyAlignment="1">
      <alignment horizontal="right" vertical="center"/>
    </xf>
    <xf numFmtId="0" fontId="28" fillId="18" borderId="0" xfId="2" applyFont="1" applyFill="1" applyBorder="1" applyAlignment="1">
      <alignment horizontal="right" vertical="center"/>
    </xf>
    <xf numFmtId="0" fontId="28" fillId="12" borderId="0" xfId="2" applyFont="1" applyFill="1" applyBorder="1" applyAlignment="1">
      <alignment horizontal="center" vertical="center"/>
    </xf>
    <xf numFmtId="0" fontId="29" fillId="0" borderId="25" xfId="2" applyFont="1" applyBorder="1"/>
    <xf numFmtId="168" fontId="30" fillId="0" borderId="25" xfId="2" applyNumberFormat="1" applyFont="1" applyBorder="1" applyAlignment="1">
      <alignment horizontal="center" vertical="center" wrapText="1"/>
    </xf>
    <xf numFmtId="168" fontId="28" fillId="0" borderId="25" xfId="2" applyNumberFormat="1" applyFont="1" applyFill="1" applyBorder="1" applyAlignment="1">
      <alignment horizontal="center" vertical="center" wrapText="1"/>
    </xf>
    <xf numFmtId="168" fontId="28" fillId="0" borderId="25" xfId="2" applyNumberFormat="1" applyFont="1" applyBorder="1" applyAlignment="1">
      <alignment horizontal="center" vertical="center" wrapText="1"/>
    </xf>
    <xf numFmtId="168" fontId="28" fillId="0" borderId="25" xfId="2" applyNumberFormat="1" applyFont="1" applyBorder="1" applyAlignment="1">
      <alignment horizontal="center" vertical="center"/>
    </xf>
    <xf numFmtId="168" fontId="29" fillId="0" borderId="25" xfId="2" applyNumberFormat="1" applyFont="1" applyBorder="1" applyAlignment="1">
      <alignment wrapText="1"/>
    </xf>
    <xf numFmtId="168" fontId="29" fillId="0" borderId="25" xfId="2" applyNumberFormat="1" applyFont="1" applyBorder="1"/>
    <xf numFmtId="0" fontId="28" fillId="0" borderId="25" xfId="2" applyFont="1" applyBorder="1" applyAlignment="1">
      <alignment horizontal="center" vertical="center"/>
    </xf>
    <xf numFmtId="0" fontId="28" fillId="17" borderId="25" xfId="2" applyFont="1" applyFill="1" applyBorder="1" applyAlignment="1">
      <alignment horizontal="center" vertical="center"/>
    </xf>
    <xf numFmtId="168" fontId="29" fillId="0" borderId="25" xfId="2" applyNumberFormat="1" applyFont="1" applyBorder="1" applyAlignment="1">
      <alignment vertical="center"/>
    </xf>
    <xf numFmtId="168" fontId="28" fillId="16" borderId="25" xfId="2" applyNumberFormat="1" applyFont="1" applyFill="1" applyBorder="1" applyAlignment="1">
      <alignment horizontal="center" vertical="center" wrapText="1"/>
    </xf>
    <xf numFmtId="168" fontId="28" fillId="14" borderId="25" xfId="2" applyNumberFormat="1" applyFont="1" applyFill="1" applyBorder="1" applyAlignment="1">
      <alignment horizontal="center" vertical="center" wrapText="1"/>
    </xf>
    <xf numFmtId="168" fontId="29" fillId="0" borderId="25" xfId="2" applyNumberFormat="1" applyFont="1" applyBorder="1" applyAlignment="1">
      <alignment vertical="center" wrapText="1"/>
    </xf>
    <xf numFmtId="168" fontId="28" fillId="21" borderId="25" xfId="2" applyNumberFormat="1" applyFont="1" applyFill="1" applyBorder="1" applyAlignment="1">
      <alignment horizontal="center" vertical="center" wrapText="1"/>
    </xf>
    <xf numFmtId="0" fontId="28" fillId="0" borderId="26" xfId="2" applyFont="1" applyBorder="1" applyAlignment="1">
      <alignment horizontal="center" vertical="center"/>
    </xf>
    <xf numFmtId="0" fontId="29" fillId="0" borderId="26" xfId="2" applyFont="1" applyBorder="1"/>
    <xf numFmtId="0" fontId="28" fillId="0" borderId="27" xfId="2" applyFont="1" applyBorder="1" applyAlignment="1">
      <alignment horizontal="center" vertical="center"/>
    </xf>
    <xf numFmtId="0" fontId="28" fillId="0" borderId="27" xfId="2" applyFont="1" applyBorder="1" applyAlignment="1">
      <alignment horizontal="right" vertical="center"/>
    </xf>
    <xf numFmtId="0" fontId="28" fillId="0" borderId="27" xfId="2" applyFont="1" applyBorder="1" applyAlignment="1">
      <alignment horizontal="right" vertical="center" wrapText="1"/>
    </xf>
    <xf numFmtId="0" fontId="29" fillId="0" borderId="27" xfId="2" applyFont="1" applyBorder="1" applyAlignment="1">
      <alignment horizontal="right" vertical="center"/>
    </xf>
    <xf numFmtId="0" fontId="31" fillId="0" borderId="27" xfId="2" applyFont="1" applyBorder="1" applyAlignment="1">
      <alignment horizontal="right" vertical="center"/>
    </xf>
    <xf numFmtId="166" fontId="28" fillId="7" borderId="25" xfId="1" applyNumberFormat="1" applyFont="1" applyFill="1" applyBorder="1" applyAlignment="1">
      <alignment horizontal="center" vertical="center" wrapText="1"/>
    </xf>
    <xf numFmtId="0" fontId="28" fillId="23" borderId="0" xfId="2" applyFont="1" applyFill="1" applyBorder="1" applyAlignment="1">
      <alignment horizontal="right" vertical="center"/>
    </xf>
    <xf numFmtId="0" fontId="28" fillId="0" borderId="27" xfId="2" applyFont="1" applyFill="1" applyBorder="1" applyAlignment="1">
      <alignment horizontal="right" vertical="center" wrapText="1"/>
    </xf>
    <xf numFmtId="168" fontId="30" fillId="0" borderId="25" xfId="2" applyNumberFormat="1" applyFont="1" applyFill="1" applyBorder="1" applyAlignment="1">
      <alignment horizontal="center" vertical="center" wrapText="1"/>
    </xf>
    <xf numFmtId="166" fontId="28" fillId="0" borderId="25" xfId="1" applyNumberFormat="1" applyFont="1" applyFill="1" applyBorder="1" applyAlignment="1">
      <alignment horizontal="center" vertical="center" wrapText="1"/>
    </xf>
    <xf numFmtId="168" fontId="28" fillId="0" borderId="25" xfId="2" applyNumberFormat="1" applyFont="1" applyFill="1" applyBorder="1" applyAlignment="1">
      <alignment horizontal="center" vertical="center"/>
    </xf>
    <xf numFmtId="168" fontId="29" fillId="0" borderId="25" xfId="2" applyNumberFormat="1" applyFont="1" applyFill="1" applyBorder="1" applyAlignment="1">
      <alignment wrapText="1"/>
    </xf>
    <xf numFmtId="168" fontId="29" fillId="0" borderId="25" xfId="2" applyNumberFormat="1" applyFont="1" applyFill="1" applyBorder="1"/>
    <xf numFmtId="168" fontId="33" fillId="23" borderId="25" xfId="2" applyNumberFormat="1" applyFont="1" applyFill="1" applyBorder="1" applyAlignment="1">
      <alignment horizontal="center" vertical="center" wrapText="1"/>
    </xf>
    <xf numFmtId="168" fontId="28" fillId="0" borderId="0" xfId="2" applyNumberFormat="1" applyFont="1" applyBorder="1" applyAlignment="1">
      <alignment horizontal="center" vertical="center" wrapText="1"/>
    </xf>
    <xf numFmtId="168" fontId="29" fillId="0" borderId="0" xfId="2" applyNumberFormat="1" applyFont="1" applyBorder="1"/>
    <xf numFmtId="168" fontId="30" fillId="0" borderId="0" xfId="2" applyNumberFormat="1" applyFont="1" applyBorder="1" applyAlignment="1">
      <alignment horizontal="center" vertical="center" wrapText="1"/>
    </xf>
    <xf numFmtId="168" fontId="30" fillId="0" borderId="0" xfId="2" applyNumberFormat="1" applyFont="1" applyFill="1" applyBorder="1" applyAlignment="1">
      <alignment horizontal="center" vertical="center" wrapText="1"/>
    </xf>
    <xf numFmtId="168" fontId="28" fillId="0" borderId="0" xfId="2" applyNumberFormat="1" applyFont="1" applyFill="1" applyBorder="1" applyAlignment="1">
      <alignment horizontal="center" vertical="center" wrapText="1"/>
    </xf>
    <xf numFmtId="168" fontId="28" fillId="0" borderId="0" xfId="2" applyNumberFormat="1" applyFont="1" applyBorder="1" applyAlignment="1">
      <alignment horizontal="center" vertical="center"/>
    </xf>
    <xf numFmtId="168" fontId="28" fillId="22" borderId="0" xfId="2" applyNumberFormat="1" applyFont="1" applyFill="1" applyBorder="1" applyAlignment="1">
      <alignment horizontal="center" vertical="center" wrapText="1"/>
    </xf>
    <xf numFmtId="168" fontId="30" fillId="0" borderId="26" xfId="2" applyNumberFormat="1" applyFont="1" applyBorder="1" applyAlignment="1">
      <alignment horizontal="center" vertical="center" wrapText="1"/>
    </xf>
    <xf numFmtId="168" fontId="30" fillId="0" borderId="27" xfId="2" applyNumberFormat="1" applyFont="1" applyBorder="1" applyAlignment="1">
      <alignment horizontal="center" vertical="center" wrapText="1"/>
    </xf>
    <xf numFmtId="168" fontId="28" fillId="0" borderId="26" xfId="2" applyNumberFormat="1" applyFont="1" applyBorder="1" applyAlignment="1">
      <alignment horizontal="center" vertical="center"/>
    </xf>
    <xf numFmtId="168" fontId="28" fillId="0" borderId="26" xfId="2" applyNumberFormat="1" applyFont="1" applyBorder="1" applyAlignment="1">
      <alignment horizontal="center" vertical="center" wrapText="1"/>
    </xf>
    <xf numFmtId="168" fontId="28" fillId="0" borderId="27" xfId="2" applyNumberFormat="1" applyFont="1" applyBorder="1" applyAlignment="1">
      <alignment horizontal="center" vertical="center" wrapText="1"/>
    </xf>
    <xf numFmtId="168" fontId="28" fillId="0" borderId="27" xfId="2" applyNumberFormat="1" applyFont="1" applyBorder="1" applyAlignment="1">
      <alignment horizontal="center" vertical="center"/>
    </xf>
    <xf numFmtId="168" fontId="28" fillId="0" borderId="28" xfId="2" applyNumberFormat="1" applyFont="1" applyBorder="1" applyAlignment="1">
      <alignment horizontal="center" vertical="center" wrapText="1"/>
    </xf>
    <xf numFmtId="168" fontId="28" fillId="0" borderId="29" xfId="2" applyNumberFormat="1" applyFont="1" applyBorder="1" applyAlignment="1">
      <alignment horizontal="center" vertical="center" wrapText="1"/>
    </xf>
    <xf numFmtId="166" fontId="28" fillId="0" borderId="27" xfId="1" applyNumberFormat="1" applyFont="1" applyFill="1" applyBorder="1" applyAlignment="1">
      <alignment horizontal="center" vertical="center" wrapText="1"/>
    </xf>
    <xf numFmtId="168" fontId="30" fillId="0" borderId="26" xfId="2" applyNumberFormat="1" applyFont="1" applyFill="1" applyBorder="1" applyAlignment="1">
      <alignment horizontal="center" vertical="center" wrapText="1"/>
    </xf>
    <xf numFmtId="168" fontId="28" fillId="14" borderId="29" xfId="2" applyNumberFormat="1" applyFont="1" applyFill="1" applyBorder="1" applyAlignment="1">
      <alignment horizontal="center" vertical="center" wrapText="1"/>
    </xf>
    <xf numFmtId="168" fontId="34" fillId="0" borderId="25" xfId="2" applyNumberFormat="1" applyFont="1" applyBorder="1" applyAlignment="1">
      <alignment horizontal="center" vertical="center" wrapText="1"/>
    </xf>
    <xf numFmtId="168" fontId="35" fillId="0" borderId="25" xfId="2" applyNumberFormat="1" applyFont="1" applyFill="1" applyBorder="1" applyAlignment="1">
      <alignment horizontal="center" vertical="center" wrapText="1"/>
    </xf>
    <xf numFmtId="166" fontId="35" fillId="7" borderId="25" xfId="1" applyNumberFormat="1" applyFont="1" applyFill="1" applyBorder="1" applyAlignment="1">
      <alignment horizontal="center" vertical="center" wrapText="1"/>
    </xf>
    <xf numFmtId="175" fontId="24" fillId="0" borderId="0" xfId="0" applyNumberFormat="1" applyFont="1"/>
    <xf numFmtId="0" fontId="37" fillId="0" borderId="0" xfId="0" applyFont="1" applyFill="1" applyBorder="1"/>
    <xf numFmtId="168" fontId="38" fillId="0" borderId="0" xfId="9" applyNumberFormat="1" applyFill="1" applyBorder="1"/>
    <xf numFmtId="0" fontId="2" fillId="0" borderId="0" xfId="0" applyFont="1" applyFill="1"/>
    <xf numFmtId="166" fontId="23" fillId="0" borderId="0" xfId="1" applyNumberFormat="1" applyFont="1" applyFill="1" applyBorder="1"/>
    <xf numFmtId="0" fontId="23" fillId="0" borderId="0" xfId="0" applyFont="1" applyFill="1" applyBorder="1" applyAlignment="1">
      <alignment horizontal="right"/>
    </xf>
    <xf numFmtId="38" fontId="38" fillId="0" borderId="0" xfId="9" applyNumberFormat="1" applyFill="1" applyBorder="1"/>
    <xf numFmtId="0" fontId="28" fillId="7" borderId="0" xfId="2" applyFont="1" applyFill="1" applyBorder="1" applyAlignment="1">
      <alignment horizontal="right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right"/>
    </xf>
    <xf numFmtId="38" fontId="0" fillId="0" borderId="0" xfId="0" applyNumberFormat="1" applyFont="1" applyFill="1" applyAlignment="1">
      <alignment horizontal="right"/>
    </xf>
    <xf numFmtId="38" fontId="0" fillId="0" borderId="0" xfId="0" applyNumberFormat="1" applyFill="1"/>
    <xf numFmtId="175" fontId="5" fillId="0" borderId="0" xfId="0" applyNumberFormat="1" applyFont="1" applyFill="1" applyAlignment="1">
      <alignment horizontal="right"/>
    </xf>
    <xf numFmtId="175" fontId="0" fillId="0" borderId="24" xfId="0" applyNumberFormat="1" applyFont="1" applyFill="1" applyBorder="1"/>
    <xf numFmtId="175" fontId="0" fillId="0" borderId="24" xfId="0" applyNumberFormat="1" applyFont="1" applyFill="1" applyBorder="1" applyAlignment="1">
      <alignment horizontal="right"/>
    </xf>
    <xf numFmtId="175" fontId="0" fillId="0" borderId="24" xfId="0" applyNumberFormat="1" applyFill="1" applyBorder="1"/>
    <xf numFmtId="175" fontId="0" fillId="0" borderId="0" xfId="0" applyNumberFormat="1" applyFont="1" applyFill="1" applyBorder="1"/>
    <xf numFmtId="175" fontId="0" fillId="0" borderId="0" xfId="0" applyNumberFormat="1" applyFont="1" applyFill="1" applyBorder="1" applyAlignment="1">
      <alignment horizontal="right"/>
    </xf>
    <xf numFmtId="175" fontId="0" fillId="0" borderId="0" xfId="0" applyNumberFormat="1" applyFill="1"/>
    <xf numFmtId="38" fontId="21" fillId="0" borderId="0" xfId="0" applyNumberFormat="1" applyFont="1" applyFill="1"/>
    <xf numFmtId="0" fontId="21" fillId="0" borderId="0" xfId="0" applyFont="1" applyFill="1"/>
    <xf numFmtId="166" fontId="35" fillId="0" borderId="25" xfId="1" applyNumberFormat="1" applyFont="1" applyFill="1" applyBorder="1" applyAlignment="1">
      <alignment horizontal="center" vertical="center" wrapText="1"/>
    </xf>
    <xf numFmtId="168" fontId="35" fillId="0" borderId="25" xfId="2" applyNumberFormat="1" applyFont="1" applyFill="1" applyBorder="1" applyAlignment="1">
      <alignment horizontal="center" vertical="center"/>
    </xf>
    <xf numFmtId="168" fontId="36" fillId="0" borderId="25" xfId="2" applyNumberFormat="1" applyFont="1" applyFill="1" applyBorder="1" applyAlignment="1">
      <alignment wrapText="1"/>
    </xf>
    <xf numFmtId="168" fontId="36" fillId="0" borderId="25" xfId="2" applyNumberFormat="1" applyFont="1" applyFill="1" applyBorder="1"/>
    <xf numFmtId="175" fontId="24" fillId="0" borderId="0" xfId="0" applyNumberFormat="1" applyFont="1" applyFill="1"/>
    <xf numFmtId="175" fontId="0" fillId="0" borderId="0" xfId="0" applyNumberFormat="1" applyFont="1" applyFill="1" applyAlignment="1">
      <alignment horizontal="right"/>
    </xf>
    <xf numFmtId="176" fontId="0" fillId="0" borderId="0" xfId="0" applyNumberFormat="1" applyFill="1"/>
    <xf numFmtId="176" fontId="0" fillId="0" borderId="0" xfId="0" applyNumberFormat="1" applyFont="1" applyFill="1" applyAlignment="1">
      <alignment horizontal="right"/>
    </xf>
    <xf numFmtId="0" fontId="2" fillId="0" borderId="0" xfId="0" applyFont="1"/>
    <xf numFmtId="0" fontId="0" fillId="0" borderId="30" xfId="0" applyBorder="1"/>
    <xf numFmtId="0" fontId="2" fillId="0" borderId="30" xfId="0" applyFont="1" applyBorder="1"/>
    <xf numFmtId="179" fontId="0" fillId="0" borderId="0" xfId="0" applyNumberFormat="1"/>
    <xf numFmtId="179" fontId="0" fillId="0" borderId="30" xfId="0" applyNumberFormat="1" applyBorder="1"/>
    <xf numFmtId="3" fontId="0" fillId="0" borderId="30" xfId="0" applyNumberFormat="1" applyBorder="1"/>
    <xf numFmtId="0" fontId="2" fillId="24" borderId="30" xfId="0" applyFont="1" applyFill="1" applyBorder="1"/>
    <xf numFmtId="0" fontId="39" fillId="24" borderId="30" xfId="0" applyFont="1" applyFill="1" applyBorder="1"/>
    <xf numFmtId="0" fontId="2" fillId="24" borderId="0" xfId="0" applyFont="1" applyFill="1"/>
    <xf numFmtId="179" fontId="2" fillId="24" borderId="0" xfId="0" applyNumberFormat="1" applyFont="1" applyFill="1"/>
    <xf numFmtId="179" fontId="2" fillId="24" borderId="30" xfId="0" applyNumberFormat="1" applyFont="1" applyFill="1" applyBorder="1"/>
    <xf numFmtId="3" fontId="2" fillId="24" borderId="30" xfId="0" applyNumberFormat="1" applyFont="1" applyFill="1" applyBorder="1"/>
    <xf numFmtId="177" fontId="0" fillId="13" borderId="0" xfId="0" applyNumberFormat="1" applyFont="1" applyFill="1" applyBorder="1" applyAlignment="1">
      <alignment horizontal="right"/>
    </xf>
    <xf numFmtId="177" fontId="0" fillId="13" borderId="24" xfId="0" applyNumberFormat="1" applyFont="1" applyFill="1" applyBorder="1" applyAlignment="1">
      <alignment horizontal="right"/>
    </xf>
    <xf numFmtId="8" fontId="0" fillId="0" borderId="10" xfId="0" applyNumberFormat="1" applyFont="1" applyBorder="1"/>
    <xf numFmtId="179" fontId="5" fillId="0" borderId="10" xfId="0" applyNumberFormat="1" applyFont="1" applyBorder="1"/>
    <xf numFmtId="179" fontId="7" fillId="0" borderId="10" xfId="0" applyNumberFormat="1" applyFont="1" applyBorder="1"/>
    <xf numFmtId="166" fontId="21" fillId="3" borderId="0" xfId="0" applyNumberFormat="1" applyFont="1" applyFill="1" applyBorder="1"/>
    <xf numFmtId="166" fontId="21" fillId="3" borderId="0" xfId="0" applyNumberFormat="1" applyFont="1" applyFill="1" applyBorder="1" applyAlignment="1"/>
    <xf numFmtId="166" fontId="21" fillId="3" borderId="0" xfId="0" applyNumberFormat="1" applyFont="1" applyFill="1" applyBorder="1" applyAlignment="1">
      <alignment horizontal="right"/>
    </xf>
    <xf numFmtId="166" fontId="21" fillId="0" borderId="0" xfId="0" applyNumberFormat="1" applyFont="1" applyFill="1" applyBorder="1"/>
    <xf numFmtId="166" fontId="21" fillId="0" borderId="0" xfId="0" applyNumberFormat="1" applyFont="1" applyFill="1" applyBorder="1" applyAlignment="1">
      <alignment horizontal="right"/>
    </xf>
    <xf numFmtId="166" fontId="21" fillId="0" borderId="0" xfId="0" applyNumberFormat="1" applyFont="1" applyFill="1"/>
    <xf numFmtId="166" fontId="21" fillId="3" borderId="0" xfId="0" applyNumberFormat="1" applyFont="1" applyFill="1"/>
    <xf numFmtId="166" fontId="21" fillId="3" borderId="24" xfId="0" applyNumberFormat="1" applyFont="1" applyFill="1" applyBorder="1"/>
    <xf numFmtId="166" fontId="21" fillId="3" borderId="24" xfId="0" applyNumberFormat="1" applyFont="1" applyFill="1" applyBorder="1" applyAlignment="1"/>
    <xf numFmtId="166" fontId="21" fillId="3" borderId="24" xfId="0" applyNumberFormat="1" applyFont="1" applyFill="1" applyBorder="1" applyAlignment="1">
      <alignment horizontal="right"/>
    </xf>
    <xf numFmtId="166" fontId="21" fillId="0" borderId="24" xfId="0" applyNumberFormat="1" applyFont="1" applyFill="1" applyBorder="1"/>
    <xf numFmtId="166" fontId="21" fillId="0" borderId="24" xfId="0" applyNumberFormat="1" applyFont="1" applyFill="1" applyBorder="1" applyAlignment="1">
      <alignment horizontal="right"/>
    </xf>
    <xf numFmtId="166" fontId="24" fillId="3" borderId="0" xfId="0" applyNumberFormat="1" applyFont="1" applyFill="1" applyBorder="1"/>
    <xf numFmtId="166" fontId="26" fillId="3" borderId="0" xfId="0" applyNumberFormat="1" applyFont="1" applyFill="1" applyBorder="1" applyAlignment="1">
      <alignment horizontal="right"/>
    </xf>
    <xf numFmtId="166" fontId="24" fillId="3" borderId="0" xfId="5" applyNumberFormat="1" applyFont="1" applyFill="1" applyBorder="1"/>
    <xf numFmtId="166" fontId="24" fillId="0" borderId="0" xfId="0" applyNumberFormat="1" applyFont="1" applyFill="1" applyBorder="1"/>
    <xf numFmtId="166" fontId="24" fillId="0" borderId="0" xfId="0" applyNumberFormat="1" applyFont="1" applyFill="1" applyBorder="1" applyAlignment="1">
      <alignment horizontal="right"/>
    </xf>
    <xf numFmtId="166" fontId="24" fillId="3" borderId="0" xfId="0" applyNumberFormat="1" applyFont="1" applyFill="1"/>
    <xf numFmtId="166" fontId="26" fillId="3" borderId="0" xfId="0" applyNumberFormat="1" applyFont="1" applyFill="1" applyBorder="1" applyAlignment="1">
      <alignment vertical="center" wrapText="1"/>
    </xf>
    <xf numFmtId="166" fontId="24" fillId="3" borderId="0" xfId="0" applyNumberFormat="1" applyFont="1" applyFill="1" applyBorder="1" applyAlignment="1">
      <alignment horizontal="right"/>
    </xf>
    <xf numFmtId="38" fontId="0" fillId="0" borderId="8" xfId="0" applyNumberFormat="1" applyBorder="1"/>
    <xf numFmtId="38" fontId="0" fillId="0" borderId="0" xfId="0" applyNumberFormat="1"/>
    <xf numFmtId="38" fontId="0" fillId="0" borderId="1" xfId="0" applyNumberFormat="1" applyBorder="1"/>
    <xf numFmtId="0" fontId="5" fillId="0" borderId="0" xfId="0" applyFont="1"/>
    <xf numFmtId="40" fontId="0" fillId="0" borderId="0" xfId="0" applyNumberFormat="1"/>
    <xf numFmtId="180" fontId="0" fillId="10" borderId="0" xfId="0" applyNumberFormat="1" applyFont="1" applyFill="1"/>
    <xf numFmtId="38" fontId="0" fillId="7" borderId="24" xfId="0" applyNumberFormat="1" applyFill="1" applyBorder="1"/>
    <xf numFmtId="38" fontId="0" fillId="0" borderId="24" xfId="0" applyNumberFormat="1" applyFill="1" applyBorder="1"/>
    <xf numFmtId="168" fontId="28" fillId="22" borderId="25" xfId="2" applyNumberFormat="1" applyFont="1" applyFill="1" applyBorder="1" applyAlignment="1">
      <alignment horizontal="center" vertical="center" wrapText="1"/>
    </xf>
    <xf numFmtId="168" fontId="28" fillId="18" borderId="25" xfId="2" applyNumberFormat="1" applyFont="1" applyFill="1" applyBorder="1" applyAlignment="1">
      <alignment horizontal="center" vertical="center" wrapText="1"/>
    </xf>
    <xf numFmtId="166" fontId="0" fillId="3" borderId="24" xfId="0" applyNumberFormat="1" applyFont="1" applyFill="1" applyBorder="1" applyAlignment="1">
      <alignment horizontal="right"/>
    </xf>
    <xf numFmtId="0" fontId="2" fillId="8" borderId="0" xfId="0" applyFont="1" applyFill="1" applyAlignment="1">
      <alignment horizontal="center"/>
    </xf>
    <xf numFmtId="175" fontId="0" fillId="13" borderId="24" xfId="0" applyNumberFormat="1" applyFont="1" applyFill="1" applyBorder="1" applyAlignment="1">
      <alignment horizontal="center"/>
    </xf>
    <xf numFmtId="175" fontId="17" fillId="13" borderId="0" xfId="0" applyNumberFormat="1" applyFont="1" applyFill="1" applyBorder="1" applyAlignment="1">
      <alignment horizontal="center" vertical="center" wrapText="1"/>
    </xf>
    <xf numFmtId="175" fontId="0" fillId="13" borderId="0" xfId="0" applyNumberFormat="1" applyFont="1" applyFill="1" applyBorder="1" applyAlignment="1">
      <alignment horizontal="center"/>
    </xf>
    <xf numFmtId="166" fontId="21" fillId="3" borderId="0" xfId="0" applyNumberFormat="1" applyFont="1" applyFill="1" applyBorder="1" applyAlignment="1">
      <alignment horizontal="center"/>
    </xf>
    <xf numFmtId="175" fontId="2" fillId="13" borderId="24" xfId="0" applyNumberFormat="1" applyFont="1" applyFill="1" applyBorder="1" applyAlignment="1">
      <alignment horizontal="center"/>
    </xf>
    <xf numFmtId="2" fontId="23" fillId="3" borderId="0" xfId="0" applyNumberFormat="1" applyFont="1" applyFill="1" applyBorder="1" applyAlignment="1">
      <alignment horizontal="center"/>
    </xf>
    <xf numFmtId="181" fontId="23" fillId="3" borderId="0" xfId="0" applyNumberFormat="1" applyFont="1" applyFill="1" applyBorder="1" applyAlignment="1">
      <alignment horizontal="center"/>
    </xf>
    <xf numFmtId="0" fontId="28" fillId="15" borderId="25" xfId="2" applyFont="1" applyFill="1" applyBorder="1" applyAlignment="1">
      <alignment horizontal="center" vertical="center"/>
    </xf>
    <xf numFmtId="168" fontId="32" fillId="22" borderId="25" xfId="2" applyNumberFormat="1" applyFont="1" applyFill="1" applyBorder="1" applyAlignment="1">
      <alignment horizontal="center" vertical="center" wrapText="1"/>
    </xf>
    <xf numFmtId="168" fontId="28" fillId="22" borderId="25" xfId="2" applyNumberFormat="1" applyFont="1" applyFill="1" applyBorder="1" applyAlignment="1">
      <alignment horizontal="center" vertical="center" wrapText="1"/>
    </xf>
    <xf numFmtId="168" fontId="28" fillId="18" borderId="25" xfId="2" applyNumberFormat="1" applyFont="1" applyFill="1" applyBorder="1" applyAlignment="1">
      <alignment horizontal="center" vertical="center" wrapText="1"/>
    </xf>
    <xf numFmtId="0" fontId="28" fillId="19" borderId="25" xfId="2" applyFont="1" applyFill="1" applyBorder="1" applyAlignment="1">
      <alignment horizontal="center" vertical="center"/>
    </xf>
    <xf numFmtId="0" fontId="28" fillId="20" borderId="25" xfId="2" applyFont="1" applyFill="1" applyBorder="1" applyAlignment="1">
      <alignment horizontal="center" vertical="center"/>
    </xf>
    <xf numFmtId="0" fontId="28" fillId="8" borderId="25" xfId="2" applyFont="1" applyFill="1" applyBorder="1" applyAlignment="1">
      <alignment horizontal="center" vertical="center"/>
    </xf>
    <xf numFmtId="0" fontId="28" fillId="9" borderId="25" xfId="2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12" fillId="9" borderId="8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</cellXfs>
  <cellStyles count="10">
    <cellStyle name="Comma" xfId="1" builtinId="3"/>
    <cellStyle name="Comma 2" xfId="3" xr:uid="{42CD0A6D-4FB2-8643-A091-71058A49BEC3}"/>
    <cellStyle name="Comma 3" xfId="7" xr:uid="{B330AD88-BB2B-0C46-863A-D443C91DD386}"/>
    <cellStyle name="Currency" xfId="6" builtinId="4"/>
    <cellStyle name="Currency 2" xfId="8" xr:uid="{212EEE38-3567-45E3-BE8A-0A97F4EC58F1}"/>
    <cellStyle name="Hyperlink" xfId="9" builtinId="8"/>
    <cellStyle name="Normal" xfId="0" builtinId="0"/>
    <cellStyle name="Normal 2" xfId="2" xr:uid="{BB9EA65B-CBDD-5E44-80E1-97A07D0CF43F}"/>
    <cellStyle name="Percent" xfId="5" builtinId="5"/>
    <cellStyle name="Percent 2" xfId="4" xr:uid="{3520455F-E20E-9249-826A-529C9D38215A}"/>
  </cellStyles>
  <dxfs count="0"/>
  <tableStyles count="0" defaultTableStyle="TableStyleMedium2" defaultPivotStyle="PivotStyleLight16"/>
  <colors>
    <mruColors>
      <color rgb="FFEFF5A3"/>
      <color rgb="FFFFD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'ROI Analysis'!$Q$1</c:f>
              <c:strCache>
                <c:ptCount val="1"/>
                <c:pt idx="0">
                  <c:v>Probability Distribution</c:v>
                </c:pt>
              </c:strCache>
            </c:strRef>
          </c:tx>
          <c:spPr>
            <a:ln w="22225" cap="rnd">
              <a:solidFill>
                <a:schemeClr val="accent6">
                  <a:tint val="77000"/>
                </a:schemeClr>
              </a:solidFill>
            </a:ln>
            <a:effectLst>
              <a:glow rad="139700">
                <a:schemeClr val="accent6">
                  <a:tint val="77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'ROI Analysis'!$P$2:$P$6</c:f>
              <c:numCache>
                <c:formatCode>0%</c:formatCode>
                <c:ptCount val="5"/>
                <c:pt idx="0">
                  <c:v>1.278910262142599</c:v>
                </c:pt>
                <c:pt idx="1">
                  <c:v>1.4586466165413534</c:v>
                </c:pt>
                <c:pt idx="2">
                  <c:v>1.4792370885724875</c:v>
                </c:pt>
                <c:pt idx="3">
                  <c:v>1.530091428564194</c:v>
                </c:pt>
                <c:pt idx="4">
                  <c:v>1.7363498469555623</c:v>
                </c:pt>
              </c:numCache>
            </c:numRef>
          </c:xVal>
          <c:yVal>
            <c:numRef>
              <c:f>'ROI Analysis'!$Q$2:$Q$6</c:f>
              <c:numCache>
                <c:formatCode>General</c:formatCode>
                <c:ptCount val="5"/>
                <c:pt idx="0">
                  <c:v>0.71513140767605643</c:v>
                </c:pt>
                <c:pt idx="1">
                  <c:v>3.0180938518657521</c:v>
                </c:pt>
                <c:pt idx="2">
                  <c:v>3.127913795075203</c:v>
                </c:pt>
                <c:pt idx="3">
                  <c:v>3.0490263522909875</c:v>
                </c:pt>
                <c:pt idx="4">
                  <c:v>0.5220155839767634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5C4-46DC-9B5F-48893A4F9B16}"/>
            </c:ext>
          </c:extLst>
        </c:ser>
        <c:ser>
          <c:idx val="0"/>
          <c:order val="1"/>
          <c:tx>
            <c:strRef>
              <c:f>'ROI Analysis'!$Q$1</c:f>
              <c:strCache>
                <c:ptCount val="1"/>
                <c:pt idx="0">
                  <c:v>Probability Distribution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'ROI Analysis'!$P$2:$P$6</c:f>
              <c:numCache>
                <c:formatCode>0%</c:formatCode>
                <c:ptCount val="5"/>
                <c:pt idx="0">
                  <c:v>1.278910262142599</c:v>
                </c:pt>
                <c:pt idx="1">
                  <c:v>1.4586466165413534</c:v>
                </c:pt>
                <c:pt idx="2">
                  <c:v>1.4792370885724875</c:v>
                </c:pt>
                <c:pt idx="3">
                  <c:v>1.530091428564194</c:v>
                </c:pt>
                <c:pt idx="4">
                  <c:v>1.7363498469555623</c:v>
                </c:pt>
              </c:numCache>
            </c:numRef>
          </c:xVal>
          <c:yVal>
            <c:numRef>
              <c:f>'ROI Analysis'!$Q$2:$Q$6</c:f>
              <c:numCache>
                <c:formatCode>General</c:formatCode>
                <c:ptCount val="5"/>
                <c:pt idx="0">
                  <c:v>0.71513140767605643</c:v>
                </c:pt>
                <c:pt idx="1">
                  <c:v>3.0180938518657521</c:v>
                </c:pt>
                <c:pt idx="2">
                  <c:v>3.127913795075203</c:v>
                </c:pt>
                <c:pt idx="3">
                  <c:v>3.0490263522909875</c:v>
                </c:pt>
                <c:pt idx="4">
                  <c:v>0.5220155839767634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5C4-46DC-9B5F-48893A4F9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898696"/>
        <c:axId val="369895088"/>
      </c:scatterChart>
      <c:valAx>
        <c:axId val="36989869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95088"/>
        <c:crosses val="autoZero"/>
        <c:crossBetween val="midCat"/>
      </c:valAx>
      <c:valAx>
        <c:axId val="36989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98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u="none" cap="small" baseline="0">
                <a:latin typeface="Avenir Next LT Pro" panose="020B0504020202020204" pitchFamily="34" charset="0"/>
              </a:rPr>
              <a:t>VReeMind</a:t>
            </a:r>
          </a:p>
          <a:p>
            <a:pPr>
              <a:defRPr/>
            </a:pPr>
            <a:r>
              <a:rPr lang="en-US" sz="1400" u="none" cap="small" baseline="0">
                <a:latin typeface="Avenir Next LT Pro" panose="020B0504020202020204" pitchFamily="34" charset="0"/>
              </a:rPr>
              <a:t>Risk/Reward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'ROI Analysis'!$E$1</c:f>
              <c:strCache>
                <c:ptCount val="1"/>
                <c:pt idx="0">
                  <c:v>Norm Dist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xVal>
            <c:numRef>
              <c:f>'ROI Analysis'!$D$2:$D$2001</c:f>
              <c:numCache>
                <c:formatCode>0%</c:formatCode>
                <c:ptCount val="2000"/>
                <c:pt idx="0">
                  <c:v>0.94183960382360965</c:v>
                </c:pt>
                <c:pt idx="1">
                  <c:v>0.99879718318697996</c:v>
                </c:pt>
                <c:pt idx="2">
                  <c:v>1.0148217264795676</c:v>
                </c:pt>
                <c:pt idx="3">
                  <c:v>1.0222488993022125</c:v>
                </c:pt>
                <c:pt idx="4">
                  <c:v>1.0561189567160909</c:v>
                </c:pt>
                <c:pt idx="5">
                  <c:v>1.0745018064917531</c:v>
                </c:pt>
                <c:pt idx="6">
                  <c:v>1.0755764778004959</c:v>
                </c:pt>
                <c:pt idx="7">
                  <c:v>1.0803707059167209</c:v>
                </c:pt>
                <c:pt idx="8">
                  <c:v>1.0881322209243081</c:v>
                </c:pt>
                <c:pt idx="9">
                  <c:v>1.094807123830833</c:v>
                </c:pt>
                <c:pt idx="10">
                  <c:v>1.0979117298338679</c:v>
                </c:pt>
                <c:pt idx="11">
                  <c:v>1.1006342304826831</c:v>
                </c:pt>
                <c:pt idx="12">
                  <c:v>1.1025447572537814</c:v>
                </c:pt>
                <c:pt idx="13">
                  <c:v>1.105992661035998</c:v>
                </c:pt>
                <c:pt idx="14">
                  <c:v>1.1107540519733448</c:v>
                </c:pt>
                <c:pt idx="15">
                  <c:v>1.1128138386484352</c:v>
                </c:pt>
                <c:pt idx="16">
                  <c:v>1.1259248286150978</c:v>
                </c:pt>
                <c:pt idx="17">
                  <c:v>1.1303399365751829</c:v>
                </c:pt>
                <c:pt idx="18">
                  <c:v>1.1309727985681093</c:v>
                </c:pt>
                <c:pt idx="19">
                  <c:v>1.1343550279925694</c:v>
                </c:pt>
                <c:pt idx="20">
                  <c:v>1.135546122026426</c:v>
                </c:pt>
                <c:pt idx="21">
                  <c:v>1.136280480754067</c:v>
                </c:pt>
                <c:pt idx="22">
                  <c:v>1.1372984332992928</c:v>
                </c:pt>
                <c:pt idx="23">
                  <c:v>1.1372984332992928</c:v>
                </c:pt>
                <c:pt idx="24">
                  <c:v>1.1378745765287022</c:v>
                </c:pt>
                <c:pt idx="25">
                  <c:v>1.1385880388697842</c:v>
                </c:pt>
                <c:pt idx="26">
                  <c:v>1.1419165347288072</c:v>
                </c:pt>
                <c:pt idx="27">
                  <c:v>1.1425926820938912</c:v>
                </c:pt>
                <c:pt idx="28">
                  <c:v>1.1425926820938912</c:v>
                </c:pt>
                <c:pt idx="29">
                  <c:v>1.142859857322037</c:v>
                </c:pt>
                <c:pt idx="30">
                  <c:v>1.1466510588834353</c:v>
                </c:pt>
                <c:pt idx="31">
                  <c:v>1.1489108538298751</c:v>
                </c:pt>
                <c:pt idx="32">
                  <c:v>1.15182739235388</c:v>
                </c:pt>
                <c:pt idx="33">
                  <c:v>1.1528916154693434</c:v>
                </c:pt>
                <c:pt idx="34">
                  <c:v>1.1556633718864759</c:v>
                </c:pt>
                <c:pt idx="35">
                  <c:v>1.1588844006146246</c:v>
                </c:pt>
                <c:pt idx="36">
                  <c:v>1.1592112798043672</c:v>
                </c:pt>
                <c:pt idx="37">
                  <c:v>1.1603949108430243</c:v>
                </c:pt>
                <c:pt idx="38">
                  <c:v>1.1611382251649047</c:v>
                </c:pt>
                <c:pt idx="39">
                  <c:v>1.1613501742285735</c:v>
                </c:pt>
                <c:pt idx="40">
                  <c:v>1.1654637771825946</c:v>
                </c:pt>
                <c:pt idx="41">
                  <c:v>1.1666578564145311</c:v>
                </c:pt>
                <c:pt idx="42">
                  <c:v>1.1708923598907859</c:v>
                </c:pt>
                <c:pt idx="43">
                  <c:v>1.171078934770776</c:v>
                </c:pt>
                <c:pt idx="44">
                  <c:v>1.1716401520097861</c:v>
                </c:pt>
                <c:pt idx="45">
                  <c:v>1.1735685899693635</c:v>
                </c:pt>
                <c:pt idx="46">
                  <c:v>1.1741104034208547</c:v>
                </c:pt>
                <c:pt idx="47">
                  <c:v>1.1779866831275285</c:v>
                </c:pt>
                <c:pt idx="48">
                  <c:v>1.1797748167773534</c:v>
                </c:pt>
                <c:pt idx="49">
                  <c:v>1.1817719142927672</c:v>
                </c:pt>
                <c:pt idx="50">
                  <c:v>1.1831600313998933</c:v>
                </c:pt>
                <c:pt idx="51">
                  <c:v>1.1834824327925162</c:v>
                </c:pt>
                <c:pt idx="52">
                  <c:v>1.1834824327925162</c:v>
                </c:pt>
                <c:pt idx="53">
                  <c:v>1.1869586959564913</c:v>
                </c:pt>
                <c:pt idx="54">
                  <c:v>1.1878826147622021</c:v>
                </c:pt>
                <c:pt idx="55">
                  <c:v>1.1894767105368373</c:v>
                </c:pt>
                <c:pt idx="56">
                  <c:v>1.1904483925118257</c:v>
                </c:pt>
                <c:pt idx="57">
                  <c:v>1.1940903341692319</c:v>
                </c:pt>
                <c:pt idx="58">
                  <c:v>1.1950829125307791</c:v>
                </c:pt>
                <c:pt idx="59">
                  <c:v>1.1973113628973806</c:v>
                </c:pt>
                <c:pt idx="60">
                  <c:v>1.1979972121562241</c:v>
                </c:pt>
                <c:pt idx="61">
                  <c:v>1.1982696114810096</c:v>
                </c:pt>
                <c:pt idx="62">
                  <c:v>1.1998219144825271</c:v>
                </c:pt>
                <c:pt idx="63">
                  <c:v>1.20108316067126</c:v>
                </c:pt>
                <c:pt idx="64">
                  <c:v>1.20108316067126</c:v>
                </c:pt>
                <c:pt idx="65">
                  <c:v>1.2019369273220946</c:v>
                </c:pt>
                <c:pt idx="66">
                  <c:v>1.2032981776465022</c:v>
                </c:pt>
                <c:pt idx="67">
                  <c:v>1.2045758424246742</c:v>
                </c:pt>
                <c:pt idx="68">
                  <c:v>1.2052713935772772</c:v>
                </c:pt>
                <c:pt idx="69">
                  <c:v>1.2098163576538354</c:v>
                </c:pt>
                <c:pt idx="70">
                  <c:v>1.2110074516876921</c:v>
                </c:pt>
                <c:pt idx="71">
                  <c:v>1.2123007887557833</c:v>
                </c:pt>
                <c:pt idx="72">
                  <c:v>1.2149479131530825</c:v>
                </c:pt>
                <c:pt idx="73">
                  <c:v>1.2149479131530825</c:v>
                </c:pt>
                <c:pt idx="74">
                  <c:v>1.2152315069706674</c:v>
                </c:pt>
                <c:pt idx="75">
                  <c:v>1.2159636267997485</c:v>
                </c:pt>
                <c:pt idx="76">
                  <c:v>1.2176330988258997</c:v>
                </c:pt>
                <c:pt idx="77">
                  <c:v>1.2184570134959358</c:v>
                </c:pt>
                <c:pt idx="78">
                  <c:v>1.2189480785800697</c:v>
                </c:pt>
                <c:pt idx="79">
                  <c:v>1.2189480785800697</c:v>
                </c:pt>
                <c:pt idx="80">
                  <c:v>1.2191652517403782</c:v>
                </c:pt>
                <c:pt idx="81">
                  <c:v>1.2205660559393436</c:v>
                </c:pt>
                <c:pt idx="82">
                  <c:v>1.2206197895047808</c:v>
                </c:pt>
                <c:pt idx="83">
                  <c:v>1.2214713172570555</c:v>
                </c:pt>
                <c:pt idx="84">
                  <c:v>1.2220526845831046</c:v>
                </c:pt>
                <c:pt idx="85">
                  <c:v>1.2233087066751978</c:v>
                </c:pt>
                <c:pt idx="86">
                  <c:v>1.2234124423084722</c:v>
                </c:pt>
                <c:pt idx="87">
                  <c:v>1.2250610179480645</c:v>
                </c:pt>
                <c:pt idx="88">
                  <c:v>1.225672237254912</c:v>
                </c:pt>
                <c:pt idx="89">
                  <c:v>1.2259259790916985</c:v>
                </c:pt>
                <c:pt idx="90">
                  <c:v>1.2264304775671917</c:v>
                </c:pt>
                <c:pt idx="91">
                  <c:v>1.2271334917149943</c:v>
                </c:pt>
                <c:pt idx="92">
                  <c:v>1.2276820218621651</c:v>
                </c:pt>
                <c:pt idx="93">
                  <c:v>1.2277320239300025</c:v>
                </c:pt>
                <c:pt idx="94">
                  <c:v>1.2281290552746214</c:v>
                </c:pt>
                <c:pt idx="95">
                  <c:v>1.2282768225795735</c:v>
                </c:pt>
                <c:pt idx="96">
                  <c:v>1.2286223592573151</c:v>
                </c:pt>
                <c:pt idx="97">
                  <c:v>1.2296515062953404</c:v>
                </c:pt>
                <c:pt idx="98">
                  <c:v>1.2297492715324552</c:v>
                </c:pt>
                <c:pt idx="99">
                  <c:v>1.2301866030511519</c:v>
                </c:pt>
                <c:pt idx="100">
                  <c:v>1.2302351125199493</c:v>
                </c:pt>
                <c:pt idx="101">
                  <c:v>1.2313441136066103</c:v>
                </c:pt>
                <c:pt idx="102">
                  <c:v>1.2316792020910725</c:v>
                </c:pt>
                <c:pt idx="103">
                  <c:v>1.2322031043540846</c:v>
                </c:pt>
                <c:pt idx="104">
                  <c:v>1.2326299876795019</c:v>
                </c:pt>
                <c:pt idx="105">
                  <c:v>1.2326777508487794</c:v>
                </c:pt>
                <c:pt idx="106">
                  <c:v>1.2326777508487794</c:v>
                </c:pt>
                <c:pt idx="107">
                  <c:v>1.2331494121453943</c:v>
                </c:pt>
                <c:pt idx="108">
                  <c:v>1.2341800517824595</c:v>
                </c:pt>
                <c:pt idx="109">
                  <c:v>1.2342733392224545</c:v>
                </c:pt>
                <c:pt idx="110">
                  <c:v>1.2349233661043399</c:v>
                </c:pt>
                <c:pt idx="111">
                  <c:v>1.235844299711971</c:v>
                </c:pt>
                <c:pt idx="112">
                  <c:v>1.2363017813177066</c:v>
                </c:pt>
                <c:pt idx="113">
                  <c:v>1.2364391004293793</c:v>
                </c:pt>
                <c:pt idx="114">
                  <c:v>1.2404183694698077</c:v>
                </c:pt>
                <c:pt idx="115">
                  <c:v>1.2404183694698077</c:v>
                </c:pt>
                <c:pt idx="116">
                  <c:v>1.2404616548419654</c:v>
                </c:pt>
                <c:pt idx="117">
                  <c:v>1.2405937498569983</c:v>
                </c:pt>
                <c:pt idx="118">
                  <c:v>1.242028137534362</c:v>
                </c:pt>
                <c:pt idx="119">
                  <c:v>1.2422012790229928</c:v>
                </c:pt>
                <c:pt idx="120">
                  <c:v>1.2425878621743323</c:v>
                </c:pt>
                <c:pt idx="121">
                  <c:v>1.2428460818082385</c:v>
                </c:pt>
                <c:pt idx="122">
                  <c:v>1.2430169843983094</c:v>
                </c:pt>
                <c:pt idx="123">
                  <c:v>1.2445036130420704</c:v>
                </c:pt>
                <c:pt idx="124">
                  <c:v>1.2467156448192327</c:v>
                </c:pt>
                <c:pt idx="125">
                  <c:v>1.2467984840659483</c:v>
                </c:pt>
                <c:pt idx="126">
                  <c:v>1.2471693949273686</c:v>
                </c:pt>
                <c:pt idx="127">
                  <c:v>1.2483963113381833</c:v>
                </c:pt>
                <c:pt idx="128">
                  <c:v>1.248477657985859</c:v>
                </c:pt>
                <c:pt idx="129">
                  <c:v>1.2486806514552882</c:v>
                </c:pt>
                <c:pt idx="130">
                  <c:v>1.2489231987992753</c:v>
                </c:pt>
                <c:pt idx="131">
                  <c:v>1.2500508573739353</c:v>
                </c:pt>
                <c:pt idx="132">
                  <c:v>1.250450127617114</c:v>
                </c:pt>
                <c:pt idx="133">
                  <c:v>1.2517979445501624</c:v>
                </c:pt>
                <c:pt idx="134">
                  <c:v>1.2533629346435191</c:v>
                </c:pt>
                <c:pt idx="135">
                  <c:v>1.2544062613724236</c:v>
                </c:pt>
                <c:pt idx="136">
                  <c:v>1.2554018249320507</c:v>
                </c:pt>
                <c:pt idx="137">
                  <c:v>1.2562749953704042</c:v>
                </c:pt>
                <c:pt idx="138">
                  <c:v>1.2564638091489542</c:v>
                </c:pt>
                <c:pt idx="139">
                  <c:v>1.2572914553165901</c:v>
                </c:pt>
                <c:pt idx="140">
                  <c:v>1.2590392887923372</c:v>
                </c:pt>
                <c:pt idx="141">
                  <c:v>1.2607595091858457</c:v>
                </c:pt>
                <c:pt idx="142">
                  <c:v>1.2611946018059825</c:v>
                </c:pt>
                <c:pt idx="143">
                  <c:v>1.2614475973432491</c:v>
                </c:pt>
                <c:pt idx="144">
                  <c:v>1.261844628687868</c:v>
                </c:pt>
                <c:pt idx="145">
                  <c:v>1.2625618225265498</c:v>
                </c:pt>
                <c:pt idx="146">
                  <c:v>1.2628476552426946</c:v>
                </c:pt>
                <c:pt idx="147">
                  <c:v>1.26331036094507</c:v>
                </c:pt>
                <c:pt idx="148">
                  <c:v>1.2635939547626549</c:v>
                </c:pt>
                <c:pt idx="149">
                  <c:v>1.2640185991895123</c:v>
                </c:pt>
                <c:pt idx="150">
                  <c:v>1.2644410047178098</c:v>
                </c:pt>
                <c:pt idx="151">
                  <c:v>1.264757435714273</c:v>
                </c:pt>
                <c:pt idx="152">
                  <c:v>1.2656306061526266</c:v>
                </c:pt>
                <c:pt idx="153">
                  <c:v>1.2657697910130992</c:v>
                </c:pt>
                <c:pt idx="154">
                  <c:v>1.2660127115068462</c:v>
                </c:pt>
                <c:pt idx="155">
                  <c:v>1.2660477875842844</c:v>
                </c:pt>
                <c:pt idx="156">
                  <c:v>1.2666702013839313</c:v>
                </c:pt>
                <c:pt idx="157">
                  <c:v>1.2667388609397676</c:v>
                </c:pt>
                <c:pt idx="158">
                  <c:v>1.2669455859067966</c:v>
                </c:pt>
                <c:pt idx="159">
                  <c:v>1.2690598524468442</c:v>
                </c:pt>
                <c:pt idx="160">
                  <c:v>1.2693300128730698</c:v>
                </c:pt>
                <c:pt idx="161">
                  <c:v>1.2694983034148208</c:v>
                </c:pt>
                <c:pt idx="162">
                  <c:v>1.2701024328762287</c:v>
                </c:pt>
                <c:pt idx="163">
                  <c:v>1.2702703502682198</c:v>
                </c:pt>
                <c:pt idx="164">
                  <c:v>1.2712360618470484</c:v>
                </c:pt>
                <c:pt idx="165">
                  <c:v>1.2713353196832031</c:v>
                </c:pt>
                <c:pt idx="166">
                  <c:v>1.2714017403404796</c:v>
                </c:pt>
                <c:pt idx="167">
                  <c:v>1.2714681609977561</c:v>
                </c:pt>
                <c:pt idx="168">
                  <c:v>1.2718972832217332</c:v>
                </c:pt>
                <c:pt idx="169">
                  <c:v>1.2734701094600496</c:v>
                </c:pt>
                <c:pt idx="170">
                  <c:v>1.2744750017636761</c:v>
                </c:pt>
                <c:pt idx="171">
                  <c:v>1.2751507759790002</c:v>
                </c:pt>
                <c:pt idx="172">
                  <c:v>1.2759825267939959</c:v>
                </c:pt>
                <c:pt idx="173">
                  <c:v>1.2766497185648404</c:v>
                </c:pt>
                <c:pt idx="174">
                  <c:v>1.2766497185648404</c:v>
                </c:pt>
                <c:pt idx="175">
                  <c:v>1.2766497185648404</c:v>
                </c:pt>
                <c:pt idx="176">
                  <c:v>1.2770609296003386</c:v>
                </c:pt>
                <c:pt idx="177">
                  <c:v>1.2774393034569584</c:v>
                </c:pt>
                <c:pt idx="178">
                  <c:v>1.2778169310140584</c:v>
                </c:pt>
                <c:pt idx="179">
                  <c:v>1.2781303768124417</c:v>
                </c:pt>
                <c:pt idx="180">
                  <c:v>1.2781930659721183</c:v>
                </c:pt>
                <c:pt idx="181">
                  <c:v>1.2783803871516284</c:v>
                </c:pt>
                <c:pt idx="182">
                  <c:v>1.2792214667106236</c:v>
                </c:pt>
                <c:pt idx="183">
                  <c:v>1.2793763238610154</c:v>
                </c:pt>
                <c:pt idx="184">
                  <c:v>1.2799946330133025</c:v>
                </c:pt>
                <c:pt idx="185">
                  <c:v>1.2810693043220454</c:v>
                </c:pt>
                <c:pt idx="186">
                  <c:v>1.2813133442650724</c:v>
                </c:pt>
                <c:pt idx="187">
                  <c:v>1.2817394812909697</c:v>
                </c:pt>
                <c:pt idx="188">
                  <c:v>1.2819521766541584</c:v>
                </c:pt>
                <c:pt idx="189">
                  <c:v>1.2821644988675871</c:v>
                </c:pt>
                <c:pt idx="190">
                  <c:v>1.2825574255648462</c:v>
                </c:pt>
                <c:pt idx="191">
                  <c:v>1.2830399082045005</c:v>
                </c:pt>
                <c:pt idx="192">
                  <c:v>1.2834902999647966</c:v>
                </c:pt>
                <c:pt idx="193">
                  <c:v>1.2836403061683086</c:v>
                </c:pt>
                <c:pt idx="194">
                  <c:v>1.2837000101299054</c:v>
                </c:pt>
                <c:pt idx="195">
                  <c:v>1.28417764182268</c:v>
                </c:pt>
                <c:pt idx="196">
                  <c:v>1.2844160845193073</c:v>
                </c:pt>
                <c:pt idx="197">
                  <c:v>1.2846836328972131</c:v>
                </c:pt>
                <c:pt idx="198">
                  <c:v>1.2853646312091769</c:v>
                </c:pt>
                <c:pt idx="199">
                  <c:v>1.2854235888712537</c:v>
                </c:pt>
                <c:pt idx="200">
                  <c:v>1.2854825465333306</c:v>
                </c:pt>
                <c:pt idx="201">
                  <c:v>1.2855709830264459</c:v>
                </c:pt>
                <c:pt idx="202">
                  <c:v>1.2876759208224939</c:v>
                </c:pt>
                <c:pt idx="203">
                  <c:v>1.2876759208224939</c:v>
                </c:pt>
                <c:pt idx="204">
                  <c:v>1.2883121411632601</c:v>
                </c:pt>
                <c:pt idx="205">
                  <c:v>1.2896890637775869</c:v>
                </c:pt>
                <c:pt idx="206">
                  <c:v>1.2897177963091053</c:v>
                </c:pt>
                <c:pt idx="207">
                  <c:v>1.2908823967100034</c:v>
                </c:pt>
                <c:pt idx="208">
                  <c:v>1.2922324525416116</c:v>
                </c:pt>
                <c:pt idx="209">
                  <c:v>1.2924555960980797</c:v>
                </c:pt>
                <c:pt idx="210">
                  <c:v>1.2925395547940752</c:v>
                </c:pt>
                <c:pt idx="211">
                  <c:v>1.2926511265723093</c:v>
                </c:pt>
                <c:pt idx="212">
                  <c:v>1.2928462838967789</c:v>
                </c:pt>
                <c:pt idx="213">
                  <c:v>1.2936235548468176</c:v>
                </c:pt>
                <c:pt idx="214">
                  <c:v>1.2937896064900087</c:v>
                </c:pt>
                <c:pt idx="215">
                  <c:v>1.2939280450509614</c:v>
                </c:pt>
                <c:pt idx="216">
                  <c:v>1.2940933503946326</c:v>
                </c:pt>
                <c:pt idx="217">
                  <c:v>1.2943138819027808</c:v>
                </c:pt>
                <c:pt idx="218">
                  <c:v>1.29508257040834</c:v>
                </c:pt>
                <c:pt idx="219">
                  <c:v>1.2958467811167793</c:v>
                </c:pt>
                <c:pt idx="220">
                  <c:v>1.2961460472242834</c:v>
                </c:pt>
                <c:pt idx="221">
                  <c:v>1.2962818737369162</c:v>
                </c:pt>
                <c:pt idx="222">
                  <c:v>1.2965796472453803</c:v>
                </c:pt>
                <c:pt idx="223">
                  <c:v>1.2973625154418187</c:v>
                </c:pt>
                <c:pt idx="224">
                  <c:v>1.2977386503998787</c:v>
                </c:pt>
                <c:pt idx="225">
                  <c:v>1.2985677891665546</c:v>
                </c:pt>
                <c:pt idx="226">
                  <c:v>1.2986476432151903</c:v>
                </c:pt>
                <c:pt idx="227">
                  <c:v>1.2986476432151903</c:v>
                </c:pt>
                <c:pt idx="228">
                  <c:v>1.2988073513124618</c:v>
                </c:pt>
                <c:pt idx="229">
                  <c:v>1.2988872053610976</c:v>
                </c:pt>
                <c:pt idx="230">
                  <c:v>1.2993652102036322</c:v>
                </c:pt>
                <c:pt idx="231">
                  <c:v>1.2997092542823339</c:v>
                </c:pt>
                <c:pt idx="232">
                  <c:v>1.2999208301962426</c:v>
                </c:pt>
                <c:pt idx="233">
                  <c:v>1.2999734443123998</c:v>
                </c:pt>
                <c:pt idx="234">
                  <c:v>1.3003159957920616</c:v>
                </c:pt>
                <c:pt idx="235">
                  <c:v>1.3007365355715592</c:v>
                </c:pt>
                <c:pt idx="236">
                  <c:v>1.3015473899999961</c:v>
                </c:pt>
                <c:pt idx="237">
                  <c:v>1.3027418423816925</c:v>
                </c:pt>
                <c:pt idx="238">
                  <c:v>1.3046926693268688</c:v>
                </c:pt>
                <c:pt idx="239">
                  <c:v>1.3046926693268688</c:v>
                </c:pt>
                <c:pt idx="240">
                  <c:v>1.3048710349121393</c:v>
                </c:pt>
                <c:pt idx="241">
                  <c:v>1.3049217832794966</c:v>
                </c:pt>
                <c:pt idx="242">
                  <c:v>1.3051508972321244</c:v>
                </c:pt>
                <c:pt idx="243">
                  <c:v>1.3052016455994817</c:v>
                </c:pt>
                <c:pt idx="244">
                  <c:v>1.3057083829735348</c:v>
                </c:pt>
                <c:pt idx="245">
                  <c:v>1.3060875031296746</c:v>
                </c:pt>
                <c:pt idx="246">
                  <c:v>1.3062390019322265</c:v>
                </c:pt>
                <c:pt idx="247">
                  <c:v>1.3065408800880505</c:v>
                </c:pt>
                <c:pt idx="248">
                  <c:v>1.3075435334931171</c:v>
                </c:pt>
                <c:pt idx="249">
                  <c:v>1.3079920595046133</c:v>
                </c:pt>
                <c:pt idx="250">
                  <c:v>1.3080666894566093</c:v>
                </c:pt>
                <c:pt idx="251">
                  <c:v>1.3081166915244467</c:v>
                </c:pt>
                <c:pt idx="252">
                  <c:v>1.3097484754248399</c:v>
                </c:pt>
                <c:pt idx="253">
                  <c:v>1.3113130923684366</c:v>
                </c:pt>
                <c:pt idx="254">
                  <c:v>1.3117500507373734</c:v>
                </c:pt>
                <c:pt idx="255">
                  <c:v>1.3118228149405695</c:v>
                </c:pt>
                <c:pt idx="256">
                  <c:v>1.3118713244093669</c:v>
                </c:pt>
                <c:pt idx="257">
                  <c:v>1.3119922249316005</c:v>
                </c:pt>
                <c:pt idx="258">
                  <c:v>1.3123064170295038</c:v>
                </c:pt>
                <c:pt idx="259">
                  <c:v>1.3125235901898122</c:v>
                </c:pt>
                <c:pt idx="260">
                  <c:v>1.3127403902003607</c:v>
                </c:pt>
                <c:pt idx="261">
                  <c:v>1.3128605444230743</c:v>
                </c:pt>
                <c:pt idx="262">
                  <c:v>1.3131251076029002</c:v>
                </c:pt>
                <c:pt idx="263">
                  <c:v>1.3135087055561598</c:v>
                </c:pt>
                <c:pt idx="264">
                  <c:v>1.313580350310076</c:v>
                </c:pt>
                <c:pt idx="265">
                  <c:v>1.3141773899260443</c:v>
                </c:pt>
                <c:pt idx="266">
                  <c:v>1.3154352777669374</c:v>
                </c:pt>
                <c:pt idx="267">
                  <c:v>1.3160718712574635</c:v>
                </c:pt>
                <c:pt idx="268">
                  <c:v>1.3161894134318572</c:v>
                </c:pt>
                <c:pt idx="269">
                  <c:v>1.3166588358299123</c:v>
                </c:pt>
                <c:pt idx="270">
                  <c:v>1.3167058526996698</c:v>
                </c:pt>
                <c:pt idx="271">
                  <c:v>1.3177558961242539</c:v>
                </c:pt>
                <c:pt idx="272">
                  <c:v>1.3189372882643511</c:v>
                </c:pt>
                <c:pt idx="273">
                  <c:v>1.3189835588345886</c:v>
                </c:pt>
                <c:pt idx="274">
                  <c:v>1.3190529646899449</c:v>
                </c:pt>
                <c:pt idx="275">
                  <c:v>1.3193753660825678</c:v>
                </c:pt>
                <c:pt idx="276">
                  <c:v>1.3194902962086417</c:v>
                </c:pt>
                <c:pt idx="277">
                  <c:v>1.3201324869455675</c:v>
                </c:pt>
                <c:pt idx="278">
                  <c:v>1.3201783843660451</c:v>
                </c:pt>
                <c:pt idx="279">
                  <c:v>1.3202698060572402</c:v>
                </c:pt>
                <c:pt idx="280">
                  <c:v>1.3204981737103481</c:v>
                </c:pt>
                <c:pt idx="281">
                  <c:v>1.3208858763109674</c:v>
                </c:pt>
                <c:pt idx="282">
                  <c:v>1.3209769248524026</c:v>
                </c:pt>
                <c:pt idx="283">
                  <c:v>1.3214997076661348</c:v>
                </c:pt>
                <c:pt idx="284">
                  <c:v>1.3217489717058015</c:v>
                </c:pt>
                <c:pt idx="285">
                  <c:v>1.3218847982184343</c:v>
                </c:pt>
                <c:pt idx="286">
                  <c:v>1.3219523383249907</c:v>
                </c:pt>
                <c:pt idx="287">
                  <c:v>1.3222463803358551</c:v>
                </c:pt>
                <c:pt idx="288">
                  <c:v>1.3223590715633691</c:v>
                </c:pt>
                <c:pt idx="289">
                  <c:v>1.3227195342315099</c:v>
                </c:pt>
                <c:pt idx="290">
                  <c:v>1.3232135845137236</c:v>
                </c:pt>
                <c:pt idx="291">
                  <c:v>1.3233035136058788</c:v>
                </c:pt>
                <c:pt idx="292">
                  <c:v>1.323639348389861</c:v>
                </c:pt>
                <c:pt idx="293">
                  <c:v>1.3246199859590888</c:v>
                </c:pt>
                <c:pt idx="294">
                  <c:v>1.3248864148877146</c:v>
                </c:pt>
                <c:pt idx="295">
                  <c:v>1.325218891323857</c:v>
                </c:pt>
                <c:pt idx="296">
                  <c:v>1.3264316280437924</c:v>
                </c:pt>
                <c:pt idx="297">
                  <c:v>1.3264316280437924</c:v>
                </c:pt>
                <c:pt idx="298">
                  <c:v>1.3266510401026608</c:v>
                </c:pt>
                <c:pt idx="299">
                  <c:v>1.3277872811218003</c:v>
                </c:pt>
                <c:pt idx="300">
                  <c:v>1.3288291152516649</c:v>
                </c:pt>
                <c:pt idx="301">
                  <c:v>1.3295627276797859</c:v>
                </c:pt>
                <c:pt idx="302">
                  <c:v>1.3297563924052156</c:v>
                </c:pt>
                <c:pt idx="303">
                  <c:v>1.3301858877789527</c:v>
                </c:pt>
                <c:pt idx="304">
                  <c:v>1.3304213452775002</c:v>
                </c:pt>
                <c:pt idx="305">
                  <c:v>1.3304642574998979</c:v>
                </c:pt>
                <c:pt idx="306">
                  <c:v>1.3322732875362817</c:v>
                </c:pt>
                <c:pt idx="307">
                  <c:v>1.3327595016735359</c:v>
                </c:pt>
                <c:pt idx="308">
                  <c:v>1.3332860159848678</c:v>
                </c:pt>
                <c:pt idx="309">
                  <c:v>1.3347726446286288</c:v>
                </c:pt>
                <c:pt idx="310">
                  <c:v>1.3350222818180555</c:v>
                </c:pt>
                <c:pt idx="311">
                  <c:v>1.3355834990570656</c:v>
                </c:pt>
                <c:pt idx="312">
                  <c:v>1.3356663383037812</c:v>
                </c:pt>
                <c:pt idx="313">
                  <c:v>1.3361835238711137</c:v>
                </c:pt>
                <c:pt idx="314">
                  <c:v>1.3363074095914271</c:v>
                </c:pt>
                <c:pt idx="315">
                  <c:v>1.3363488292147849</c:v>
                </c:pt>
                <c:pt idx="316">
                  <c:v>1.3365137614086962</c:v>
                </c:pt>
                <c:pt idx="317">
                  <c:v>1.3365137614086962</c:v>
                </c:pt>
                <c:pt idx="318">
                  <c:v>1.3367816829363619</c:v>
                </c:pt>
                <c:pt idx="319">
                  <c:v>1.3368846722701164</c:v>
                </c:pt>
                <c:pt idx="320">
                  <c:v>1.3379306110473408</c:v>
                </c:pt>
                <c:pt idx="321">
                  <c:v>1.338114573879011</c:v>
                </c:pt>
                <c:pt idx="322">
                  <c:v>1.3384407067692337</c:v>
                </c:pt>
                <c:pt idx="323">
                  <c:v>1.3384612300060326</c:v>
                </c:pt>
                <c:pt idx="324">
                  <c:v>1.3387463164226574</c:v>
                </c:pt>
                <c:pt idx="325">
                  <c:v>1.3390105064527233</c:v>
                </c:pt>
                <c:pt idx="326">
                  <c:v>1.3390511797765612</c:v>
                </c:pt>
                <c:pt idx="327">
                  <c:v>1.3391933498351136</c:v>
                </c:pt>
                <c:pt idx="328">
                  <c:v>1.3392541732459904</c:v>
                </c:pt>
                <c:pt idx="329">
                  <c:v>1.3398411378184392</c:v>
                </c:pt>
                <c:pt idx="330">
                  <c:v>1.3402247357716988</c:v>
                </c:pt>
                <c:pt idx="331">
                  <c:v>1.3402247357716988</c:v>
                </c:pt>
                <c:pt idx="332">
                  <c:v>1.3406075874254384</c:v>
                </c:pt>
                <c:pt idx="333">
                  <c:v>1.340728487947672</c:v>
                </c:pt>
                <c:pt idx="334">
                  <c:v>1.3407684149719898</c:v>
                </c:pt>
                <c:pt idx="335">
                  <c:v>1.3409292425185413</c:v>
                </c:pt>
                <c:pt idx="336">
                  <c:v>1.3409893196298981</c:v>
                </c:pt>
                <c:pt idx="337">
                  <c:v>1.3413904556218768</c:v>
                </c:pt>
                <c:pt idx="338">
                  <c:v>1.3415106098445904</c:v>
                </c:pt>
                <c:pt idx="339">
                  <c:v>1.3419703303488859</c:v>
                </c:pt>
                <c:pt idx="340">
                  <c:v>1.3423293004179868</c:v>
                </c:pt>
                <c:pt idx="341">
                  <c:v>1.3425281892400562</c:v>
                </c:pt>
                <c:pt idx="342">
                  <c:v>1.342607670138932</c:v>
                </c:pt>
                <c:pt idx="343">
                  <c:v>1.3426475971632499</c:v>
                </c:pt>
                <c:pt idx="344">
                  <c:v>1.3426875241875678</c:v>
                </c:pt>
                <c:pt idx="345">
                  <c:v>1.3427073011248467</c:v>
                </c:pt>
                <c:pt idx="346">
                  <c:v>1.3431043324694656</c:v>
                </c:pt>
                <c:pt idx="347">
                  <c:v>1.3434606904902466</c:v>
                </c:pt>
                <c:pt idx="348">
                  <c:v>1.3436386829257572</c:v>
                </c:pt>
                <c:pt idx="349">
                  <c:v>1.3440730292463741</c:v>
                </c:pt>
                <c:pt idx="350">
                  <c:v>1.3450365019266428</c:v>
                </c:pt>
                <c:pt idx="351">
                  <c:v>1.3454477129621409</c:v>
                </c:pt>
                <c:pt idx="352">
                  <c:v>1.3456040627115726</c:v>
                </c:pt>
                <c:pt idx="353">
                  <c:v>1.345916389060676</c:v>
                </c:pt>
                <c:pt idx="354">
                  <c:v>1.3460141542977908</c:v>
                </c:pt>
                <c:pt idx="355">
                  <c:v>1.3460335580853098</c:v>
                </c:pt>
                <c:pt idx="356">
                  <c:v>1.3462089384725004</c:v>
                </c:pt>
                <c:pt idx="357">
                  <c:v>1.3465395491598429</c:v>
                </c:pt>
                <c:pt idx="358">
                  <c:v>1.3467339601847925</c:v>
                </c:pt>
                <c:pt idx="359">
                  <c:v>1.3469668056350201</c:v>
                </c:pt>
                <c:pt idx="360">
                  <c:v>1.3471798741479688</c:v>
                </c:pt>
                <c:pt idx="361">
                  <c:v>1.3474317502359554</c:v>
                </c:pt>
                <c:pt idx="362">
                  <c:v>1.3479336366631287</c:v>
                </c:pt>
                <c:pt idx="363">
                  <c:v>1.3481265550890384</c:v>
                </c:pt>
                <c:pt idx="364">
                  <c:v>1.3481265550890384</c:v>
                </c:pt>
                <c:pt idx="365">
                  <c:v>1.3483191003651882</c:v>
                </c:pt>
                <c:pt idx="366">
                  <c:v>1.3489530818073945</c:v>
                </c:pt>
                <c:pt idx="367">
                  <c:v>1.3490295775081904</c:v>
                </c:pt>
                <c:pt idx="368">
                  <c:v>1.3497184119651138</c:v>
                </c:pt>
                <c:pt idx="369">
                  <c:v>1.3498519995791867</c:v>
                </c:pt>
                <c:pt idx="370">
                  <c:v>1.3500807403820545</c:v>
                </c:pt>
                <c:pt idx="371">
                  <c:v>1.3503281386729213</c:v>
                </c:pt>
                <c:pt idx="372">
                  <c:v>1.3503852305861983</c:v>
                </c:pt>
                <c:pt idx="373">
                  <c:v>1.3506326288770651</c:v>
                </c:pt>
                <c:pt idx="374">
                  <c:v>1.3512013091112749</c:v>
                </c:pt>
                <c:pt idx="375">
                  <c:v>1.3522965036568166</c:v>
                </c:pt>
                <c:pt idx="376">
                  <c:v>1.3525786048753616</c:v>
                </c:pt>
                <c:pt idx="377">
                  <c:v>1.3526162930011196</c:v>
                </c:pt>
                <c:pt idx="378">
                  <c:v>1.3528976479201447</c:v>
                </c:pt>
                <c:pt idx="379">
                  <c:v>1.3529166785579037</c:v>
                </c:pt>
                <c:pt idx="380">
                  <c:v>1.3529353360459027</c:v>
                </c:pt>
                <c:pt idx="381">
                  <c:v>1.3539267949581699</c:v>
                </c:pt>
                <c:pt idx="382">
                  <c:v>1.3539454524461689</c:v>
                </c:pt>
                <c:pt idx="383">
                  <c:v>1.3542062841283951</c:v>
                </c:pt>
                <c:pt idx="384">
                  <c:v>1.3544111433466242</c:v>
                </c:pt>
                <c:pt idx="385">
                  <c:v>1.3544857732986202</c:v>
                </c:pt>
                <c:pt idx="386">
                  <c:v>1.3545600301008562</c:v>
                </c:pt>
                <c:pt idx="387">
                  <c:v>1.3548201154835624</c:v>
                </c:pt>
                <c:pt idx="388">
                  <c:v>1.3548201154835624</c:v>
                </c:pt>
                <c:pt idx="389">
                  <c:v>1.3552652831472187</c:v>
                </c:pt>
                <c:pt idx="390">
                  <c:v>1.3563918222725988</c:v>
                </c:pt>
                <c:pt idx="391">
                  <c:v>1.3567045217714622</c:v>
                </c:pt>
                <c:pt idx="392">
                  <c:v>1.3568146009506563</c:v>
                </c:pt>
                <c:pt idx="393">
                  <c:v>1.3571448384882387</c:v>
                </c:pt>
                <c:pt idx="394">
                  <c:v>1.3578038209643637</c:v>
                </c:pt>
                <c:pt idx="395">
                  <c:v>1.3578952426555588</c:v>
                </c:pt>
                <c:pt idx="396">
                  <c:v>1.3588788654228665</c:v>
                </c:pt>
                <c:pt idx="397">
                  <c:v>1.3592785088158053</c:v>
                </c:pt>
                <c:pt idx="398">
                  <c:v>1.3593326155310024</c:v>
                </c:pt>
                <c:pt idx="399">
                  <c:v>1.3593691842074804</c:v>
                </c:pt>
                <c:pt idx="400">
                  <c:v>1.359640837232746</c:v>
                </c:pt>
                <c:pt idx="401">
                  <c:v>1.3597132282861821</c:v>
                </c:pt>
                <c:pt idx="402">
                  <c:v>1.3597311394746612</c:v>
                </c:pt>
                <c:pt idx="403">
                  <c:v>1.3598397260548154</c:v>
                </c:pt>
                <c:pt idx="404">
                  <c:v>1.360561397690617</c:v>
                </c:pt>
                <c:pt idx="405">
                  <c:v>1.3608136469283636</c:v>
                </c:pt>
                <c:pt idx="406">
                  <c:v>1.3613166528048168</c:v>
                </c:pt>
                <c:pt idx="407">
                  <c:v>1.3622651994946864</c:v>
                </c:pt>
                <c:pt idx="408">
                  <c:v>1.3623006487218845</c:v>
                </c:pt>
                <c:pt idx="409">
                  <c:v>1.3623543822873216</c:v>
                </c:pt>
                <c:pt idx="410">
                  <c:v>1.3623722934758007</c:v>
                </c:pt>
                <c:pt idx="411">
                  <c:v>1.3623900180893997</c:v>
                </c:pt>
                <c:pt idx="412">
                  <c:v>1.3630491871404047</c:v>
                </c:pt>
                <c:pt idx="413">
                  <c:v>1.3630667251791238</c:v>
                </c:pt>
                <c:pt idx="414">
                  <c:v>1.3632447176146343</c:v>
                </c:pt>
                <c:pt idx="415">
                  <c:v>1.3642016601741034</c:v>
                </c:pt>
                <c:pt idx="416">
                  <c:v>1.364378346585454</c:v>
                </c:pt>
                <c:pt idx="417">
                  <c:v>1.364395884624173</c:v>
                </c:pt>
                <c:pt idx="418">
                  <c:v>1.365242188279808</c:v>
                </c:pt>
                <c:pt idx="419">
                  <c:v>1.3656638475085856</c:v>
                </c:pt>
                <c:pt idx="420">
                  <c:v>1.3658216898570572</c:v>
                </c:pt>
                <c:pt idx="421">
                  <c:v>1.3658918420119335</c:v>
                </c:pt>
                <c:pt idx="422">
                  <c:v>1.3671848059302647</c:v>
                </c:pt>
                <c:pt idx="423">
                  <c:v>1.3672892878630591</c:v>
                </c:pt>
                <c:pt idx="424">
                  <c:v>1.3677935997636723</c:v>
                </c:pt>
                <c:pt idx="425">
                  <c:v>1.367949762938224</c:v>
                </c:pt>
                <c:pt idx="426">
                  <c:v>1.3681579805042929</c:v>
                </c:pt>
                <c:pt idx="427">
                  <c:v>1.3682966056401256</c:v>
                </c:pt>
                <c:pt idx="428">
                  <c:v>1.3683658249206019</c:v>
                </c:pt>
                <c:pt idx="429">
                  <c:v>1.3683658249206019</c:v>
                </c:pt>
                <c:pt idx="430">
                  <c:v>1.3685218015202736</c:v>
                </c:pt>
                <c:pt idx="431">
                  <c:v>1.368815656956258</c:v>
                </c:pt>
                <c:pt idx="432">
                  <c:v>1.3690574580007251</c:v>
                </c:pt>
                <c:pt idx="433">
                  <c:v>1.3697121492546103</c:v>
                </c:pt>
                <c:pt idx="434">
                  <c:v>1.3697983468491657</c:v>
                </c:pt>
                <c:pt idx="435">
                  <c:v>1.3698155117381248</c:v>
                </c:pt>
                <c:pt idx="436">
                  <c:v>1.3700218635553938</c:v>
                </c:pt>
                <c:pt idx="437">
                  <c:v>1.3702965017787392</c:v>
                </c:pt>
                <c:pt idx="438">
                  <c:v>1.3705879317412837</c:v>
                </c:pt>
                <c:pt idx="439">
                  <c:v>1.3706050966302428</c:v>
                </c:pt>
                <c:pt idx="440">
                  <c:v>1.3709644398491037</c:v>
                </c:pt>
                <c:pt idx="441">
                  <c:v>1.3718348116642574</c:v>
                </c:pt>
                <c:pt idx="442">
                  <c:v>1.3719029114954537</c:v>
                </c:pt>
                <c:pt idx="443">
                  <c:v>1.3719200763844128</c:v>
                </c:pt>
                <c:pt idx="444">
                  <c:v>1.3722260591875965</c:v>
                </c:pt>
                <c:pt idx="445">
                  <c:v>1.3727693652381276</c:v>
                </c:pt>
                <c:pt idx="446">
                  <c:v>1.3731253501091487</c:v>
                </c:pt>
                <c:pt idx="447">
                  <c:v>1.3731421418483478</c:v>
                </c:pt>
                <c:pt idx="448">
                  <c:v>1.3734466320524916</c:v>
                </c:pt>
                <c:pt idx="449">
                  <c:v>1.37366604411136</c:v>
                </c:pt>
                <c:pt idx="450">
                  <c:v>1.3739024344843074</c:v>
                </c:pt>
                <c:pt idx="451">
                  <c:v>1.3739697880159838</c:v>
                </c:pt>
                <c:pt idx="452">
                  <c:v>1.3740877033401375</c:v>
                </c:pt>
                <c:pt idx="453">
                  <c:v>1.374172035185893</c:v>
                </c:pt>
                <c:pt idx="454">
                  <c:v>1.3742563670316486</c:v>
                </c:pt>
                <c:pt idx="455">
                  <c:v>1.3746265315935489</c:v>
                </c:pt>
                <c:pt idx="456">
                  <c:v>1.3746601150719471</c:v>
                </c:pt>
                <c:pt idx="457">
                  <c:v>1.3750631168127256</c:v>
                </c:pt>
                <c:pt idx="458">
                  <c:v>1.3754149970363869</c:v>
                </c:pt>
                <c:pt idx="459">
                  <c:v>1.375582354703738</c:v>
                </c:pt>
                <c:pt idx="460">
                  <c:v>1.3757161288926909</c:v>
                </c:pt>
                <c:pt idx="461">
                  <c:v>1.375883299985162</c:v>
                </c:pt>
                <c:pt idx="462">
                  <c:v>1.3760504710776331</c:v>
                </c:pt>
                <c:pt idx="463">
                  <c:v>1.3762172690203442</c:v>
                </c:pt>
                <c:pt idx="464">
                  <c:v>1.3764674659344109</c:v>
                </c:pt>
                <c:pt idx="465">
                  <c:v>1.3770833496132582</c:v>
                </c:pt>
                <c:pt idx="466">
                  <c:v>1.3775479210644335</c:v>
                </c:pt>
                <c:pt idx="467">
                  <c:v>1.3776971809684255</c:v>
                </c:pt>
                <c:pt idx="468">
                  <c:v>1.3777469964613829</c:v>
                </c:pt>
                <c:pt idx="469">
                  <c:v>1.3779789090372105</c:v>
                </c:pt>
                <c:pt idx="470">
                  <c:v>1.3794470667678524</c:v>
                </c:pt>
                <c:pt idx="471">
                  <c:v>1.3796278578265628</c:v>
                </c:pt>
                <c:pt idx="472">
                  <c:v>1.3796606950054411</c:v>
                </c:pt>
                <c:pt idx="473">
                  <c:v>1.380169298128294</c:v>
                </c:pt>
                <c:pt idx="474">
                  <c:v>1.3805950620044314</c:v>
                </c:pt>
                <c:pt idx="475">
                  <c:v>1.380676781801867</c:v>
                </c:pt>
                <c:pt idx="476">
                  <c:v>1.3807096189807453</c:v>
                </c:pt>
                <c:pt idx="477">
                  <c:v>1.3809057091796149</c:v>
                </c:pt>
                <c:pt idx="478">
                  <c:v>1.3814441642832662</c:v>
                </c:pt>
                <c:pt idx="479">
                  <c:v>1.3816070441534976</c:v>
                </c:pt>
                <c:pt idx="480">
                  <c:v>1.3817048093906124</c:v>
                </c:pt>
                <c:pt idx="481">
                  <c:v>1.381786156038288</c:v>
                </c:pt>
                <c:pt idx="482">
                  <c:v>1.3820626600104333</c:v>
                </c:pt>
                <c:pt idx="483">
                  <c:v>1.3827119405927988</c:v>
                </c:pt>
                <c:pt idx="484">
                  <c:v>1.3827929140907145</c:v>
                </c:pt>
                <c:pt idx="485">
                  <c:v>1.3830033705553433</c:v>
                </c:pt>
                <c:pt idx="486">
                  <c:v>1.3830518800241407</c:v>
                </c:pt>
                <c:pt idx="487">
                  <c:v>1.3830518800241407</c:v>
                </c:pt>
                <c:pt idx="488">
                  <c:v>1.3837306394375446</c:v>
                </c:pt>
                <c:pt idx="489">
                  <c:v>1.3842946552997546</c:v>
                </c:pt>
                <c:pt idx="490">
                  <c:v>1.3846164969677375</c:v>
                </c:pt>
                <c:pt idx="491">
                  <c:v>1.385114278747551</c:v>
                </c:pt>
                <c:pt idx="492">
                  <c:v>1.3853866780723365</c:v>
                </c:pt>
                <c:pt idx="493">
                  <c:v>1.3861225293990174</c:v>
                </c:pt>
                <c:pt idx="494">
                  <c:v>1.386505381052757</c:v>
                </c:pt>
                <c:pt idx="495">
                  <c:v>1.3870949576735256</c:v>
                </c:pt>
                <c:pt idx="496">
                  <c:v>1.3871901108623206</c:v>
                </c:pt>
                <c:pt idx="497">
                  <c:v>1.3876031876466186</c:v>
                </c:pt>
                <c:pt idx="498">
                  <c:v>1.3876031876466186</c:v>
                </c:pt>
                <c:pt idx="499">
                  <c:v>1.3886327078344038</c:v>
                </c:pt>
                <c:pt idx="500">
                  <c:v>1.3886644255640022</c:v>
                </c:pt>
                <c:pt idx="501">
                  <c:v>1.388948765681107</c:v>
                </c:pt>
                <c:pt idx="502">
                  <c:v>1.389137952609417</c:v>
                </c:pt>
                <c:pt idx="503">
                  <c:v>1.3894058741370827</c:v>
                </c:pt>
                <c:pt idx="504">
                  <c:v>1.3896107333553118</c:v>
                </c:pt>
                <c:pt idx="505">
                  <c:v>1.3901139258066451</c:v>
                </c:pt>
                <c:pt idx="506">
                  <c:v>1.3904749481994259</c:v>
                </c:pt>
                <c:pt idx="507">
                  <c:v>1.3907257048381325</c:v>
                </c:pt>
                <c:pt idx="508">
                  <c:v>1.3911014666464325</c:v>
                </c:pt>
                <c:pt idx="509">
                  <c:v>1.3915705158947276</c:v>
                </c:pt>
                <c:pt idx="510">
                  <c:v>1.3915861881846467</c:v>
                </c:pt>
                <c:pt idx="511">
                  <c:v>1.3916641764844826</c:v>
                </c:pt>
                <c:pt idx="512">
                  <c:v>1.3926302612130712</c:v>
                </c:pt>
                <c:pt idx="513">
                  <c:v>1.3926769049330687</c:v>
                </c:pt>
                <c:pt idx="514">
                  <c:v>1.3927078763631471</c:v>
                </c:pt>
                <c:pt idx="515">
                  <c:v>1.3931582681234431</c:v>
                </c:pt>
                <c:pt idx="516">
                  <c:v>1.393499513578945</c:v>
                </c:pt>
                <c:pt idx="517">
                  <c:v>1.3936855287342951</c:v>
                </c:pt>
                <c:pt idx="518">
                  <c:v>1.3939485993150811</c:v>
                </c:pt>
                <c:pt idx="519">
                  <c:v>1.3943349958915405</c:v>
                </c:pt>
                <c:pt idx="520">
                  <c:v>1.3945049656072115</c:v>
                </c:pt>
                <c:pt idx="521">
                  <c:v>1.3946128058878458</c:v>
                </c:pt>
                <c:pt idx="522">
                  <c:v>1.3947053470283208</c:v>
                </c:pt>
                <c:pt idx="523">
                  <c:v>1.3947671033135975</c:v>
                </c:pt>
                <c:pt idx="524">
                  <c:v>1.3948288595988743</c:v>
                </c:pt>
                <c:pt idx="525">
                  <c:v>1.3952139501511738</c:v>
                </c:pt>
                <c:pt idx="526">
                  <c:v>1.3954600424178807</c:v>
                </c:pt>
                <c:pt idx="527">
                  <c:v>1.3955523969834758</c:v>
                </c:pt>
                <c:pt idx="528">
                  <c:v>1.3956137801189925</c:v>
                </c:pt>
                <c:pt idx="529">
                  <c:v>1.3957520321050652</c:v>
                </c:pt>
                <c:pt idx="530">
                  <c:v>1.3959977512220121</c:v>
                </c:pt>
                <c:pt idx="531">
                  <c:v>1.396074433497688</c:v>
                </c:pt>
                <c:pt idx="532">
                  <c:v>1.3963352651799141</c:v>
                </c:pt>
                <c:pt idx="533">
                  <c:v>1.3964423591610284</c:v>
                </c:pt>
                <c:pt idx="534">
                  <c:v>1.3967181168336538</c:v>
                </c:pt>
                <c:pt idx="535">
                  <c:v>1.3969629030762007</c:v>
                </c:pt>
                <c:pt idx="536">
                  <c:v>1.3976804700646426</c:v>
                </c:pt>
                <c:pt idx="537">
                  <c:v>1.3977259943353602</c:v>
                </c:pt>
                <c:pt idx="538">
                  <c:v>1.3983200487532486</c:v>
                </c:pt>
                <c:pt idx="539">
                  <c:v>1.3987152143490675</c:v>
                </c:pt>
                <c:pt idx="540">
                  <c:v>1.3987454394796259</c:v>
                </c:pt>
                <c:pt idx="541">
                  <c:v>1.3988215620306619</c:v>
                </c:pt>
                <c:pt idx="542">
                  <c:v>1.3992006821868017</c:v>
                </c:pt>
                <c:pt idx="543">
                  <c:v>1.399382779269672</c:v>
                </c:pt>
                <c:pt idx="544">
                  <c:v>1.3994130044002304</c:v>
                </c:pt>
                <c:pt idx="545">
                  <c:v>1.3996551785944575</c:v>
                </c:pt>
                <c:pt idx="546">
                  <c:v>1.400305205476343</c:v>
                </c:pt>
                <c:pt idx="547">
                  <c:v>1.400380581727859</c:v>
                </c:pt>
                <c:pt idx="548">
                  <c:v>1.4004410319889757</c:v>
                </c:pt>
                <c:pt idx="549">
                  <c:v>1.4006824598836829</c:v>
                </c:pt>
                <c:pt idx="550">
                  <c:v>1.4009686657495877</c:v>
                </c:pt>
                <c:pt idx="551">
                  <c:v>1.4010440420011037</c:v>
                </c:pt>
                <c:pt idx="552">
                  <c:v>1.4011041191124605</c:v>
                </c:pt>
                <c:pt idx="553">
                  <c:v>1.4014653280801213</c:v>
                </c:pt>
                <c:pt idx="554">
                  <c:v>1.4017657136369053</c:v>
                </c:pt>
                <c:pt idx="555">
                  <c:v>1.4019910960919333</c:v>
                </c:pt>
                <c:pt idx="556">
                  <c:v>1.4022310313876005</c:v>
                </c:pt>
                <c:pt idx="557">
                  <c:v>1.4025306706448646</c:v>
                </c:pt>
                <c:pt idx="558">
                  <c:v>1.402635525727419</c:v>
                </c:pt>
                <c:pt idx="559">
                  <c:v>1.4027702327907718</c:v>
                </c:pt>
                <c:pt idx="560">
                  <c:v>1.4028299367523687</c:v>
                </c:pt>
                <c:pt idx="561">
                  <c:v>1.4030243477773183</c:v>
                </c:pt>
                <c:pt idx="562">
                  <c:v>1.4030541997581167</c:v>
                </c:pt>
                <c:pt idx="563">
                  <c:v>1.4030991643041943</c:v>
                </c:pt>
                <c:pt idx="564">
                  <c:v>1.4039049812108715</c:v>
                </c:pt>
                <c:pt idx="565">
                  <c:v>1.4039646851724683</c:v>
                </c:pt>
                <c:pt idx="566">
                  <c:v>1.4042475326905333</c:v>
                </c:pt>
                <c:pt idx="567">
                  <c:v>1.4044557502566022</c:v>
                </c:pt>
                <c:pt idx="568">
                  <c:v>1.404515454218199</c:v>
                </c:pt>
                <c:pt idx="569">
                  <c:v>1.4047085592189887</c:v>
                </c:pt>
                <c:pt idx="570">
                  <c:v>1.4050945826456882</c:v>
                </c:pt>
                <c:pt idx="571">
                  <c:v>1.4051244346264866</c:v>
                </c:pt>
                <c:pt idx="572">
                  <c:v>1.4055543031499838</c:v>
                </c:pt>
                <c:pt idx="573">
                  <c:v>1.4060871610072354</c:v>
                </c:pt>
                <c:pt idx="574">
                  <c:v>1.4061020869976346</c:v>
                </c:pt>
                <c:pt idx="575">
                  <c:v>1.4061905234907499</c:v>
                </c:pt>
                <c:pt idx="576">
                  <c:v>1.4065599417531303</c:v>
                </c:pt>
                <c:pt idx="577">
                  <c:v>1.4066633042366448</c:v>
                </c:pt>
                <c:pt idx="578">
                  <c:v>1.4068256243822361</c:v>
                </c:pt>
                <c:pt idx="579">
                  <c:v>1.4074592326746824</c:v>
                </c:pt>
                <c:pt idx="580">
                  <c:v>1.4080473166964111</c:v>
                </c:pt>
                <c:pt idx="581">
                  <c:v>1.4086048024378215</c:v>
                </c:pt>
                <c:pt idx="582">
                  <c:v>1.4091615418797119</c:v>
                </c:pt>
                <c:pt idx="583">
                  <c:v>1.409234679232668</c:v>
                </c:pt>
                <c:pt idx="584">
                  <c:v>1.4093955067792194</c:v>
                </c:pt>
                <c:pt idx="585">
                  <c:v>1.4097169752974423</c:v>
                </c:pt>
                <c:pt idx="586">
                  <c:v>1.4100089649846268</c:v>
                </c:pt>
                <c:pt idx="587">
                  <c:v>1.4106649622626719</c:v>
                </c:pt>
                <c:pt idx="588">
                  <c:v>1.4106795151033111</c:v>
                </c:pt>
                <c:pt idx="589">
                  <c:v>1.4107813849877857</c:v>
                </c:pt>
                <c:pt idx="590">
                  <c:v>1.4109560190754564</c:v>
                </c:pt>
                <c:pt idx="591">
                  <c:v>1.411377305154474</c:v>
                </c:pt>
                <c:pt idx="592">
                  <c:v>1.4114646221983094</c:v>
                </c:pt>
                <c:pt idx="593">
                  <c:v>1.4118709822869278</c:v>
                </c:pt>
                <c:pt idx="594">
                  <c:v>1.4118709822869278</c:v>
                </c:pt>
                <c:pt idx="595">
                  <c:v>1.4121463668097931</c:v>
                </c:pt>
                <c:pt idx="596">
                  <c:v>1.4129710277793492</c:v>
                </c:pt>
                <c:pt idx="597">
                  <c:v>1.413202007480777</c:v>
                </c:pt>
                <c:pt idx="598">
                  <c:v>1.413202007480777</c:v>
                </c:pt>
                <c:pt idx="599">
                  <c:v>1.4132165603214162</c:v>
                </c:pt>
                <c:pt idx="600">
                  <c:v>1.413822368956744</c:v>
                </c:pt>
                <c:pt idx="601">
                  <c:v>1.4138800205946609</c:v>
                </c:pt>
                <c:pt idx="602">
                  <c:v>1.414254289803921</c:v>
                </c:pt>
                <c:pt idx="603">
                  <c:v>1.4145278085779864</c:v>
                </c:pt>
                <c:pt idx="604">
                  <c:v>1.414743302564375</c:v>
                </c:pt>
                <c:pt idx="605">
                  <c:v>1.4147576688301342</c:v>
                </c:pt>
                <c:pt idx="606">
                  <c:v>1.414987529082282</c:v>
                </c:pt>
                <c:pt idx="607">
                  <c:v>1.4152170161846698</c:v>
                </c:pt>
                <c:pt idx="608">
                  <c:v>1.4152457487161882</c:v>
                </c:pt>
                <c:pt idx="609">
                  <c:v>1.4152457487161882</c:v>
                </c:pt>
                <c:pt idx="610">
                  <c:v>1.4152457487161882</c:v>
                </c:pt>
                <c:pt idx="611">
                  <c:v>1.4154608695528168</c:v>
                </c:pt>
                <c:pt idx="612">
                  <c:v>1.4156472578579269</c:v>
                </c:pt>
                <c:pt idx="613">
                  <c:v>1.4157043497712039</c:v>
                </c:pt>
                <c:pt idx="614">
                  <c:v>1.41577599452512</c:v>
                </c:pt>
                <c:pt idx="615">
                  <c:v>1.4160194747435071</c:v>
                </c:pt>
                <c:pt idx="616">
                  <c:v>1.4162625818121342</c:v>
                </c:pt>
                <c:pt idx="617">
                  <c:v>1.4162913143436526</c:v>
                </c:pt>
                <c:pt idx="618">
                  <c:v>1.4165200551465205</c:v>
                </c:pt>
                <c:pt idx="619">
                  <c:v>1.4165342348373997</c:v>
                </c:pt>
                <c:pt idx="620">
                  <c:v>1.4165627807940382</c:v>
                </c:pt>
                <c:pt idx="621">
                  <c:v>1.4167198768429898</c:v>
                </c:pt>
                <c:pt idx="622">
                  <c:v>1.4168913391577007</c:v>
                </c:pt>
                <c:pt idx="623">
                  <c:v>1.4171051539701693</c:v>
                </c:pt>
                <c:pt idx="624">
                  <c:v>1.4172193377967233</c:v>
                </c:pt>
                <c:pt idx="625">
                  <c:v>1.417318968782638</c:v>
                </c:pt>
                <c:pt idx="626">
                  <c:v>1.4175613295517451</c:v>
                </c:pt>
                <c:pt idx="627">
                  <c:v>1.417675326803419</c:v>
                </c:pt>
                <c:pt idx="628">
                  <c:v>1.4178174968619714</c:v>
                </c:pt>
                <c:pt idx="629">
                  <c:v>1.4179598534954039</c:v>
                </c:pt>
                <c:pt idx="630">
                  <c:v>1.418144749201474</c:v>
                </c:pt>
                <c:pt idx="631">
                  <c:v>1.418201654539871</c:v>
                </c:pt>
                <c:pt idx="632">
                  <c:v>1.4185141674638544</c:v>
                </c:pt>
                <c:pt idx="633">
                  <c:v>1.4185567065364921</c:v>
                </c:pt>
                <c:pt idx="634">
                  <c:v>1.4189966501035087</c:v>
                </c:pt>
                <c:pt idx="635">
                  <c:v>1.4191809860849389</c:v>
                </c:pt>
                <c:pt idx="636">
                  <c:v>1.4191951657758182</c:v>
                </c:pt>
                <c:pt idx="637">
                  <c:v>1.4194360339458854</c:v>
                </c:pt>
                <c:pt idx="638">
                  <c:v>1.4196625358501933</c:v>
                </c:pt>
                <c:pt idx="639">
                  <c:v>1.419931390252259</c:v>
                </c:pt>
                <c:pt idx="640">
                  <c:v>1.419987735866016</c:v>
                </c:pt>
                <c:pt idx="641">
                  <c:v>1.4201858783885655</c:v>
                </c:pt>
                <c:pt idx="642">
                  <c:v>1.4202422240023225</c:v>
                </c:pt>
                <c:pt idx="643">
                  <c:v>1.4202847630749602</c:v>
                </c:pt>
                <c:pt idx="644">
                  <c:v>1.4203694680704757</c:v>
                </c:pt>
                <c:pt idx="645">
                  <c:v>1.4206375761730214</c:v>
                </c:pt>
                <c:pt idx="646">
                  <c:v>1.4206517558639007</c:v>
                </c:pt>
                <c:pt idx="647">
                  <c:v>1.4206941083616584</c:v>
                </c:pt>
                <c:pt idx="648">
                  <c:v>1.4217504953321622</c:v>
                </c:pt>
                <c:pt idx="649">
                  <c:v>1.421961511521431</c:v>
                </c:pt>
                <c:pt idx="650">
                  <c:v>1.4222005139426983</c:v>
                </c:pt>
                <c:pt idx="651">
                  <c:v>1.4226917656017122</c:v>
                </c:pt>
                <c:pt idx="652">
                  <c:v>1.423014353569215</c:v>
                </c:pt>
                <c:pt idx="653">
                  <c:v>1.4232804093480809</c:v>
                </c:pt>
                <c:pt idx="654">
                  <c:v>1.4242313815113903</c:v>
                </c:pt>
                <c:pt idx="655">
                  <c:v>1.4248592059825569</c:v>
                </c:pt>
                <c:pt idx="656">
                  <c:v>1.4250125705339087</c:v>
                </c:pt>
                <c:pt idx="657">
                  <c:v>1.425082349539025</c:v>
                </c:pt>
                <c:pt idx="658">
                  <c:v>1.425402512033088</c:v>
                </c:pt>
                <c:pt idx="659">
                  <c:v>1.4254722910382043</c:v>
                </c:pt>
                <c:pt idx="660">
                  <c:v>1.4259034655858613</c:v>
                </c:pt>
                <c:pt idx="661">
                  <c:v>1.4260146642143354</c:v>
                </c:pt>
                <c:pt idx="662">
                  <c:v>1.4261812755821666</c:v>
                </c:pt>
                <c:pt idx="663">
                  <c:v>1.4263756866071162</c:v>
                </c:pt>
                <c:pt idx="664">
                  <c:v>1.426417479380234</c:v>
                </c:pt>
                <c:pt idx="665">
                  <c:v>1.4264868852355903</c:v>
                </c:pt>
                <c:pt idx="666">
                  <c:v>1.4266533100285415</c:v>
                </c:pt>
                <c:pt idx="667">
                  <c:v>1.4267921217392541</c:v>
                </c:pt>
                <c:pt idx="668">
                  <c:v>1.4269585465322052</c:v>
                </c:pt>
                <c:pt idx="669">
                  <c:v>1.4269723530733245</c:v>
                </c:pt>
                <c:pt idx="670">
                  <c:v>1.4270969850931579</c:v>
                </c:pt>
                <c:pt idx="671">
                  <c:v>1.4271801974896334</c:v>
                </c:pt>
                <c:pt idx="672">
                  <c:v>1.427470881152658</c:v>
                </c:pt>
                <c:pt idx="673">
                  <c:v>1.4281623276579012</c:v>
                </c:pt>
                <c:pt idx="674">
                  <c:v>1.4288664612549837</c:v>
                </c:pt>
                <c:pt idx="675">
                  <c:v>1.4290455731397742</c:v>
                </c:pt>
                <c:pt idx="676">
                  <c:v>1.429086992763132</c:v>
                </c:pt>
                <c:pt idx="677">
                  <c:v>1.4292661046479225</c:v>
                </c:pt>
                <c:pt idx="678">
                  <c:v>1.4295552957119071</c:v>
                </c:pt>
                <c:pt idx="679">
                  <c:v>1.4297616475291761</c:v>
                </c:pt>
                <c:pt idx="680">
                  <c:v>1.4301193115741171</c:v>
                </c:pt>
                <c:pt idx="681">
                  <c:v>1.4303254768165061</c:v>
                </c:pt>
                <c:pt idx="682">
                  <c:v>1.4303665232901039</c:v>
                </c:pt>
                <c:pt idx="683">
                  <c:v>1.4304353694208203</c:v>
                </c:pt>
                <c:pt idx="684">
                  <c:v>1.4308745666883169</c:v>
                </c:pt>
                <c:pt idx="685">
                  <c:v>1.4309157997367947</c:v>
                </c:pt>
                <c:pt idx="686">
                  <c:v>1.4309978926839904</c:v>
                </c:pt>
                <c:pt idx="687">
                  <c:v>1.4312173047428587</c:v>
                </c:pt>
                <c:pt idx="688">
                  <c:v>1.4312995842649343</c:v>
                </c:pt>
                <c:pt idx="689">
                  <c:v>1.4316421357445961</c:v>
                </c:pt>
                <c:pt idx="690">
                  <c:v>1.4316968021844332</c:v>
                </c:pt>
                <c:pt idx="691">
                  <c:v>1.431888414586183</c:v>
                </c:pt>
                <c:pt idx="692">
                  <c:v>1.4320662204468135</c:v>
                </c:pt>
                <c:pt idx="693">
                  <c:v>1.4322714528148026</c:v>
                </c:pt>
                <c:pt idx="694">
                  <c:v>1.4330770831465998</c:v>
                </c:pt>
                <c:pt idx="695">
                  <c:v>1.433240895891231</c:v>
                </c:pt>
                <c:pt idx="696">
                  <c:v>1.433786067690562</c:v>
                </c:pt>
                <c:pt idx="697">
                  <c:v>1.4339901806092712</c:v>
                </c:pt>
                <c:pt idx="698">
                  <c:v>1.4345342329593223</c:v>
                </c:pt>
                <c:pt idx="699">
                  <c:v>1.4353626254264782</c:v>
                </c:pt>
                <c:pt idx="700">
                  <c:v>1.4356339053019838</c:v>
                </c:pt>
                <c:pt idx="701">
                  <c:v>1.4357965985973351</c:v>
                </c:pt>
                <c:pt idx="702">
                  <c:v>1.4357965985973351</c:v>
                </c:pt>
                <c:pt idx="703">
                  <c:v>1.4360133986078836</c:v>
                </c:pt>
                <c:pt idx="704">
                  <c:v>1.4361895252945942</c:v>
                </c:pt>
                <c:pt idx="705">
                  <c:v>1.4362029586859535</c:v>
                </c:pt>
                <c:pt idx="706">
                  <c:v>1.4367443989876847</c:v>
                </c:pt>
                <c:pt idx="707">
                  <c:v>1.4367712657704033</c:v>
                </c:pt>
                <c:pt idx="708">
                  <c:v>1.4369201525246353</c:v>
                </c:pt>
                <c:pt idx="709">
                  <c:v>1.4372712864487767</c:v>
                </c:pt>
                <c:pt idx="710">
                  <c:v>1.4372712864487767</c:v>
                </c:pt>
                <c:pt idx="711">
                  <c:v>1.4373929332705302</c:v>
                </c:pt>
                <c:pt idx="712">
                  <c:v>1.4375007735511645</c:v>
                </c:pt>
                <c:pt idx="713">
                  <c:v>1.4377033938708337</c:v>
                </c:pt>
                <c:pt idx="714">
                  <c:v>1.438053968070335</c:v>
                </c:pt>
                <c:pt idx="715">
                  <c:v>1.4388754572669313</c:v>
                </c:pt>
                <c:pt idx="716">
                  <c:v>1.4388888906582906</c:v>
                </c:pt>
                <c:pt idx="717">
                  <c:v>1.4391713650265956</c:v>
                </c:pt>
                <c:pt idx="718">
                  <c:v>1.4393598056553856</c:v>
                </c:pt>
                <c:pt idx="719">
                  <c:v>1.439426972612182</c:v>
                </c:pt>
                <c:pt idx="720">
                  <c:v>1.4395075729603377</c:v>
                </c:pt>
                <c:pt idx="721">
                  <c:v>1.4396687736566491</c:v>
                </c:pt>
                <c:pt idx="722">
                  <c:v>1.4402460363353384</c:v>
                </c:pt>
                <c:pt idx="723">
                  <c:v>1.4402861499345363</c:v>
                </c:pt>
                <c:pt idx="724">
                  <c:v>1.4406749719844356</c:v>
                </c:pt>
                <c:pt idx="725">
                  <c:v>1.4407419523663521</c:v>
                </c:pt>
                <c:pt idx="726">
                  <c:v>1.4410098738940178</c:v>
                </c:pt>
                <c:pt idx="727">
                  <c:v>1.4416524377807036</c:v>
                </c:pt>
                <c:pt idx="728">
                  <c:v>1.4417860253947765</c:v>
                </c:pt>
                <c:pt idx="729">
                  <c:v>1.4417994587861358</c:v>
                </c:pt>
                <c:pt idx="730">
                  <c:v>1.4422537686189116</c:v>
                </c:pt>
                <c:pt idx="731">
                  <c:v>1.4428543531575997</c:v>
                </c:pt>
                <c:pt idx="732">
                  <c:v>1.4430144344046312</c:v>
                </c:pt>
                <c:pt idx="733">
                  <c:v>1.4434409445802885</c:v>
                </c:pt>
                <c:pt idx="734">
                  <c:v>1.4435741590446014</c:v>
                </c:pt>
                <c:pt idx="735">
                  <c:v>1.4437073735089143</c:v>
                </c:pt>
                <c:pt idx="736">
                  <c:v>1.4438137211905087</c:v>
                </c:pt>
                <c:pt idx="737">
                  <c:v>1.4446518155514241</c:v>
                </c:pt>
                <c:pt idx="738">
                  <c:v>1.444691742575742</c:v>
                </c:pt>
                <c:pt idx="739">
                  <c:v>1.444784656865977</c:v>
                </c:pt>
                <c:pt idx="740">
                  <c:v>1.4449174981805299</c:v>
                </c:pt>
                <c:pt idx="741">
                  <c:v>1.4452096744425944</c:v>
                </c:pt>
                <c:pt idx="742">
                  <c:v>1.4453025887328295</c:v>
                </c:pt>
                <c:pt idx="743">
                  <c:v>1.4453555759987466</c:v>
                </c:pt>
                <c:pt idx="744">
                  <c:v>1.4456738727440097</c:v>
                </c:pt>
                <c:pt idx="745">
                  <c:v>1.4457932806672034</c:v>
                </c:pt>
                <c:pt idx="746">
                  <c:v>1.4458727615660791</c:v>
                </c:pt>
                <c:pt idx="747">
                  <c:v>1.4462173653694208</c:v>
                </c:pt>
                <c:pt idx="748">
                  <c:v>1.446270352635338</c:v>
                </c:pt>
                <c:pt idx="749">
                  <c:v>1.4463365867177345</c:v>
                </c:pt>
                <c:pt idx="750">
                  <c:v>1.4464690548825274</c:v>
                </c:pt>
                <c:pt idx="751">
                  <c:v>1.4465750294143618</c:v>
                </c:pt>
                <c:pt idx="752">
                  <c:v>1.4466145832889197</c:v>
                </c:pt>
                <c:pt idx="753">
                  <c:v>1.4470909089575343</c:v>
                </c:pt>
                <c:pt idx="754">
                  <c:v>1.4471041557740136</c:v>
                </c:pt>
                <c:pt idx="755">
                  <c:v>1.4471174025904929</c:v>
                </c:pt>
                <c:pt idx="756">
                  <c:v>1.447209943730968</c:v>
                </c:pt>
                <c:pt idx="757">
                  <c:v>1.4476592160419841</c:v>
                </c:pt>
                <c:pt idx="758">
                  <c:v>1.4478706053810129</c:v>
                </c:pt>
                <c:pt idx="759">
                  <c:v>1.4482269634017939</c:v>
                </c:pt>
                <c:pt idx="760">
                  <c:v>1.448319317967389</c:v>
                </c:pt>
                <c:pt idx="761">
                  <c:v>1.4487939644620837</c:v>
                </c:pt>
                <c:pt idx="762">
                  <c:v>1.4488202715201624</c:v>
                </c:pt>
                <c:pt idx="763">
                  <c:v>1.4494132064887708</c:v>
                </c:pt>
                <c:pt idx="764">
                  <c:v>1.449597355895321</c:v>
                </c:pt>
                <c:pt idx="765">
                  <c:v>1.4499789015249007</c:v>
                </c:pt>
                <c:pt idx="766">
                  <c:v>1.4503470137631211</c:v>
                </c:pt>
                <c:pt idx="767">
                  <c:v>1.4503602605796004</c:v>
                </c:pt>
                <c:pt idx="768">
                  <c:v>1.4504520554205556</c:v>
                </c:pt>
                <c:pt idx="769">
                  <c:v>1.4508330413254953</c:v>
                </c:pt>
                <c:pt idx="770">
                  <c:v>1.4510431246403641</c:v>
                </c:pt>
                <c:pt idx="771">
                  <c:v>1.4510957387565213</c:v>
                </c:pt>
                <c:pt idx="772">
                  <c:v>1.4511481662977985</c:v>
                </c:pt>
                <c:pt idx="773">
                  <c:v>1.4511875335974764</c:v>
                </c:pt>
                <c:pt idx="774">
                  <c:v>1.4515942668358548</c:v>
                </c:pt>
                <c:pt idx="775">
                  <c:v>1.451777669942885</c:v>
                </c:pt>
                <c:pt idx="776">
                  <c:v>1.4520922351905483</c:v>
                </c:pt>
                <c:pt idx="777">
                  <c:v>1.4521577229734248</c:v>
                </c:pt>
                <c:pt idx="778">
                  <c:v>1.4523541863220544</c:v>
                </c:pt>
                <c:pt idx="779">
                  <c:v>1.4523672465636537</c:v>
                </c:pt>
                <c:pt idx="780">
                  <c:v>1.4529038359185051</c:v>
                </c:pt>
                <c:pt idx="781">
                  <c:v>1.4532047811999291</c:v>
                </c:pt>
                <c:pt idx="782">
                  <c:v>1.4532178414415284</c:v>
                </c:pt>
                <c:pt idx="783">
                  <c:v>1.4534792328483945</c:v>
                </c:pt>
                <c:pt idx="784">
                  <c:v>1.4536490159891855</c:v>
                </c:pt>
                <c:pt idx="785">
                  <c:v>1.4539104073960516</c:v>
                </c:pt>
                <c:pt idx="786">
                  <c:v>1.4539626483624488</c:v>
                </c:pt>
                <c:pt idx="787">
                  <c:v>1.4542889678275515</c:v>
                </c:pt>
                <c:pt idx="788">
                  <c:v>1.45469327559249</c:v>
                </c:pt>
                <c:pt idx="789">
                  <c:v>1.454993287999514</c:v>
                </c:pt>
                <c:pt idx="790">
                  <c:v>1.4550584026326305</c:v>
                </c:pt>
                <c:pt idx="791">
                  <c:v>1.4551757582321443</c:v>
                </c:pt>
                <c:pt idx="792">
                  <c:v>1.4556576811471587</c:v>
                </c:pt>
                <c:pt idx="793">
                  <c:v>1.455800784080111</c:v>
                </c:pt>
                <c:pt idx="794">
                  <c:v>1.4559050794380255</c:v>
                </c:pt>
                <c:pt idx="795">
                  <c:v>1.4559179531047448</c:v>
                </c:pt>
                <c:pt idx="796">
                  <c:v>1.4560220618877793</c:v>
                </c:pt>
                <c:pt idx="797">
                  <c:v>1.4564644309282357</c:v>
                </c:pt>
                <c:pt idx="798">
                  <c:v>1.4566465280111061</c:v>
                </c:pt>
                <c:pt idx="799">
                  <c:v>1.4575948881260956</c:v>
                </c:pt>
                <c:pt idx="800">
                  <c:v>1.4577116840009694</c:v>
                </c:pt>
                <c:pt idx="801">
                  <c:v>1.457737617909288</c:v>
                </c:pt>
                <c:pt idx="802">
                  <c:v>1.4578934079340797</c:v>
                </c:pt>
                <c:pt idx="803">
                  <c:v>1.4581915545923039</c:v>
                </c:pt>
                <c:pt idx="804">
                  <c:v>1.4586195573670011</c:v>
                </c:pt>
                <c:pt idx="805">
                  <c:v>1.4587878479087522</c:v>
                </c:pt>
                <c:pt idx="806">
                  <c:v>1.4588266554837901</c:v>
                </c:pt>
                <c:pt idx="807">
                  <c:v>1.4589951326004211</c:v>
                </c:pt>
                <c:pt idx="808">
                  <c:v>1.4593835815005605</c:v>
                </c:pt>
                <c:pt idx="809">
                  <c:v>1.4594225756504784</c:v>
                </c:pt>
                <c:pt idx="810">
                  <c:v>1.4594613832255163</c:v>
                </c:pt>
                <c:pt idx="811">
                  <c:v>1.4596035532840688</c:v>
                </c:pt>
                <c:pt idx="812">
                  <c:v>1.4601339856678806</c:v>
                </c:pt>
                <c:pt idx="813">
                  <c:v>1.4603925784515468</c:v>
                </c:pt>
                <c:pt idx="814">
                  <c:v>1.460444259693304</c:v>
                </c:pt>
                <c:pt idx="815">
                  <c:v>1.460483067268342</c:v>
                </c:pt>
                <c:pt idx="816">
                  <c:v>1.460689792235371</c:v>
                </c:pt>
                <c:pt idx="817">
                  <c:v>1.4607155395688096</c:v>
                </c:pt>
                <c:pt idx="818">
                  <c:v>1.4607155395688096</c:v>
                </c:pt>
                <c:pt idx="819">
                  <c:v>1.4607285998104089</c:v>
                </c:pt>
                <c:pt idx="820">
                  <c:v>1.4607802810521662</c:v>
                </c:pt>
                <c:pt idx="821">
                  <c:v>1.4608189020523241</c:v>
                </c:pt>
                <c:pt idx="822">
                  <c:v>1.4608965172024</c:v>
                </c:pt>
                <c:pt idx="823">
                  <c:v>1.4610256270193531</c:v>
                </c:pt>
                <c:pt idx="824">
                  <c:v>1.4610513743527918</c:v>
                </c:pt>
                <c:pt idx="825">
                  <c:v>1.4613226542282973</c:v>
                </c:pt>
                <c:pt idx="826">
                  <c:v>1.4617484181044347</c:v>
                </c:pt>
                <c:pt idx="827">
                  <c:v>1.4618773413465078</c:v>
                </c:pt>
                <c:pt idx="828">
                  <c:v>1.4618773413465078</c:v>
                </c:pt>
                <c:pt idx="829">
                  <c:v>1.4618773413465078</c:v>
                </c:pt>
                <c:pt idx="830">
                  <c:v>1.4619159623466658</c:v>
                </c:pt>
                <c:pt idx="831">
                  <c:v>1.461967643588423</c:v>
                </c:pt>
                <c:pt idx="832">
                  <c:v>1.4623544133146424</c:v>
                </c:pt>
                <c:pt idx="833">
                  <c:v>1.4623801606480811</c:v>
                </c:pt>
                <c:pt idx="834">
                  <c:v>1.4626380071322274</c:v>
                </c:pt>
                <c:pt idx="835">
                  <c:v>1.4626380071322274</c:v>
                </c:pt>
                <c:pt idx="836">
                  <c:v>1.4627538701327012</c:v>
                </c:pt>
                <c:pt idx="837">
                  <c:v>1.4628570460413357</c:v>
                </c:pt>
                <c:pt idx="838">
                  <c:v>1.4628827933747743</c:v>
                </c:pt>
                <c:pt idx="839">
                  <c:v>1.4629857827085289</c:v>
                </c:pt>
                <c:pt idx="840">
                  <c:v>1.4630630247088448</c:v>
                </c:pt>
                <c:pt idx="841">
                  <c:v>1.4630630247088448</c:v>
                </c:pt>
                <c:pt idx="842">
                  <c:v>1.4631016457090027</c:v>
                </c:pt>
                <c:pt idx="843">
                  <c:v>1.4635134164691408</c:v>
                </c:pt>
                <c:pt idx="844">
                  <c:v>1.4635906584694567</c:v>
                </c:pt>
                <c:pt idx="845">
                  <c:v>1.4644653215068502</c:v>
                </c:pt>
                <c:pt idx="846">
                  <c:v>1.4644908822654088</c:v>
                </c:pt>
                <c:pt idx="847">
                  <c:v>1.464619432357722</c:v>
                </c:pt>
                <c:pt idx="848">
                  <c:v>1.4648377249673104</c:v>
                </c:pt>
                <c:pt idx="849">
                  <c:v>1.4648377249673104</c:v>
                </c:pt>
                <c:pt idx="850">
                  <c:v>1.4649791487263428</c:v>
                </c:pt>
                <c:pt idx="851">
                  <c:v>1.4652103150026505</c:v>
                </c:pt>
                <c:pt idx="852">
                  <c:v>1.4653386785200837</c:v>
                </c:pt>
                <c:pt idx="853">
                  <c:v>1.4655054764627948</c:v>
                </c:pt>
                <c:pt idx="854">
                  <c:v>1.4655440974629528</c:v>
                </c:pt>
                <c:pt idx="855">
                  <c:v>1.4660571783829255</c:v>
                </c:pt>
                <c:pt idx="856">
                  <c:v>1.4660700520496448</c:v>
                </c:pt>
                <c:pt idx="857">
                  <c:v>1.4661855419003587</c:v>
                </c:pt>
                <c:pt idx="858">
                  <c:v>1.4664932038774623</c:v>
                </c:pt>
                <c:pt idx="859">
                  <c:v>1.4666726889120127</c:v>
                </c:pt>
                <c:pt idx="860">
                  <c:v>1.4666982496705714</c:v>
                </c:pt>
                <c:pt idx="861">
                  <c:v>1.4667366840958493</c:v>
                </c:pt>
                <c:pt idx="862">
                  <c:v>1.4667879921878466</c:v>
                </c:pt>
                <c:pt idx="863">
                  <c:v>1.4670699068315116</c:v>
                </c:pt>
                <c:pt idx="864">
                  <c:v>1.4671978971991848</c:v>
                </c:pt>
                <c:pt idx="865">
                  <c:v>1.4675691812103651</c:v>
                </c:pt>
                <c:pt idx="866">
                  <c:v>1.4675949285438037</c:v>
                </c:pt>
                <c:pt idx="867">
                  <c:v>1.4679020307962674</c:v>
                </c:pt>
                <c:pt idx="868">
                  <c:v>1.4679788996468233</c:v>
                </c:pt>
                <c:pt idx="869">
                  <c:v>1.4689890160470895</c:v>
                </c:pt>
                <c:pt idx="870">
                  <c:v>1.4691168198398827</c:v>
                </c:pt>
                <c:pt idx="871">
                  <c:v>1.469206375782278</c:v>
                </c:pt>
                <c:pt idx="872">
                  <c:v>1.469206375782278</c:v>
                </c:pt>
                <c:pt idx="873">
                  <c:v>1.4694617967929844</c:v>
                </c:pt>
                <c:pt idx="874">
                  <c:v>1.4694746704597037</c:v>
                </c:pt>
                <c:pt idx="875">
                  <c:v>1.4697554656540888</c:v>
                </c:pt>
                <c:pt idx="876">
                  <c:v>1.4699215172972799</c:v>
                </c:pt>
                <c:pt idx="877">
                  <c:v>1.4702789947673409</c:v>
                </c:pt>
                <c:pt idx="878">
                  <c:v>1.4705724770535653</c:v>
                </c:pt>
                <c:pt idx="879">
                  <c:v>1.4707510292137158</c:v>
                </c:pt>
                <c:pt idx="880">
                  <c:v>1.4709424550405856</c:v>
                </c:pt>
                <c:pt idx="881">
                  <c:v>1.4709933899828229</c:v>
                </c:pt>
                <c:pt idx="882">
                  <c:v>1.4710316378332209</c:v>
                </c:pt>
                <c:pt idx="883">
                  <c:v>1.4710316378332209</c:v>
                </c:pt>
                <c:pt idx="884">
                  <c:v>1.4711081335340168</c:v>
                </c:pt>
                <c:pt idx="885">
                  <c:v>1.4712228770852107</c:v>
                </c:pt>
                <c:pt idx="886">
                  <c:v>1.4714906120379965</c:v>
                </c:pt>
                <c:pt idx="887">
                  <c:v>1.4715542340720731</c:v>
                </c:pt>
                <c:pt idx="888">
                  <c:v>1.4717837211744609</c:v>
                </c:pt>
                <c:pt idx="889">
                  <c:v>1.4720510829774867</c:v>
                </c:pt>
                <c:pt idx="890">
                  <c:v>1.4721785136205199</c:v>
                </c:pt>
                <c:pt idx="891">
                  <c:v>1.472420501239867</c:v>
                </c:pt>
                <c:pt idx="892">
                  <c:v>1.4727005501347321</c:v>
                </c:pt>
                <c:pt idx="893">
                  <c:v>1.4727134238014514</c:v>
                </c:pt>
                <c:pt idx="894">
                  <c:v>1.4727897329273674</c:v>
                </c:pt>
                <c:pt idx="895">
                  <c:v>1.472853354961444</c:v>
                </c:pt>
                <c:pt idx="896">
                  <c:v>1.4728787291451226</c:v>
                </c:pt>
                <c:pt idx="897">
                  <c:v>1.4729296640873599</c:v>
                </c:pt>
                <c:pt idx="898">
                  <c:v>1.4729552248459186</c:v>
                </c:pt>
                <c:pt idx="899">
                  <c:v>1.4735149494858888</c:v>
                </c:pt>
                <c:pt idx="900">
                  <c:v>1.4735403236695674</c:v>
                </c:pt>
                <c:pt idx="901">
                  <c:v>1.4735912586118047</c:v>
                </c:pt>
                <c:pt idx="902">
                  <c:v>1.4739601171495451</c:v>
                </c:pt>
                <c:pt idx="903">
                  <c:v>1.474150796676895</c:v>
                </c:pt>
                <c:pt idx="904">
                  <c:v>1.4743668503879235</c:v>
                </c:pt>
                <c:pt idx="905">
                  <c:v>1.4744049116634415</c:v>
                </c:pt>
                <c:pt idx="906">
                  <c:v>1.4747224621091846</c:v>
                </c:pt>
                <c:pt idx="907">
                  <c:v>1.4748623932691771</c:v>
                </c:pt>
                <c:pt idx="908">
                  <c:v>1.4749258287283737</c:v>
                </c:pt>
                <c:pt idx="909">
                  <c:v>1.4749385158202131</c:v>
                </c:pt>
                <c:pt idx="910">
                  <c:v>1.4749892641875704</c:v>
                </c:pt>
                <c:pt idx="911">
                  <c:v>1.4750653867386063</c:v>
                </c:pt>
                <c:pt idx="912">
                  <c:v>1.4750782604053256</c:v>
                </c:pt>
                <c:pt idx="913">
                  <c:v>1.4751543829563616</c:v>
                </c:pt>
                <c:pt idx="914">
                  <c:v>1.4757766101811285</c:v>
                </c:pt>
                <c:pt idx="915">
                  <c:v>1.4758146714566465</c:v>
                </c:pt>
                <c:pt idx="916">
                  <c:v>1.4766518329431619</c:v>
                </c:pt>
                <c:pt idx="917">
                  <c:v>1.4772477531098502</c:v>
                </c:pt>
                <c:pt idx="918">
                  <c:v>1.4773111885690469</c:v>
                </c:pt>
                <c:pt idx="919">
                  <c:v>1.4783375369838723</c:v>
                </c:pt>
                <c:pt idx="920">
                  <c:v>1.4785526578205008</c:v>
                </c:pt>
                <c:pt idx="921">
                  <c:v>1.4785780320041795</c:v>
                </c:pt>
                <c:pt idx="922">
                  <c:v>1.4787425910483307</c:v>
                </c:pt>
                <c:pt idx="923">
                  <c:v>1.4788819624836833</c:v>
                </c:pt>
                <c:pt idx="924">
                  <c:v>1.4791476451127892</c:v>
                </c:pt>
                <c:pt idx="925">
                  <c:v>1.4792741428814224</c:v>
                </c:pt>
                <c:pt idx="926">
                  <c:v>1.4793248912487797</c:v>
                </c:pt>
                <c:pt idx="927">
                  <c:v>1.4794640761092523</c:v>
                </c:pt>
                <c:pt idx="928">
                  <c:v>1.4797803205308355</c:v>
                </c:pt>
                <c:pt idx="929">
                  <c:v>1.4799068182994688</c:v>
                </c:pt>
                <c:pt idx="930">
                  <c:v>1.4799446930001068</c:v>
                </c:pt>
                <c:pt idx="931">
                  <c:v>1.4802103756292126</c:v>
                </c:pt>
                <c:pt idx="932">
                  <c:v>1.4803368733978459</c:v>
                </c:pt>
                <c:pt idx="933">
                  <c:v>1.4804126227991219</c:v>
                </c:pt>
                <c:pt idx="934">
                  <c:v>1.4811331749856436</c:v>
                </c:pt>
                <c:pt idx="935">
                  <c:v>1.4811712362611615</c:v>
                </c:pt>
                <c:pt idx="936">
                  <c:v>1.4816637939443353</c:v>
                </c:pt>
                <c:pt idx="937">
                  <c:v>1.48176491752929</c:v>
                </c:pt>
                <c:pt idx="938">
                  <c:v>1.4823712858892577</c:v>
                </c:pt>
                <c:pt idx="939">
                  <c:v>1.4825479723006083</c:v>
                </c:pt>
                <c:pt idx="940">
                  <c:v>1.4826742834943616</c:v>
                </c:pt>
                <c:pt idx="941">
                  <c:v>1.4829645940076261</c:v>
                </c:pt>
                <c:pt idx="942">
                  <c:v>1.4834062167485627</c:v>
                </c:pt>
                <c:pt idx="943">
                  <c:v>1.4834819661498386</c:v>
                </c:pt>
                <c:pt idx="944">
                  <c:v>1.4836586525611892</c:v>
                </c:pt>
                <c:pt idx="945">
                  <c:v>1.4838478394894992</c:v>
                </c:pt>
                <c:pt idx="946">
                  <c:v>1.4839739641083725</c:v>
                </c:pt>
                <c:pt idx="947">
                  <c:v>1.4839739641083725</c:v>
                </c:pt>
                <c:pt idx="948">
                  <c:v>1.4845919001108996</c:v>
                </c:pt>
                <c:pt idx="949">
                  <c:v>1.4846803366040149</c:v>
                </c:pt>
                <c:pt idx="950">
                  <c:v>1.4848064612228882</c:v>
                </c:pt>
                <c:pt idx="951">
                  <c:v>1.4850333362769561</c:v>
                </c:pt>
                <c:pt idx="952">
                  <c:v>1.4850458367939154</c:v>
                </c:pt>
                <c:pt idx="953">
                  <c:v>1.4852475242391847</c:v>
                </c:pt>
                <c:pt idx="954">
                  <c:v>1.4857895242655559</c:v>
                </c:pt>
                <c:pt idx="955">
                  <c:v>1.4860540874453818</c:v>
                </c:pt>
                <c:pt idx="956">
                  <c:v>1.4863188372000877</c:v>
                </c:pt>
                <c:pt idx="957">
                  <c:v>1.4865832138050337</c:v>
                </c:pt>
                <c:pt idx="958">
                  <c:v>1.4867345260327056</c:v>
                </c:pt>
                <c:pt idx="959">
                  <c:v>1.4868477769848596</c:v>
                </c:pt>
                <c:pt idx="960">
                  <c:v>1.4871752158992422</c:v>
                </c:pt>
                <c:pt idx="961">
                  <c:v>1.4872255911168395</c:v>
                </c:pt>
                <c:pt idx="962">
                  <c:v>1.487741843809772</c:v>
                </c:pt>
                <c:pt idx="963">
                  <c:v>1.4881950341932679</c:v>
                </c:pt>
                <c:pt idx="964">
                  <c:v>1.4882202218020666</c:v>
                </c:pt>
                <c:pt idx="965">
                  <c:v>1.4882327223190259</c:v>
                </c:pt>
                <c:pt idx="966">
                  <c:v>1.4885347870497299</c:v>
                </c:pt>
                <c:pt idx="967">
                  <c:v>1.4888241646885945</c:v>
                </c:pt>
                <c:pt idx="968">
                  <c:v>1.4888368517804338</c:v>
                </c:pt>
                <c:pt idx="969">
                  <c:v>1.4891010418104997</c:v>
                </c:pt>
                <c:pt idx="970">
                  <c:v>1.4891262294192984</c:v>
                </c:pt>
                <c:pt idx="971">
                  <c:v>1.4897678604315843</c:v>
                </c:pt>
                <c:pt idx="972">
                  <c:v>1.4898182356491816</c:v>
                </c:pt>
                <c:pt idx="973">
                  <c:v>1.4903085544337955</c:v>
                </c:pt>
                <c:pt idx="974">
                  <c:v>1.4903966177771508</c:v>
                </c:pt>
                <c:pt idx="975">
                  <c:v>1.4904469929947481</c:v>
                </c:pt>
                <c:pt idx="976">
                  <c:v>1.4904846811205061</c:v>
                </c:pt>
                <c:pt idx="977">
                  <c:v>1.4909499988712014</c:v>
                </c:pt>
                <c:pt idx="978">
                  <c:v>1.4910380622145567</c:v>
                </c:pt>
                <c:pt idx="979">
                  <c:v>1.491088250857274</c:v>
                </c:pt>
                <c:pt idx="980">
                  <c:v>1.4912140023263873</c:v>
                </c:pt>
                <c:pt idx="981">
                  <c:v>1.4912895651527833</c:v>
                </c:pt>
                <c:pt idx="982">
                  <c:v>1.4914026295300573</c:v>
                </c:pt>
                <c:pt idx="983">
                  <c:v>1.4914906928734126</c:v>
                </c:pt>
                <c:pt idx="984">
                  <c:v>1.4916037572506866</c:v>
                </c:pt>
                <c:pt idx="985">
                  <c:v>1.4916791335022026</c:v>
                </c:pt>
                <c:pt idx="986">
                  <c:v>1.4917671968455579</c:v>
                </c:pt>
                <c:pt idx="987">
                  <c:v>1.4918048849713159</c:v>
                </c:pt>
                <c:pt idx="988">
                  <c:v>1.4925715211531951</c:v>
                </c:pt>
                <c:pt idx="989">
                  <c:v>1.4929735900195737</c:v>
                </c:pt>
                <c:pt idx="990">
                  <c:v>1.4931622172232437</c:v>
                </c:pt>
                <c:pt idx="991">
                  <c:v>1.4934512217123483</c:v>
                </c:pt>
                <c:pt idx="992">
                  <c:v>1.4939034792214443</c:v>
                </c:pt>
                <c:pt idx="993">
                  <c:v>1.4941421084929516</c:v>
                </c:pt>
                <c:pt idx="994">
                  <c:v>1.4945818654850882</c:v>
                </c:pt>
                <c:pt idx="995">
                  <c:v>1.4949083715250708</c:v>
                </c:pt>
                <c:pt idx="996">
                  <c:v>1.4950968121538608</c:v>
                </c:pt>
                <c:pt idx="997">
                  <c:v>1.4952223770480941</c:v>
                </c:pt>
                <c:pt idx="998">
                  <c:v>1.4956117588226334</c:v>
                </c:pt>
                <c:pt idx="999">
                  <c:v>1.4958378875771814</c:v>
                </c:pt>
                <c:pt idx="1000">
                  <c:v>1.4959382648626161</c:v>
                </c:pt>
                <c:pt idx="1001">
                  <c:v>1.4960009540222927</c:v>
                </c:pt>
                <c:pt idx="1002">
                  <c:v>1.4963024590283567</c:v>
                </c:pt>
                <c:pt idx="1003">
                  <c:v>1.496729342353774</c:v>
                </c:pt>
                <c:pt idx="1004">
                  <c:v>1.4973823544337392</c:v>
                </c:pt>
                <c:pt idx="1005">
                  <c:v>1.4974827317191739</c:v>
                </c:pt>
                <c:pt idx="1006">
                  <c:v>1.4975454208788506</c:v>
                </c:pt>
                <c:pt idx="1007">
                  <c:v>1.4976334842222059</c:v>
                </c:pt>
                <c:pt idx="1008">
                  <c:v>1.4977213609906812</c:v>
                </c:pt>
                <c:pt idx="1009">
                  <c:v>1.4978719269188332</c:v>
                </c:pt>
                <c:pt idx="1010">
                  <c:v>1.4981984329588158</c:v>
                </c:pt>
                <c:pt idx="1011">
                  <c:v>1.4985249389987985</c:v>
                </c:pt>
                <c:pt idx="1012">
                  <c:v>1.4995919607374617</c:v>
                </c:pt>
                <c:pt idx="1013">
                  <c:v>1.4996171483462604</c:v>
                </c:pt>
                <c:pt idx="1014">
                  <c:v>1.5000690327055963</c:v>
                </c:pt>
                <c:pt idx="1015">
                  <c:v>1.5008224220709963</c:v>
                </c:pt>
                <c:pt idx="1016">
                  <c:v>1.5012116172706556</c:v>
                </c:pt>
                <c:pt idx="1017">
                  <c:v>1.5017765660072655</c:v>
                </c:pt>
                <c:pt idx="1018">
                  <c:v>1.5018267546499828</c:v>
                </c:pt>
                <c:pt idx="1019">
                  <c:v>1.5019523195442162</c:v>
                </c:pt>
                <c:pt idx="1020">
                  <c:v>1.5020651973466101</c:v>
                </c:pt>
                <c:pt idx="1021">
                  <c:v>1.5021657612069248</c:v>
                </c:pt>
                <c:pt idx="1022">
                  <c:v>1.5021782617238841</c:v>
                </c:pt>
                <c:pt idx="1023">
                  <c:v>1.5027180228516954</c:v>
                </c:pt>
                <c:pt idx="1024">
                  <c:v>1.5027180228516954</c:v>
                </c:pt>
                <c:pt idx="1025">
                  <c:v>1.5028310872289694</c:v>
                </c:pt>
                <c:pt idx="1026">
                  <c:v>1.5031450927519927</c:v>
                </c:pt>
                <c:pt idx="1027">
                  <c:v>1.5033710349316607</c:v>
                </c:pt>
                <c:pt idx="1028">
                  <c:v>1.5034714122170953</c:v>
                </c:pt>
                <c:pt idx="1029">
                  <c:v>1.5034840993089347</c:v>
                </c:pt>
                <c:pt idx="1030">
                  <c:v>1.5036725399377247</c:v>
                </c:pt>
                <c:pt idx="1031">
                  <c:v>1.5040994232631419</c:v>
                </c:pt>
                <c:pt idx="1032">
                  <c:v>1.5042249881573753</c:v>
                </c:pt>
                <c:pt idx="1033">
                  <c:v>1.5048529992034219</c:v>
                </c:pt>
                <c:pt idx="1034">
                  <c:v>1.5050789413830898</c:v>
                </c:pt>
                <c:pt idx="1035">
                  <c:v>1.5051418171176465</c:v>
                </c:pt>
                <c:pt idx="1036">
                  <c:v>1.5052296938861218</c:v>
                </c:pt>
                <c:pt idx="1037">
                  <c:v>1.5053302577464365</c:v>
                </c:pt>
                <c:pt idx="1038">
                  <c:v>1.5054308216067511</c:v>
                </c:pt>
                <c:pt idx="1039">
                  <c:v>1.5056065751437018</c:v>
                </c:pt>
                <c:pt idx="1040">
                  <c:v>1.5060840202615964</c:v>
                </c:pt>
                <c:pt idx="1041">
                  <c:v>1.5060965207785557</c:v>
                </c:pt>
                <c:pt idx="1042">
                  <c:v>1.5065110901618937</c:v>
                </c:pt>
                <c:pt idx="1043">
                  <c:v>1.506712217882523</c:v>
                </c:pt>
                <c:pt idx="1044">
                  <c:v>1.506712217882523</c:v>
                </c:pt>
                <c:pt idx="1045">
                  <c:v>1.506787594134039</c:v>
                </c:pt>
                <c:pt idx="1046">
                  <c:v>1.5072148506092162</c:v>
                </c:pt>
                <c:pt idx="1047">
                  <c:v>1.5082704912802001</c:v>
                </c:pt>
                <c:pt idx="1048">
                  <c:v>1.5084466179669107</c:v>
                </c:pt>
                <c:pt idx="1049">
                  <c:v>1.508610057561782</c:v>
                </c:pt>
                <c:pt idx="1050">
                  <c:v>1.5087734971566533</c:v>
                </c:pt>
                <c:pt idx="1051">
                  <c:v>1.508798498190572</c:v>
                </c:pt>
                <c:pt idx="1052">
                  <c:v>1.5090626882206379</c:v>
                </c:pt>
                <c:pt idx="1053">
                  <c:v>1.5093895674103806</c:v>
                </c:pt>
                <c:pt idx="1054">
                  <c:v>1.5095278193964532</c:v>
                </c:pt>
                <c:pt idx="1055">
                  <c:v>1.5096660713825258</c:v>
                </c:pt>
                <c:pt idx="1056">
                  <c:v>1.5099931371471484</c:v>
                </c:pt>
                <c:pt idx="1057">
                  <c:v>1.5100056376641078</c:v>
                </c:pt>
                <c:pt idx="1058">
                  <c:v>1.5103830786463277</c:v>
                </c:pt>
                <c:pt idx="1059">
                  <c:v>1.510546704816079</c:v>
                </c:pt>
                <c:pt idx="1060">
                  <c:v>1.5105592053330383</c:v>
                </c:pt>
                <c:pt idx="1061">
                  <c:v>1.5112512115629215</c:v>
                </c:pt>
                <c:pt idx="1062">
                  <c:v>1.5113519619981162</c:v>
                </c:pt>
                <c:pt idx="1063">
                  <c:v>1.5113771496069148</c:v>
                </c:pt>
                <c:pt idx="1064">
                  <c:v>1.5114527124333108</c:v>
                </c:pt>
                <c:pt idx="1065">
                  <c:v>1.5114527124333108</c:v>
                </c:pt>
                <c:pt idx="1066">
                  <c:v>1.5117169024633768</c:v>
                </c:pt>
                <c:pt idx="1067">
                  <c:v>1.5119434043676847</c:v>
                </c:pt>
                <c:pt idx="1068">
                  <c:v>1.512107217112316</c:v>
                </c:pt>
                <c:pt idx="1069">
                  <c:v>1.5126359703222079</c:v>
                </c:pt>
                <c:pt idx="1070">
                  <c:v>1.5127870959749998</c:v>
                </c:pt>
                <c:pt idx="1071">
                  <c:v>1.5133158491848917</c:v>
                </c:pt>
                <c:pt idx="1072">
                  <c:v>1.513328536276731</c:v>
                </c:pt>
                <c:pt idx="1073">
                  <c:v>1.5135679118477583</c:v>
                </c:pt>
                <c:pt idx="1074">
                  <c:v>1.5135804123647176</c:v>
                </c:pt>
                <c:pt idx="1075">
                  <c:v>1.5138072874187856</c:v>
                </c:pt>
                <c:pt idx="1076">
                  <c:v>1.5141601005168468</c:v>
                </c:pt>
                <c:pt idx="1077">
                  <c:v>1.5150549136412792</c:v>
                </c:pt>
                <c:pt idx="1078">
                  <c:v>1.5151685377431932</c:v>
                </c:pt>
                <c:pt idx="1079">
                  <c:v>1.5154711621985371</c:v>
                </c:pt>
                <c:pt idx="1080">
                  <c:v>1.5159629735821909</c:v>
                </c:pt>
                <c:pt idx="1081">
                  <c:v>1.5160512235004262</c:v>
                </c:pt>
                <c:pt idx="1082">
                  <c:v>1.5162025357280982</c:v>
                </c:pt>
                <c:pt idx="1083">
                  <c:v>1.5163919092312881</c:v>
                </c:pt>
                <c:pt idx="1084">
                  <c:v>1.5167831567546273</c:v>
                </c:pt>
                <c:pt idx="1085">
                  <c:v>1.5169850307747765</c:v>
                </c:pt>
                <c:pt idx="1086">
                  <c:v>1.5169850307747765</c:v>
                </c:pt>
                <c:pt idx="1087">
                  <c:v>1.5172499671043624</c:v>
                </c:pt>
                <c:pt idx="1088">
                  <c:v>1.5172753412880411</c:v>
                </c:pt>
                <c:pt idx="1089">
                  <c:v>1.5174899024000297</c:v>
                </c:pt>
                <c:pt idx="1090">
                  <c:v>1.5181845206782327</c:v>
                </c:pt>
                <c:pt idx="1091">
                  <c:v>1.5182097082870314</c:v>
                </c:pt>
                <c:pt idx="1092">
                  <c:v>1.5182854576883074</c:v>
                </c:pt>
                <c:pt idx="1093">
                  <c:v>1.5185507671676532</c:v>
                </c:pt>
                <c:pt idx="1094">
                  <c:v>1.5193470687554509</c:v>
                </c:pt>
                <c:pt idx="1095">
                  <c:v>1.5196885007858327</c:v>
                </c:pt>
                <c:pt idx="1096">
                  <c:v>1.5198780608639026</c:v>
                </c:pt>
                <c:pt idx="1097">
                  <c:v>1.5200553069998932</c:v>
                </c:pt>
                <c:pt idx="1098">
                  <c:v>1.5200804946086919</c:v>
                </c:pt>
                <c:pt idx="1099">
                  <c:v>1.5201691176766872</c:v>
                </c:pt>
                <c:pt idx="1100">
                  <c:v>1.5202069923773252</c:v>
                </c:pt>
                <c:pt idx="1101">
                  <c:v>1.5203083025371598</c:v>
                </c:pt>
                <c:pt idx="1102">
                  <c:v>1.5209915397476834</c:v>
                </c:pt>
                <c:pt idx="1103">
                  <c:v>1.5210169139313621</c:v>
                </c:pt>
                <c:pt idx="1104">
                  <c:v>1.5211941600673526</c:v>
                </c:pt>
                <c:pt idx="1105">
                  <c:v>1.522955053784699</c:v>
                </c:pt>
                <c:pt idx="1106">
                  <c:v>1.5231324864955695</c:v>
                </c:pt>
                <c:pt idx="1107">
                  <c:v>1.5231705477710875</c:v>
                </c:pt>
                <c:pt idx="1108">
                  <c:v>1.5234367901248334</c:v>
                </c:pt>
                <c:pt idx="1109">
                  <c:v>1.5235255997677086</c:v>
                </c:pt>
                <c:pt idx="1110">
                  <c:v>1.5236017223187446</c:v>
                </c:pt>
                <c:pt idx="1111">
                  <c:v>1.5236270965024232</c:v>
                </c:pt>
                <c:pt idx="1112">
                  <c:v>1.5237920286963345</c:v>
                </c:pt>
                <c:pt idx="1113">
                  <c:v>1.5240203963494423</c:v>
                </c:pt>
                <c:pt idx="1114">
                  <c:v>1.524045770533121</c:v>
                </c:pt>
                <c:pt idx="1115">
                  <c:v>1.5241726414515142</c:v>
                </c:pt>
                <c:pt idx="1116">
                  <c:v>1.5244646311386987</c:v>
                </c:pt>
                <c:pt idx="1117">
                  <c:v>1.524477318230538</c:v>
                </c:pt>
                <c:pt idx="1118">
                  <c:v>1.524515566080936</c:v>
                </c:pt>
                <c:pt idx="1119">
                  <c:v>1.5245916886319719</c:v>
                </c:pt>
                <c:pt idx="1120">
                  <c:v>1.5247312466422045</c:v>
                </c:pt>
                <c:pt idx="1121">
                  <c:v>1.5247439337340438</c:v>
                </c:pt>
                <c:pt idx="1122">
                  <c:v>1.5248709912273171</c:v>
                </c:pt>
                <c:pt idx="1123">
                  <c:v>1.5248836783191564</c:v>
                </c:pt>
                <c:pt idx="1124">
                  <c:v>1.5249726745369117</c:v>
                </c:pt>
                <c:pt idx="1125">
                  <c:v>1.5253282862581727</c:v>
                </c:pt>
                <c:pt idx="1126">
                  <c:v>1.5260018215749369</c:v>
                </c:pt>
                <c:pt idx="1127">
                  <c:v>1.5261925011022868</c:v>
                </c:pt>
                <c:pt idx="1128">
                  <c:v>1.5262561231363634</c:v>
                </c:pt>
                <c:pt idx="1129">
                  <c:v>1.526713977891859</c:v>
                </c:pt>
                <c:pt idx="1130">
                  <c:v>1.5268285348681729</c:v>
                </c:pt>
                <c:pt idx="1131">
                  <c:v>1.5268539090518516</c:v>
                </c:pt>
                <c:pt idx="1132">
                  <c:v>1.5272485149230306</c:v>
                </c:pt>
                <c:pt idx="1133">
                  <c:v>1.5272485149230306</c:v>
                </c:pt>
                <c:pt idx="1134">
                  <c:v>1.5272612020148699</c:v>
                </c:pt>
                <c:pt idx="1135">
                  <c:v>1.5272865761985486</c:v>
                </c:pt>
                <c:pt idx="1136">
                  <c:v>1.5274393810252604</c:v>
                </c:pt>
                <c:pt idx="1137">
                  <c:v>1.5274903159674977</c:v>
                </c:pt>
                <c:pt idx="1138">
                  <c:v>1.5275156901511764</c:v>
                </c:pt>
                <c:pt idx="1139">
                  <c:v>1.527579498760133</c:v>
                </c:pt>
                <c:pt idx="1140">
                  <c:v>1.5276304337023703</c:v>
                </c:pt>
                <c:pt idx="1141">
                  <c:v>1.527936043355794</c:v>
                </c:pt>
                <c:pt idx="1142">
                  <c:v>1.5280888481825059</c:v>
                </c:pt>
                <c:pt idx="1143">
                  <c:v>1.5281144089410645</c:v>
                </c:pt>
                <c:pt idx="1144">
                  <c:v>1.5282800874344957</c:v>
                </c:pt>
                <c:pt idx="1145">
                  <c:v>1.5286496922717561</c:v>
                </c:pt>
                <c:pt idx="1146">
                  <c:v>1.5292234100277255</c:v>
                </c:pt>
                <c:pt idx="1147">
                  <c:v>1.5292362836944449</c:v>
                </c:pt>
                <c:pt idx="1148">
                  <c:v>1.5292872186366822</c:v>
                </c:pt>
                <c:pt idx="1149">
                  <c:v>1.5293892750960367</c:v>
                </c:pt>
                <c:pt idx="1150">
                  <c:v>1.5295042052221106</c:v>
                </c:pt>
                <c:pt idx="1151">
                  <c:v>1.5298613095424116</c:v>
                </c:pt>
                <c:pt idx="1152">
                  <c:v>1.5300656090360008</c:v>
                </c:pt>
                <c:pt idx="1153">
                  <c:v>1.530116730553118</c:v>
                </c:pt>
                <c:pt idx="1154">
                  <c:v>1.5301678520702353</c:v>
                </c:pt>
                <c:pt idx="1155">
                  <c:v>1.5302316606791919</c:v>
                </c:pt>
                <c:pt idx="1156">
                  <c:v>1.5302316606791919</c:v>
                </c:pt>
                <c:pt idx="1157">
                  <c:v>1.5304997687817377</c:v>
                </c:pt>
                <c:pt idx="1158">
                  <c:v>1.5311003533204257</c:v>
                </c:pt>
                <c:pt idx="1159">
                  <c:v>1.5312410307799382</c:v>
                </c:pt>
                <c:pt idx="1160">
                  <c:v>1.5312792786303362</c:v>
                </c:pt>
                <c:pt idx="1161">
                  <c:v>1.5319188573189422</c:v>
                </c:pt>
                <c:pt idx="1162">
                  <c:v>1.5320084132613374</c:v>
                </c:pt>
                <c:pt idx="1163">
                  <c:v>1.5321490907208499</c:v>
                </c:pt>
                <c:pt idx="1164">
                  <c:v>1.5323155155138011</c:v>
                </c:pt>
                <c:pt idx="1165">
                  <c:v>1.5325714962491475</c:v>
                </c:pt>
                <c:pt idx="1166">
                  <c:v>1.532635678007864</c:v>
                </c:pt>
                <c:pt idx="1167">
                  <c:v>1.5328276635593738</c:v>
                </c:pt>
                <c:pt idx="1168">
                  <c:v>1.532955840501927</c:v>
                </c:pt>
                <c:pt idx="1169">
                  <c:v>1.5331480126283168</c:v>
                </c:pt>
                <c:pt idx="1170">
                  <c:v>1.5331480126283168</c:v>
                </c:pt>
                <c:pt idx="1171">
                  <c:v>1.533237568570712</c:v>
                </c:pt>
                <c:pt idx="1172">
                  <c:v>1.5332888766627093</c:v>
                </c:pt>
                <c:pt idx="1173">
                  <c:v>1.5333528718465459</c:v>
                </c:pt>
                <c:pt idx="1174">
                  <c:v>1.5334683616972598</c:v>
                </c:pt>
                <c:pt idx="1175">
                  <c:v>1.5337760236743634</c:v>
                </c:pt>
                <c:pt idx="1176">
                  <c:v>1.5338273317663607</c:v>
                </c:pt>
                <c:pt idx="1177">
                  <c:v>1.5338528925249193</c:v>
                </c:pt>
                <c:pt idx="1178">
                  <c:v>1.5340454378010691</c:v>
                </c:pt>
                <c:pt idx="1179">
                  <c:v>1.5342506701690581</c:v>
                </c:pt>
                <c:pt idx="1180">
                  <c:v>1.53440459444505</c:v>
                </c:pt>
                <c:pt idx="1181">
                  <c:v>1.5345329579624831</c:v>
                </c:pt>
                <c:pt idx="1182">
                  <c:v>1.5348409930893467</c:v>
                </c:pt>
                <c:pt idx="1183">
                  <c:v>1.5353290729754008</c:v>
                </c:pt>
                <c:pt idx="1184">
                  <c:v>1.5354447494009946</c:v>
                </c:pt>
                <c:pt idx="1185">
                  <c:v>1.5354833704011526</c:v>
                </c:pt>
                <c:pt idx="1186">
                  <c:v>1.5356376678269044</c:v>
                </c:pt>
                <c:pt idx="1187">
                  <c:v>1.5356761022521823</c:v>
                </c:pt>
                <c:pt idx="1188">
                  <c:v>1.5359589497702473</c:v>
                </c:pt>
                <c:pt idx="1189">
                  <c:v>1.536190489196315</c:v>
                </c:pt>
                <c:pt idx="1190">
                  <c:v>1.536190489196315</c:v>
                </c:pt>
                <c:pt idx="1191">
                  <c:v>1.5362934785300695</c:v>
                </c:pt>
                <c:pt idx="1192">
                  <c:v>1.5364220286223826</c:v>
                </c:pt>
                <c:pt idx="1193">
                  <c:v>1.5365121442894178</c:v>
                </c:pt>
                <c:pt idx="1194">
                  <c:v>1.5365378916228565</c:v>
                </c:pt>
                <c:pt idx="1195">
                  <c:v>1.5366923756234883</c:v>
                </c:pt>
                <c:pt idx="1196">
                  <c:v>1.5370013436247518</c:v>
                </c:pt>
                <c:pt idx="1197">
                  <c:v>1.5378646255944659</c:v>
                </c:pt>
                <c:pt idx="1198">
                  <c:v>1.5378776858360652</c:v>
                </c:pt>
                <c:pt idx="1199">
                  <c:v>1.5378903729279045</c:v>
                </c:pt>
                <c:pt idx="1200">
                  <c:v>1.5379806751698197</c:v>
                </c:pt>
                <c:pt idx="1201">
                  <c:v>1.5390001203140855</c:v>
                </c:pt>
                <c:pt idx="1202">
                  <c:v>1.5390131805556848</c:v>
                </c:pt>
                <c:pt idx="1203">
                  <c:v>1.5391422903726379</c:v>
                </c:pt>
                <c:pt idx="1204">
                  <c:v>1.5392844604311904</c:v>
                </c:pt>
                <c:pt idx="1205">
                  <c:v>1.5395299929732573</c:v>
                </c:pt>
                <c:pt idx="1206">
                  <c:v>1.5397755255153243</c:v>
                </c:pt>
                <c:pt idx="1207">
                  <c:v>1.5397883991820436</c:v>
                </c:pt>
                <c:pt idx="1208">
                  <c:v>1.5406035448327202</c:v>
                </c:pt>
                <c:pt idx="1209">
                  <c:v>1.541134350366292</c:v>
                </c:pt>
                <c:pt idx="1210">
                  <c:v>1.5426778843484499</c:v>
                </c:pt>
                <c:pt idx="1211">
                  <c:v>1.5427166919234878</c:v>
                </c:pt>
                <c:pt idx="1212">
                  <c:v>1.5428857287647588</c:v>
                </c:pt>
                <c:pt idx="1213">
                  <c:v>1.5431846217225029</c:v>
                </c:pt>
                <c:pt idx="1214">
                  <c:v>1.543314477838976</c:v>
                </c:pt>
                <c:pt idx="1215">
                  <c:v>1.5433924661388119</c:v>
                </c:pt>
                <c:pt idx="1216">
                  <c:v>1.5435355690717643</c:v>
                </c:pt>
                <c:pt idx="1217">
                  <c:v>1.5436786720047166</c:v>
                </c:pt>
                <c:pt idx="1218">
                  <c:v>1.5437305398213539</c:v>
                </c:pt>
                <c:pt idx="1219">
                  <c:v>1.543821588362789</c:v>
                </c:pt>
                <c:pt idx="1220">
                  <c:v>1.5444335539691565</c:v>
                </c:pt>
                <c:pt idx="1221">
                  <c:v>1.5445768434769889</c:v>
                </c:pt>
                <c:pt idx="1222">
                  <c:v>1.5446548317768247</c:v>
                </c:pt>
                <c:pt idx="1223">
                  <c:v>1.544837302009455</c:v>
                </c:pt>
                <c:pt idx="1224">
                  <c:v>1.5449936517588867</c:v>
                </c:pt>
                <c:pt idx="1225">
                  <c:v>1.545006712000486</c:v>
                </c:pt>
                <c:pt idx="1226">
                  <c:v>1.5450458927252839</c:v>
                </c:pt>
                <c:pt idx="1227">
                  <c:v>1.5450458927252839</c:v>
                </c:pt>
                <c:pt idx="1228">
                  <c:v>1.5451501880831984</c:v>
                </c:pt>
                <c:pt idx="1229">
                  <c:v>1.5452936641659107</c:v>
                </c:pt>
                <c:pt idx="1230">
                  <c:v>1.5455022548817396</c:v>
                </c:pt>
                <c:pt idx="1231">
                  <c:v>1.5456067368145341</c:v>
                </c:pt>
                <c:pt idx="1232">
                  <c:v>1.5456981585057292</c:v>
                </c:pt>
                <c:pt idx="1233">
                  <c:v>1.5460634721207498</c:v>
                </c:pt>
                <c:pt idx="1234">
                  <c:v>1.5462593757447394</c:v>
                </c:pt>
                <c:pt idx="1235">
                  <c:v>1.5465077069100062</c:v>
                </c:pt>
                <c:pt idx="1236">
                  <c:v>1.5468737668245467</c:v>
                </c:pt>
                <c:pt idx="1237">
                  <c:v>1.5469261943658239</c:v>
                </c:pt>
                <c:pt idx="1238">
                  <c:v>1.5470306762986183</c:v>
                </c:pt>
                <c:pt idx="1239">
                  <c:v>1.5473971093629189</c:v>
                </c:pt>
                <c:pt idx="1240">
                  <c:v>1.5474625971457954</c:v>
                </c:pt>
                <c:pt idx="1241">
                  <c:v>1.5475280849286719</c:v>
                </c:pt>
                <c:pt idx="1242">
                  <c:v>1.5476851809776235</c:v>
                </c:pt>
                <c:pt idx="1243">
                  <c:v>1.5479732525923282</c:v>
                </c:pt>
                <c:pt idx="1244">
                  <c:v>1.5479995596504068</c:v>
                </c:pt>
                <c:pt idx="1245">
                  <c:v>1.5479995596504068</c:v>
                </c:pt>
                <c:pt idx="1246">
                  <c:v>1.5484189799806245</c:v>
                </c:pt>
                <c:pt idx="1247">
                  <c:v>1.5486680574454113</c:v>
                </c:pt>
                <c:pt idx="1248">
                  <c:v>1.5488650805186808</c:v>
                </c:pt>
                <c:pt idx="1249">
                  <c:v>1.5489305683015573</c:v>
                </c:pt>
                <c:pt idx="1250">
                  <c:v>1.5489305683015573</c:v>
                </c:pt>
                <c:pt idx="1251">
                  <c:v>1.5494033490474521</c:v>
                </c:pt>
                <c:pt idx="1252">
                  <c:v>1.5495610048210438</c:v>
                </c:pt>
                <c:pt idx="1253">
                  <c:v>1.5496266791788003</c:v>
                </c:pt>
                <c:pt idx="1254">
                  <c:v>1.550271108814286</c:v>
                </c:pt>
                <c:pt idx="1255">
                  <c:v>1.5503104761139639</c:v>
                </c:pt>
                <c:pt idx="1256">
                  <c:v>1.5503104761139639</c:v>
                </c:pt>
                <c:pt idx="1257">
                  <c:v>1.5503763370466004</c:v>
                </c:pt>
                <c:pt idx="1258">
                  <c:v>1.550402644104679</c:v>
                </c:pt>
                <c:pt idx="1259">
                  <c:v>1.5504552582208362</c:v>
                </c:pt>
                <c:pt idx="1260">
                  <c:v>1.5505474262115513</c:v>
                </c:pt>
                <c:pt idx="1261">
                  <c:v>1.5506922083184236</c:v>
                </c:pt>
                <c:pt idx="1262">
                  <c:v>1.5510478200396847</c:v>
                </c:pt>
                <c:pt idx="1263">
                  <c:v>1.5512323425959949</c:v>
                </c:pt>
                <c:pt idx="1264">
                  <c:v>1.5513774978526271</c:v>
                </c:pt>
                <c:pt idx="1265">
                  <c:v>1.5514829126598215</c:v>
                </c:pt>
                <c:pt idx="1266">
                  <c:v>1.5515224665343794</c:v>
                </c:pt>
                <c:pt idx="1267">
                  <c:v>1.5515357133508587</c:v>
                </c:pt>
                <c:pt idx="1268">
                  <c:v>1.5516543749745324</c:v>
                </c:pt>
                <c:pt idx="1269">
                  <c:v>1.5516543749745324</c:v>
                </c:pt>
                <c:pt idx="1270">
                  <c:v>1.5521163343773878</c:v>
                </c:pt>
                <c:pt idx="1271">
                  <c:v>1.5524465719149703</c:v>
                </c:pt>
                <c:pt idx="1272">
                  <c:v>1.5525654201135239</c:v>
                </c:pt>
                <c:pt idx="1273">
                  <c:v>1.5531074201398951</c:v>
                </c:pt>
                <c:pt idx="1274">
                  <c:v>1.5533059358122046</c:v>
                </c:pt>
                <c:pt idx="1275">
                  <c:v>1.5533854167110803</c:v>
                </c:pt>
                <c:pt idx="1276">
                  <c:v>1.5536236728328277</c:v>
                </c:pt>
                <c:pt idx="1277">
                  <c:v>1.5536899069152241</c:v>
                </c:pt>
                <c:pt idx="1278">
                  <c:v>1.5539680900612893</c:v>
                </c:pt>
                <c:pt idx="1279">
                  <c:v>1.5543791145219075</c:v>
                </c:pt>
                <c:pt idx="1280">
                  <c:v>1.5543923613383868</c:v>
                </c:pt>
                <c:pt idx="1281">
                  <c:v>1.5545117692615804</c:v>
                </c:pt>
                <c:pt idx="1282">
                  <c:v>1.5545914367353362</c:v>
                </c:pt>
                <c:pt idx="1283">
                  <c:v>1.5546444240012534</c:v>
                </c:pt>
                <c:pt idx="1284">
                  <c:v>1.5548434993982028</c:v>
                </c:pt>
                <c:pt idx="1285">
                  <c:v>1.5548832398476407</c:v>
                </c:pt>
                <c:pt idx="1286">
                  <c:v>1.5550425747951522</c:v>
                </c:pt>
                <c:pt idx="1287">
                  <c:v>1.5550560081865115</c:v>
                </c:pt>
                <c:pt idx="1288">
                  <c:v>1.5550692550029908</c:v>
                </c:pt>
                <c:pt idx="1289">
                  <c:v>1.5553216908156173</c:v>
                </c:pt>
                <c:pt idx="1290">
                  <c:v>1.5554013582893731</c:v>
                </c:pt>
                <c:pt idx="1291">
                  <c:v>1.5556140536525618</c:v>
                </c:pt>
                <c:pt idx="1292">
                  <c:v>1.5562926264910857</c:v>
                </c:pt>
                <c:pt idx="1293">
                  <c:v>1.5564258409553986</c:v>
                </c:pt>
                <c:pt idx="1294">
                  <c:v>1.5566790230675451</c:v>
                </c:pt>
                <c:pt idx="1295">
                  <c:v>1.5567989907153787</c:v>
                </c:pt>
                <c:pt idx="1296">
                  <c:v>1.5568922781553738</c:v>
                </c:pt>
                <c:pt idx="1297">
                  <c:v>1.5577061177818905</c:v>
                </c:pt>
                <c:pt idx="1298">
                  <c:v>1.5577061177818905</c:v>
                </c:pt>
                <c:pt idx="1299">
                  <c:v>1.557866572178682</c:v>
                </c:pt>
                <c:pt idx="1300">
                  <c:v>1.5578932523865205</c:v>
                </c:pt>
                <c:pt idx="1301">
                  <c:v>1.5582540882044214</c:v>
                </c:pt>
                <c:pt idx="1302">
                  <c:v>1.55865541077128</c:v>
                </c:pt>
                <c:pt idx="1303">
                  <c:v>1.5586688441626393</c:v>
                </c:pt>
                <c:pt idx="1304">
                  <c:v>1.5591507670776537</c:v>
                </c:pt>
                <c:pt idx="1305">
                  <c:v>1.5597405302733023</c:v>
                </c:pt>
                <c:pt idx="1306">
                  <c:v>1.559821130621458</c:v>
                </c:pt>
                <c:pt idx="1307">
                  <c:v>1.5601162920816023</c:v>
                </c:pt>
                <c:pt idx="1308">
                  <c:v>1.5602103258211173</c:v>
                </c:pt>
                <c:pt idx="1309">
                  <c:v>1.5611917096898651</c:v>
                </c:pt>
                <c:pt idx="1310">
                  <c:v>1.5612320098639429</c:v>
                </c:pt>
                <c:pt idx="1311">
                  <c:v>1.56147455720793</c:v>
                </c:pt>
                <c:pt idx="1312">
                  <c:v>1.5615956443050436</c:v>
                </c:pt>
                <c:pt idx="1313">
                  <c:v>1.56166299783672</c:v>
                </c:pt>
                <c:pt idx="1314">
                  <c:v>1.5617977049000729</c:v>
                </c:pt>
                <c:pt idx="1315">
                  <c:v>1.5619325985383057</c:v>
                </c:pt>
                <c:pt idx="1316">
                  <c:v>1.5620538722102992</c:v>
                </c:pt>
                <c:pt idx="1317">
                  <c:v>1.5621887658485321</c:v>
                </c:pt>
                <c:pt idx="1318">
                  <c:v>1.562472173091237</c:v>
                </c:pt>
                <c:pt idx="1319">
                  <c:v>1.5628637937643362</c:v>
                </c:pt>
                <c:pt idx="1320">
                  <c:v>1.5630123073688083</c:v>
                </c:pt>
                <c:pt idx="1321">
                  <c:v>1.5631070874078432</c:v>
                </c:pt>
                <c:pt idx="1322">
                  <c:v>1.563431541124146</c:v>
                </c:pt>
                <c:pt idx="1323">
                  <c:v>1.5636209146273359</c:v>
                </c:pt>
                <c:pt idx="1324">
                  <c:v>1.56391887471068</c:v>
                </c:pt>
                <c:pt idx="1325">
                  <c:v>1.5639459280682786</c:v>
                </c:pt>
                <c:pt idx="1326">
                  <c:v>1.5641086213636299</c:v>
                </c:pt>
                <c:pt idx="1327">
                  <c:v>1.5641761614701863</c:v>
                </c:pt>
                <c:pt idx="1328">
                  <c:v>1.5643931480556148</c:v>
                </c:pt>
                <c:pt idx="1329">
                  <c:v>1.5648000678688732</c:v>
                </c:pt>
                <c:pt idx="1330">
                  <c:v>1.564840741192711</c:v>
                </c:pt>
                <c:pt idx="1331">
                  <c:v>1.5649222744152667</c:v>
                </c:pt>
                <c:pt idx="1332">
                  <c:v>1.5649631343139845</c:v>
                </c:pt>
                <c:pt idx="1333">
                  <c:v>1.5651123942179765</c:v>
                </c:pt>
                <c:pt idx="1334">
                  <c:v>1.5653840472432421</c:v>
                </c:pt>
                <c:pt idx="1335">
                  <c:v>1.5654112871757206</c:v>
                </c:pt>
                <c:pt idx="1336">
                  <c:v>1.5654385271081992</c:v>
                </c:pt>
                <c:pt idx="1337">
                  <c:v>1.5656424534520283</c:v>
                </c:pt>
                <c:pt idx="1338">
                  <c:v>1.5656833133507462</c:v>
                </c:pt>
                <c:pt idx="1339">
                  <c:v>1.5657512266070626</c:v>
                </c:pt>
                <c:pt idx="1340">
                  <c:v>1.5668682504135631</c:v>
                </c:pt>
                <c:pt idx="1341">
                  <c:v>1.5668956769209217</c:v>
                </c:pt>
                <c:pt idx="1342">
                  <c:v>1.567359688647457</c:v>
                </c:pt>
                <c:pt idx="1343">
                  <c:v>1.5674688349522512</c:v>
                </c:pt>
                <c:pt idx="1344">
                  <c:v>1.5675371213583276</c:v>
                </c:pt>
                <c:pt idx="1345">
                  <c:v>1.5679199730120672</c:v>
                </c:pt>
                <c:pt idx="1346">
                  <c:v>1.568262151341969</c:v>
                </c:pt>
                <c:pt idx="1347">
                  <c:v>1.5684673837099581</c:v>
                </c:pt>
                <c:pt idx="1348">
                  <c:v>1.5686043296718708</c:v>
                </c:pt>
                <c:pt idx="1349">
                  <c:v>1.5686867957688264</c:v>
                </c:pt>
                <c:pt idx="1350">
                  <c:v>1.5688375482718584</c:v>
                </c:pt>
                <c:pt idx="1351">
                  <c:v>1.5691390532779224</c:v>
                </c:pt>
                <c:pt idx="1352">
                  <c:v>1.5692351393411172</c:v>
                </c:pt>
                <c:pt idx="1353">
                  <c:v>1.5696883297246131</c:v>
                </c:pt>
                <c:pt idx="1354">
                  <c:v>1.5699219214743607</c:v>
                </c:pt>
                <c:pt idx="1355">
                  <c:v>1.5699905810301971</c:v>
                </c:pt>
                <c:pt idx="1356">
                  <c:v>1.5703346251088988</c:v>
                </c:pt>
                <c:pt idx="1357">
                  <c:v>1.5705271703850485</c:v>
                </c:pt>
                <c:pt idx="1358">
                  <c:v>1.5707477018931968</c:v>
                </c:pt>
                <c:pt idx="1359">
                  <c:v>1.5709406203191065</c:v>
                </c:pt>
                <c:pt idx="1360">
                  <c:v>1.5710232729909421</c:v>
                </c:pt>
                <c:pt idx="1361">
                  <c:v>1.5712854106973282</c:v>
                </c:pt>
                <c:pt idx="1362">
                  <c:v>1.5713956764514023</c:v>
                </c:pt>
                <c:pt idx="1363">
                  <c:v>1.571741026554264</c:v>
                </c:pt>
                <c:pt idx="1364">
                  <c:v>1.5718514788832181</c:v>
                </c:pt>
                <c:pt idx="1365">
                  <c:v>1.5718514788832181</c:v>
                </c:pt>
                <c:pt idx="1366">
                  <c:v>1.5725429253884613</c:v>
                </c:pt>
                <c:pt idx="1367">
                  <c:v>1.5728198025103666</c:v>
                </c:pt>
                <c:pt idx="1368">
                  <c:v>1.5729862273033177</c:v>
                </c:pt>
                <c:pt idx="1369">
                  <c:v>1.5729862273033177</c:v>
                </c:pt>
                <c:pt idx="1370">
                  <c:v>1.573582520619766</c:v>
                </c:pt>
                <c:pt idx="1371">
                  <c:v>1.5736103202768845</c:v>
                </c:pt>
                <c:pt idx="1372">
                  <c:v>1.5736659195911216</c:v>
                </c:pt>
                <c:pt idx="1373">
                  <c:v>1.5739853357856646</c:v>
                </c:pt>
                <c:pt idx="1374">
                  <c:v>1.5745556951937942</c:v>
                </c:pt>
                <c:pt idx="1375">
                  <c:v>1.5746530872811491</c:v>
                </c:pt>
                <c:pt idx="1376">
                  <c:v>1.5748480580307387</c:v>
                </c:pt>
                <c:pt idx="1377">
                  <c:v>1.5748758576878572</c:v>
                </c:pt>
                <c:pt idx="1378">
                  <c:v>1.5750570218963276</c:v>
                </c:pt>
                <c:pt idx="1379">
                  <c:v>1.5758105978366075</c:v>
                </c:pt>
                <c:pt idx="1380">
                  <c:v>1.5759781420788386</c:v>
                </c:pt>
                <c:pt idx="1381">
                  <c:v>1.5760061283108371</c:v>
                </c:pt>
                <c:pt idx="1382">
                  <c:v>1.576495700795931</c:v>
                </c:pt>
                <c:pt idx="1383">
                  <c:v>1.5767617565747969</c:v>
                </c:pt>
                <c:pt idx="1384">
                  <c:v>1.5768035493479147</c:v>
                </c:pt>
                <c:pt idx="1385">
                  <c:v>1.5769998261216642</c:v>
                </c:pt>
                <c:pt idx="1386">
                  <c:v>1.577041805469662</c:v>
                </c:pt>
                <c:pt idx="1387">
                  <c:v>1.5770557985856613</c:v>
                </c:pt>
                <c:pt idx="1388">
                  <c:v>1.577210096011413</c:v>
                </c:pt>
                <c:pt idx="1389">
                  <c:v>1.5773222275142871</c:v>
                </c:pt>
                <c:pt idx="1390">
                  <c:v>1.5773783865531641</c:v>
                </c:pt>
                <c:pt idx="1391">
                  <c:v>1.5773923796691633</c:v>
                </c:pt>
                <c:pt idx="1392">
                  <c:v>1.5777854929413024</c:v>
                </c:pt>
                <c:pt idx="1393">
                  <c:v>1.5779681497488127</c:v>
                </c:pt>
                <c:pt idx="1394">
                  <c:v>1.5780524815945682</c:v>
                </c:pt>
                <c:pt idx="1395">
                  <c:v>1.5792777188314631</c:v>
                </c:pt>
                <c:pt idx="1396">
                  <c:v>1.5796023591226458</c:v>
                </c:pt>
                <c:pt idx="1397">
                  <c:v>1.5798850200658308</c:v>
                </c:pt>
                <c:pt idx="1398">
                  <c:v>1.580125328511258</c:v>
                </c:pt>
                <c:pt idx="1399">
                  <c:v>1.5803658235315652</c:v>
                </c:pt>
                <c:pt idx="1400">
                  <c:v>1.5803658235315652</c:v>
                </c:pt>
                <c:pt idx="1401">
                  <c:v>1.5808048342241818</c:v>
                </c:pt>
                <c:pt idx="1402">
                  <c:v>1.5811309671144045</c:v>
                </c:pt>
                <c:pt idx="1403">
                  <c:v>1.5814149340817494</c:v>
                </c:pt>
                <c:pt idx="1404">
                  <c:v>1.5815709106814211</c:v>
                </c:pt>
                <c:pt idx="1405">
                  <c:v>1.5817699860783705</c:v>
                </c:pt>
                <c:pt idx="1406">
                  <c:v>1.5822821341239433</c:v>
                </c:pt>
                <c:pt idx="1407">
                  <c:v>1.582324673196581</c:v>
                </c:pt>
                <c:pt idx="1408">
                  <c:v>1.582381765109858</c:v>
                </c:pt>
                <c:pt idx="1409">
                  <c:v>1.5828661134983122</c:v>
                </c:pt>
                <c:pt idx="1410">
                  <c:v>1.5829802973248661</c:v>
                </c:pt>
                <c:pt idx="1411">
                  <c:v>1.583508677384998</c:v>
                </c:pt>
                <c:pt idx="1412">
                  <c:v>1.5836945059654681</c:v>
                </c:pt>
                <c:pt idx="1413">
                  <c:v>1.5838803345459382</c:v>
                </c:pt>
                <c:pt idx="1414">
                  <c:v>1.5838803345459382</c:v>
                </c:pt>
                <c:pt idx="1415">
                  <c:v>1.5839948915222521</c:v>
                </c:pt>
                <c:pt idx="1416">
                  <c:v>1.5850412034492365</c:v>
                </c:pt>
                <c:pt idx="1417">
                  <c:v>1.5858175415248752</c:v>
                </c:pt>
                <c:pt idx="1418">
                  <c:v>1.5867256014657869</c:v>
                </c:pt>
                <c:pt idx="1419">
                  <c:v>1.5867547071470653</c:v>
                </c:pt>
                <c:pt idx="1420">
                  <c:v>1.5868700104228992</c:v>
                </c:pt>
                <c:pt idx="1421">
                  <c:v>1.5880275209783576</c:v>
                </c:pt>
                <c:pt idx="1422">
                  <c:v>1.5880857323409145</c:v>
                </c:pt>
                <c:pt idx="1423">
                  <c:v>1.5885935891642475</c:v>
                </c:pt>
                <c:pt idx="1424">
                  <c:v>1.5890150618181451</c:v>
                </c:pt>
                <c:pt idx="1425">
                  <c:v>1.5896992319030687</c:v>
                </c:pt>
                <c:pt idx="1426">
                  <c:v>1.5897578164153856</c:v>
                </c:pt>
                <c:pt idx="1427">
                  <c:v>1.5902830247025577</c:v>
                </c:pt>
                <c:pt idx="1428">
                  <c:v>1.590370528321273</c:v>
                </c:pt>
                <c:pt idx="1429">
                  <c:v>1.5904876973459068</c:v>
                </c:pt>
                <c:pt idx="1430">
                  <c:v>1.590502250186546</c:v>
                </c:pt>
                <c:pt idx="1431">
                  <c:v>1.5909556271449219</c:v>
                </c:pt>
                <c:pt idx="1432">
                  <c:v>1.5909849194010803</c:v>
                </c:pt>
                <c:pt idx="1433">
                  <c:v>1.5916884932735229</c:v>
                </c:pt>
                <c:pt idx="1434">
                  <c:v>1.5920261938063049</c:v>
                </c:pt>
                <c:pt idx="1435">
                  <c:v>1.5920261938063049</c:v>
                </c:pt>
                <c:pt idx="1436">
                  <c:v>1.5920849648935018</c:v>
                </c:pt>
                <c:pt idx="1437">
                  <c:v>1.5921582888213379</c:v>
                </c:pt>
                <c:pt idx="1438">
                  <c:v>1.5922760175706117</c:v>
                </c:pt>
                <c:pt idx="1439">
                  <c:v>1.5924377779915631</c:v>
                </c:pt>
                <c:pt idx="1440">
                  <c:v>1.5927616719832258</c:v>
                </c:pt>
                <c:pt idx="1441">
                  <c:v>1.5927911508142643</c:v>
                </c:pt>
                <c:pt idx="1442">
                  <c:v>1.5933072169323168</c:v>
                </c:pt>
                <c:pt idx="1443">
                  <c:v>1.5936173043828603</c:v>
                </c:pt>
                <c:pt idx="1444">
                  <c:v>1.5937798111033317</c:v>
                </c:pt>
                <c:pt idx="1445">
                  <c:v>1.5941792679213904</c:v>
                </c:pt>
                <c:pt idx="1446">
                  <c:v>1.5942087467524289</c:v>
                </c:pt>
                <c:pt idx="1447">
                  <c:v>1.5945345064928915</c:v>
                </c:pt>
                <c:pt idx="1448">
                  <c:v>1.594638242126166</c:v>
                </c:pt>
                <c:pt idx="1449">
                  <c:v>1.5946680941069644</c:v>
                </c:pt>
                <c:pt idx="1450">
                  <c:v>1.5952169974038952</c:v>
                </c:pt>
                <c:pt idx="1451">
                  <c:v>1.595558989158917</c:v>
                </c:pt>
                <c:pt idx="1452">
                  <c:v>1.595558989158917</c:v>
                </c:pt>
                <c:pt idx="1453">
                  <c:v>1.5956483585264323</c:v>
                </c:pt>
                <c:pt idx="1454">
                  <c:v>1.5965424253513447</c:v>
                </c:pt>
                <c:pt idx="1455">
                  <c:v>1.5966469072841392</c:v>
                </c:pt>
                <c:pt idx="1456">
                  <c:v>1.5970652081650769</c:v>
                </c:pt>
                <c:pt idx="1457">
                  <c:v>1.5973794002629802</c:v>
                </c:pt>
                <c:pt idx="1458">
                  <c:v>1.5980689810194235</c:v>
                </c:pt>
                <c:pt idx="1459">
                  <c:v>1.5980839070098227</c:v>
                </c:pt>
                <c:pt idx="1460">
                  <c:v>1.5980990195751019</c:v>
                </c:pt>
                <c:pt idx="1461">
                  <c:v>1.5984596688181227</c:v>
                </c:pt>
                <c:pt idx="1462">
                  <c:v>1.5987302023941083</c:v>
                </c:pt>
                <c:pt idx="1463">
                  <c:v>1.5987302023941083</c:v>
                </c:pt>
                <c:pt idx="1464">
                  <c:v>1.5989257328683379</c:v>
                </c:pt>
                <c:pt idx="1465">
                  <c:v>1.5993779903774339</c:v>
                </c:pt>
                <c:pt idx="1466">
                  <c:v>1.5993929163678331</c:v>
                </c:pt>
                <c:pt idx="1467">
                  <c:v>1.5998761453070074</c:v>
                </c:pt>
                <c:pt idx="1468">
                  <c:v>1.6001783966125913</c:v>
                </c:pt>
                <c:pt idx="1469">
                  <c:v>1.6002843711444257</c:v>
                </c:pt>
                <c:pt idx="1470">
                  <c:v>1.6003599339708217</c:v>
                </c:pt>
                <c:pt idx="1471">
                  <c:v>1.6003599339708217</c:v>
                </c:pt>
                <c:pt idx="1472">
                  <c:v>1.6005112461984936</c:v>
                </c:pt>
                <c:pt idx="1473">
                  <c:v>1.6011026885680621</c:v>
                </c:pt>
                <c:pt idx="1474">
                  <c:v>1.6014215450379652</c:v>
                </c:pt>
                <c:pt idx="1475">
                  <c:v>1.6014519567434036</c:v>
                </c:pt>
                <c:pt idx="1476">
                  <c:v>1.6014974810141211</c:v>
                </c:pt>
                <c:pt idx="1477">
                  <c:v>1.6018168972086642</c:v>
                </c:pt>
                <c:pt idx="1478">
                  <c:v>1.6019997405910544</c:v>
                </c:pt>
                <c:pt idx="1479">
                  <c:v>1.6021366865529671</c:v>
                </c:pt>
                <c:pt idx="1480">
                  <c:v>1.6023807264959942</c:v>
                </c:pt>
                <c:pt idx="1481">
                  <c:v>1.6028232821113306</c:v>
                </c:pt>
                <c:pt idx="1482">
                  <c:v>1.6036035382594491</c:v>
                </c:pt>
                <c:pt idx="1483">
                  <c:v>1.603680220535125</c:v>
                </c:pt>
                <c:pt idx="1484">
                  <c:v>1.6036955196752842</c:v>
                </c:pt>
                <c:pt idx="1485">
                  <c:v>1.6037722019509602</c:v>
                </c:pt>
                <c:pt idx="1486">
                  <c:v>1.6038180993714377</c:v>
                </c:pt>
                <c:pt idx="1487">
                  <c:v>1.6038949682219936</c:v>
                </c:pt>
                <c:pt idx="1488">
                  <c:v>1.6042938653154124</c:v>
                </c:pt>
                <c:pt idx="1489">
                  <c:v>1.6048476195592229</c:v>
                </c:pt>
                <c:pt idx="1490">
                  <c:v>1.6048938901294605</c:v>
                </c:pt>
                <c:pt idx="1491">
                  <c:v>1.6050480009803323</c:v>
                </c:pt>
                <c:pt idx="1492">
                  <c:v>1.6053254378268775</c:v>
                </c:pt>
                <c:pt idx="1493">
                  <c:v>1.6053409235419167</c:v>
                </c:pt>
                <c:pt idx="1494">
                  <c:v>1.6053717083971151</c:v>
                </c:pt>
                <c:pt idx="1495">
                  <c:v>1.6054644361124701</c:v>
                </c:pt>
                <c:pt idx="1496">
                  <c:v>1.6056650041084595</c:v>
                </c:pt>
                <c:pt idx="1497">
                  <c:v>1.6058040023940521</c:v>
                </c:pt>
                <c:pt idx="1498">
                  <c:v>1.6059894578247622</c:v>
                </c:pt>
                <c:pt idx="1499">
                  <c:v>1.6062062578353107</c:v>
                </c:pt>
                <c:pt idx="1500">
                  <c:v>1.6062834998356266</c:v>
                </c:pt>
                <c:pt idx="1501">
                  <c:v>1.6066245587162484</c:v>
                </c:pt>
                <c:pt idx="1502">
                  <c:v>1.607121221046782</c:v>
                </c:pt>
                <c:pt idx="1503">
                  <c:v>1.6071521924768604</c:v>
                </c:pt>
                <c:pt idx="1504">
                  <c:v>1.6073542530718896</c:v>
                </c:pt>
                <c:pt idx="1505">
                  <c:v>1.6078990517214606</c:v>
                </c:pt>
                <c:pt idx="1506">
                  <c:v>1.6080861863260907</c:v>
                </c:pt>
                <c:pt idx="1507">
                  <c:v>1.6083514958054366</c:v>
                </c:pt>
                <c:pt idx="1508">
                  <c:v>1.6085544892748658</c:v>
                </c:pt>
                <c:pt idx="1509">
                  <c:v>1.6088828610636483</c:v>
                </c:pt>
                <c:pt idx="1510">
                  <c:v>1.6090548831029992</c:v>
                </c:pt>
                <c:pt idx="1511">
                  <c:v>1.609321312031625</c:v>
                </c:pt>
                <c:pt idx="1512">
                  <c:v>1.6095563963804125</c:v>
                </c:pt>
                <c:pt idx="1513">
                  <c:v>1.6097291647192833</c:v>
                </c:pt>
                <c:pt idx="1514">
                  <c:v>1.6097448370092025</c:v>
                </c:pt>
                <c:pt idx="1515">
                  <c:v>1.6100903736869441</c:v>
                </c:pt>
                <c:pt idx="1516">
                  <c:v>1.6103420632000507</c:v>
                </c:pt>
                <c:pt idx="1517">
                  <c:v>1.6108461885257839</c:v>
                </c:pt>
                <c:pt idx="1518">
                  <c:v>1.610862047390583</c:v>
                </c:pt>
                <c:pt idx="1519">
                  <c:v>1.6111460143579279</c:v>
                </c:pt>
                <c:pt idx="1520">
                  <c:v>1.611351433300797</c:v>
                </c:pt>
                <c:pt idx="1521">
                  <c:v>1.6118893286798084</c:v>
                </c:pt>
                <c:pt idx="1522">
                  <c:v>1.6119844818686033</c:v>
                </c:pt>
                <c:pt idx="1523">
                  <c:v>1.6122380371305098</c:v>
                </c:pt>
                <c:pt idx="1524">
                  <c:v>1.6124124846433006</c:v>
                </c:pt>
                <c:pt idx="1525">
                  <c:v>1.6125080109818555</c:v>
                </c:pt>
                <c:pt idx="1526">
                  <c:v>1.61317576247734</c:v>
                </c:pt>
                <c:pt idx="1527">
                  <c:v>1.6142931594336005</c:v>
                </c:pt>
                <c:pt idx="1528">
                  <c:v>1.6145651856086261</c:v>
                </c:pt>
                <c:pt idx="1529">
                  <c:v>1.6152551395148294</c:v>
                </c:pt>
                <c:pt idx="1530">
                  <c:v>1.6153353667132251</c:v>
                </c:pt>
                <c:pt idx="1531">
                  <c:v>1.6153353667132251</c:v>
                </c:pt>
                <c:pt idx="1532">
                  <c:v>1.6161887602142997</c:v>
                </c:pt>
                <c:pt idx="1533">
                  <c:v>1.6162048056539788</c:v>
                </c:pt>
                <c:pt idx="1534">
                  <c:v>1.6164954893170034</c:v>
                </c:pt>
                <c:pt idx="1535">
                  <c:v>1.6169318879613002</c:v>
                </c:pt>
                <c:pt idx="1536">
                  <c:v>1.6169966294446567</c:v>
                </c:pt>
                <c:pt idx="1537">
                  <c:v>1.6173205234363195</c:v>
                </c:pt>
                <c:pt idx="1538">
                  <c:v>1.6175962811089448</c:v>
                </c:pt>
                <c:pt idx="1539">
                  <c:v>1.6177100917857388</c:v>
                </c:pt>
                <c:pt idx="1540">
                  <c:v>1.6178724119313301</c:v>
                </c:pt>
                <c:pt idx="1541">
                  <c:v>1.6180186866372424</c:v>
                </c:pt>
                <c:pt idx="1542">
                  <c:v>1.6181976119471528</c:v>
                </c:pt>
                <c:pt idx="1543">
                  <c:v>1.6186049049101712</c:v>
                </c:pt>
                <c:pt idx="1544">
                  <c:v>1.6187515527658434</c:v>
                </c:pt>
                <c:pt idx="1545">
                  <c:v>1.6188168539738399</c:v>
                </c:pt>
                <c:pt idx="1546">
                  <c:v>1.6188657365923973</c:v>
                </c:pt>
                <c:pt idx="1547">
                  <c:v>1.6191269414243834</c:v>
                </c:pt>
                <c:pt idx="1548">
                  <c:v>1.619830701871706</c:v>
                </c:pt>
                <c:pt idx="1549">
                  <c:v>1.6198799576400233</c:v>
                </c:pt>
                <c:pt idx="1550">
                  <c:v>1.6202572120473633</c:v>
                </c:pt>
                <c:pt idx="1551">
                  <c:v>1.6203228864051198</c:v>
                </c:pt>
                <c:pt idx="1552">
                  <c:v>1.6206516313436623</c:v>
                </c:pt>
                <c:pt idx="1553">
                  <c:v>1.6209973545962839</c:v>
                </c:pt>
                <c:pt idx="1554">
                  <c:v>1.621013959760603</c:v>
                </c:pt>
                <c:pt idx="1555">
                  <c:v>1.6212941952303481</c:v>
                </c:pt>
                <c:pt idx="1556">
                  <c:v>1.6213434509986655</c:v>
                </c:pt>
                <c:pt idx="1557">
                  <c:v>1.6215748038498532</c:v>
                </c:pt>
                <c:pt idx="1558">
                  <c:v>1.621690480275447</c:v>
                </c:pt>
                <c:pt idx="1559">
                  <c:v>1.6217565277829635</c:v>
                </c:pt>
                <c:pt idx="1560">
                  <c:v>1.6221867694562206</c:v>
                </c:pt>
                <c:pt idx="1561">
                  <c:v>1.6227838090721889</c:v>
                </c:pt>
                <c:pt idx="1562">
                  <c:v>1.623232708233445</c:v>
                </c:pt>
                <c:pt idx="1563">
                  <c:v>1.6232494999726441</c:v>
                </c:pt>
                <c:pt idx="1564">
                  <c:v>1.6234491350942335</c:v>
                </c:pt>
                <c:pt idx="1565">
                  <c:v>1.6241667020826753</c:v>
                </c:pt>
                <c:pt idx="1566">
                  <c:v>1.6242170773002726</c:v>
                </c:pt>
                <c:pt idx="1567">
                  <c:v>1.624417645296262</c:v>
                </c:pt>
                <c:pt idx="1568">
                  <c:v>1.6254240301989284</c:v>
                </c:pt>
                <c:pt idx="1569">
                  <c:v>1.6254408219381276</c:v>
                </c:pt>
                <c:pt idx="1570">
                  <c:v>1.6256089259049986</c:v>
                </c:pt>
                <c:pt idx="1571">
                  <c:v>1.6257100494899532</c:v>
                </c:pt>
                <c:pt idx="1572">
                  <c:v>1.6259794636166589</c:v>
                </c:pt>
                <c:pt idx="1573">
                  <c:v>1.6260470037232153</c:v>
                </c:pt>
                <c:pt idx="1574">
                  <c:v>1.6260637954624144</c:v>
                </c:pt>
                <c:pt idx="1575">
                  <c:v>1.6261313355689708</c:v>
                </c:pt>
                <c:pt idx="1576">
                  <c:v>1.6262664157820836</c:v>
                </c:pt>
                <c:pt idx="1577">
                  <c:v>1.6266716564214221</c:v>
                </c:pt>
                <c:pt idx="1578">
                  <c:v>1.6268746498908513</c:v>
                </c:pt>
                <c:pt idx="1579">
                  <c:v>1.6269765197753259</c:v>
                </c:pt>
                <c:pt idx="1580">
                  <c:v>1.6272645913900305</c:v>
                </c:pt>
                <c:pt idx="1581">
                  <c:v>1.6274172096418624</c:v>
                </c:pt>
                <c:pt idx="1582">
                  <c:v>1.6274172096418624</c:v>
                </c:pt>
                <c:pt idx="1583">
                  <c:v>1.6276549060389698</c:v>
                </c:pt>
                <c:pt idx="1584">
                  <c:v>1.6279439105280744</c:v>
                </c:pt>
                <c:pt idx="1585">
                  <c:v>1.6279780537311126</c:v>
                </c:pt>
                <c:pt idx="1586">
                  <c:v>1.6281993315387808</c:v>
                </c:pt>
                <c:pt idx="1587">
                  <c:v>1.6284377742354081</c:v>
                </c:pt>
                <c:pt idx="1588">
                  <c:v>1.6289157790779427</c:v>
                </c:pt>
                <c:pt idx="1589">
                  <c:v>1.6293949033697572</c:v>
                </c:pt>
                <c:pt idx="1590">
                  <c:v>1.6299609715556471</c:v>
                </c:pt>
                <c:pt idx="1591">
                  <c:v>1.6301844882618752</c:v>
                </c:pt>
                <c:pt idx="1592">
                  <c:v>1.6307009275296878</c:v>
                </c:pt>
                <c:pt idx="1593">
                  <c:v>1.6308046631629622</c:v>
                </c:pt>
                <c:pt idx="1594">
                  <c:v>1.6313054301408556</c:v>
                </c:pt>
                <c:pt idx="1595">
                  <c:v>1.6314091657741301</c:v>
                </c:pt>
                <c:pt idx="1596">
                  <c:v>1.6315823072627609</c:v>
                </c:pt>
                <c:pt idx="1597">
                  <c:v>1.6320155341340978</c:v>
                </c:pt>
                <c:pt idx="1598">
                  <c:v>1.6323106955942421</c:v>
                </c:pt>
                <c:pt idx="1599">
                  <c:v>1.6323976394883175</c:v>
                </c:pt>
                <c:pt idx="1600">
                  <c:v>1.6327629531033381</c:v>
                </c:pt>
                <c:pt idx="1601">
                  <c:v>1.6339506887893549</c:v>
                </c:pt>
                <c:pt idx="1602">
                  <c:v>1.6342133862203809</c:v>
                </c:pt>
                <c:pt idx="1603">
                  <c:v>1.6349339384069026</c:v>
                </c:pt>
                <c:pt idx="1604">
                  <c:v>1.635057077827696</c:v>
                </c:pt>
                <c:pt idx="1605">
                  <c:v>1.6351630523595304</c:v>
                </c:pt>
                <c:pt idx="1606">
                  <c:v>1.6354802296555135</c:v>
                </c:pt>
                <c:pt idx="1607">
                  <c:v>1.6356921787191823</c:v>
                </c:pt>
                <c:pt idx="1608">
                  <c:v>1.6358865897441319</c:v>
                </c:pt>
                <c:pt idx="1609">
                  <c:v>1.635904500932611</c:v>
                </c:pt>
                <c:pt idx="1610">
                  <c:v>1.637182165710783</c:v>
                </c:pt>
                <c:pt idx="1611">
                  <c:v>1.6374672521274078</c:v>
                </c:pt>
                <c:pt idx="1612">
                  <c:v>1.6376635289011574</c:v>
                </c:pt>
                <c:pt idx="1613">
                  <c:v>1.6376993512781155</c:v>
                </c:pt>
                <c:pt idx="1614">
                  <c:v>1.6380206332214584</c:v>
                </c:pt>
                <c:pt idx="1615">
                  <c:v>1.6382713898601651</c:v>
                </c:pt>
                <c:pt idx="1616">
                  <c:v>1.6385758800643089</c:v>
                </c:pt>
                <c:pt idx="1617">
                  <c:v>1.6387732762873384</c:v>
                </c:pt>
                <c:pt idx="1618">
                  <c:v>1.6391684418831574</c:v>
                </c:pt>
                <c:pt idx="1619">
                  <c:v>1.6392766553135516</c:v>
                </c:pt>
                <c:pt idx="1620">
                  <c:v>1.6405946202658015</c:v>
                </c:pt>
                <c:pt idx="1621">
                  <c:v>1.6407759710491518</c:v>
                </c:pt>
                <c:pt idx="1622">
                  <c:v>1.6410118016974593</c:v>
                </c:pt>
                <c:pt idx="1623">
                  <c:v>1.6416666795262245</c:v>
                </c:pt>
                <c:pt idx="1624">
                  <c:v>1.6423424537415485</c:v>
                </c:pt>
                <c:pt idx="1625">
                  <c:v>1.6432771938902988</c:v>
                </c:pt>
                <c:pt idx="1626">
                  <c:v>1.6440324490044986</c:v>
                </c:pt>
                <c:pt idx="1627">
                  <c:v>1.6448459154812554</c:v>
                </c:pt>
                <c:pt idx="1628">
                  <c:v>1.6450869702262025</c:v>
                </c:pt>
                <c:pt idx="1629">
                  <c:v>1.6453283981209097</c:v>
                </c:pt>
                <c:pt idx="1630">
                  <c:v>1.6457564008956069</c:v>
                </c:pt>
                <c:pt idx="1631">
                  <c:v>1.6461291775058271</c:v>
                </c:pt>
                <c:pt idx="1632">
                  <c:v>1.6465403885413252</c:v>
                </c:pt>
                <c:pt idx="1633">
                  <c:v>1.6472900464091254</c:v>
                </c:pt>
                <c:pt idx="1634">
                  <c:v>1.6480613469630043</c:v>
                </c:pt>
                <c:pt idx="1635">
                  <c:v>1.6482124726157963</c:v>
                </c:pt>
                <c:pt idx="1636">
                  <c:v>1.6485147239213802</c:v>
                </c:pt>
                <c:pt idx="1637">
                  <c:v>1.6495196162250068</c:v>
                </c:pt>
                <c:pt idx="1638">
                  <c:v>1.6506256321135879</c:v>
                </c:pt>
                <c:pt idx="1639">
                  <c:v>1.6506640665388659</c:v>
                </c:pt>
                <c:pt idx="1640">
                  <c:v>1.6507789966649398</c:v>
                </c:pt>
                <c:pt idx="1641">
                  <c:v>1.6508170579404577</c:v>
                </c:pt>
                <c:pt idx="1642">
                  <c:v>1.6509894531295686</c:v>
                </c:pt>
                <c:pt idx="1643">
                  <c:v>1.6512390903189953</c:v>
                </c:pt>
                <c:pt idx="1644">
                  <c:v>1.6512771515945133</c:v>
                </c:pt>
                <c:pt idx="1645">
                  <c:v>1.6517193340600897</c:v>
                </c:pt>
                <c:pt idx="1646">
                  <c:v>1.6520275557618334</c:v>
                </c:pt>
                <c:pt idx="1647">
                  <c:v>1.6520853939746303</c:v>
                </c:pt>
                <c:pt idx="1648">
                  <c:v>1.6521626359749462</c:v>
                </c:pt>
                <c:pt idx="1649">
                  <c:v>1.6533436549652833</c:v>
                </c:pt>
                <c:pt idx="1650">
                  <c:v>1.6534798546276761</c:v>
                </c:pt>
                <c:pt idx="1651">
                  <c:v>1.6539276343396523</c:v>
                </c:pt>
                <c:pt idx="1652">
                  <c:v>1.6547481906618486</c:v>
                </c:pt>
                <c:pt idx="1653">
                  <c:v>1.6555332977568469</c:v>
                </c:pt>
                <c:pt idx="1654">
                  <c:v>1.6557299476803564</c:v>
                </c:pt>
                <c:pt idx="1655">
                  <c:v>1.6560057053529817</c:v>
                </c:pt>
                <c:pt idx="1656">
                  <c:v>1.6572729219378743</c:v>
                </c:pt>
                <c:pt idx="1657">
                  <c:v>1.6575315147215406</c:v>
                </c:pt>
                <c:pt idx="1658">
                  <c:v>1.6576706995820132</c:v>
                </c:pt>
                <c:pt idx="1659">
                  <c:v>1.6578901116408815</c:v>
                </c:pt>
                <c:pt idx="1660">
                  <c:v>1.6580296696511141</c:v>
                </c:pt>
                <c:pt idx="1661">
                  <c:v>1.6583494589954171</c:v>
                </c:pt>
                <c:pt idx="1662">
                  <c:v>1.6584893901554096</c:v>
                </c:pt>
                <c:pt idx="1663">
                  <c:v>1.6591711347668934</c:v>
                </c:pt>
                <c:pt idx="1664">
                  <c:v>1.6591912848539323</c:v>
                </c:pt>
                <c:pt idx="1665">
                  <c:v>1.6593319623134448</c:v>
                </c:pt>
                <c:pt idx="1666">
                  <c:v>1.6600375885095673</c:v>
                </c:pt>
                <c:pt idx="1667">
                  <c:v>1.6601383389447619</c:v>
                </c:pt>
                <c:pt idx="1668">
                  <c:v>1.6601588621815608</c:v>
                </c:pt>
                <c:pt idx="1669">
                  <c:v>1.6612335334903037</c:v>
                </c:pt>
                <c:pt idx="1670">
                  <c:v>1.6616813132022799</c:v>
                </c:pt>
                <c:pt idx="1671">
                  <c:v>1.6620488657158603</c:v>
                </c:pt>
                <c:pt idx="1672">
                  <c:v>1.6621309586630559</c:v>
                </c:pt>
                <c:pt idx="1673">
                  <c:v>1.662355967968324</c:v>
                </c:pt>
                <c:pt idx="1674">
                  <c:v>1.6623970144419218</c:v>
                </c:pt>
                <c:pt idx="1675">
                  <c:v>1.6625608271865531</c:v>
                </c:pt>
                <c:pt idx="1676">
                  <c:v>1.6627660595545422</c:v>
                </c:pt>
                <c:pt idx="1677">
                  <c:v>1.6630537580194868</c:v>
                </c:pt>
                <c:pt idx="1678">
                  <c:v>1.6632798867740348</c:v>
                </c:pt>
                <c:pt idx="1679">
                  <c:v>1.6633623528709904</c:v>
                </c:pt>
                <c:pt idx="1680">
                  <c:v>1.663444818967946</c:v>
                </c:pt>
                <c:pt idx="1681">
                  <c:v>1.6637955797423274</c:v>
                </c:pt>
                <c:pt idx="1682">
                  <c:v>1.6643959777061355</c:v>
                </c:pt>
                <c:pt idx="1683">
                  <c:v>1.664478816952851</c:v>
                </c:pt>
                <c:pt idx="1684">
                  <c:v>1.6645825525861255</c:v>
                </c:pt>
                <c:pt idx="1685">
                  <c:v>1.6663986724679489</c:v>
                </c:pt>
                <c:pt idx="1686">
                  <c:v>1.6666927144788133</c:v>
                </c:pt>
                <c:pt idx="1687">
                  <c:v>1.6674517010906129</c:v>
                </c:pt>
                <c:pt idx="1688">
                  <c:v>1.6675785720090062</c:v>
                </c:pt>
                <c:pt idx="1689">
                  <c:v>1.6676629038547617</c:v>
                </c:pt>
                <c:pt idx="1690">
                  <c:v>1.6680229933731425</c:v>
                </c:pt>
                <c:pt idx="1691">
                  <c:v>1.6683629328044844</c:v>
                </c:pt>
                <c:pt idx="1692">
                  <c:v>1.6684054718771222</c:v>
                </c:pt>
                <c:pt idx="1693">
                  <c:v>1.6684689073363188</c:v>
                </c:pt>
                <c:pt idx="1694">
                  <c:v>1.6687032453855863</c:v>
                </c:pt>
                <c:pt idx="1695">
                  <c:v>1.6690443042662082</c:v>
                </c:pt>
                <c:pt idx="1696">
                  <c:v>1.6691081128751648</c:v>
                </c:pt>
                <c:pt idx="1697">
                  <c:v>1.6691935641702003</c:v>
                </c:pt>
                <c:pt idx="1698">
                  <c:v>1.6698999366658427</c:v>
                </c:pt>
                <c:pt idx="1699">
                  <c:v>1.6708469907566723</c:v>
                </c:pt>
                <c:pt idx="1700">
                  <c:v>1.671886212838217</c:v>
                </c:pt>
                <c:pt idx="1701">
                  <c:v>1.6727358748416918</c:v>
                </c:pt>
                <c:pt idx="1702">
                  <c:v>1.6735463561203687</c:v>
                </c:pt>
                <c:pt idx="1703">
                  <c:v>1.673766141328997</c:v>
                </c:pt>
                <c:pt idx="1704">
                  <c:v>1.674162426374096</c:v>
                </c:pt>
                <c:pt idx="1705">
                  <c:v>1.6741844422099348</c:v>
                </c:pt>
                <c:pt idx="1706">
                  <c:v>1.6752688154124371</c:v>
                </c:pt>
                <c:pt idx="1707">
                  <c:v>1.6753800140409112</c:v>
                </c:pt>
                <c:pt idx="1708">
                  <c:v>1.67540202987675</c:v>
                </c:pt>
                <c:pt idx="1709">
                  <c:v>1.6766740974085224</c:v>
                </c:pt>
                <c:pt idx="1710">
                  <c:v>1.6768983604142704</c:v>
                </c:pt>
                <c:pt idx="1711">
                  <c:v>1.6769207493998692</c:v>
                </c:pt>
                <c:pt idx="1712">
                  <c:v>1.6771229965697785</c:v>
                </c:pt>
                <c:pt idx="1713">
                  <c:v>1.6771681476907361</c:v>
                </c:pt>
                <c:pt idx="1714">
                  <c:v>1.6772804657684901</c:v>
                </c:pt>
                <c:pt idx="1715">
                  <c:v>1.6775957773156733</c:v>
                </c:pt>
                <c:pt idx="1716">
                  <c:v>1.6776633174222297</c:v>
                </c:pt>
                <c:pt idx="1717">
                  <c:v>1.6779118351623765</c:v>
                </c:pt>
                <c:pt idx="1718">
                  <c:v>1.6782510282941985</c:v>
                </c:pt>
                <c:pt idx="1719">
                  <c:v>1.6789092644708035</c:v>
                </c:pt>
                <c:pt idx="1720">
                  <c:v>1.6793421181923804</c:v>
                </c:pt>
                <c:pt idx="1721">
                  <c:v>1.6804638063708808</c:v>
                </c:pt>
                <c:pt idx="1722">
                  <c:v>1.6807858346137436</c:v>
                </c:pt>
                <c:pt idx="1723">
                  <c:v>1.6810395764505301</c:v>
                </c:pt>
                <c:pt idx="1724">
                  <c:v>1.6810627117356489</c:v>
                </c:pt>
                <c:pt idx="1725">
                  <c:v>1.6822441038757461</c:v>
                </c:pt>
                <c:pt idx="1726">
                  <c:v>1.6823836618859787</c:v>
                </c:pt>
                <c:pt idx="1727">
                  <c:v>1.6825232198962112</c:v>
                </c:pt>
                <c:pt idx="1728">
                  <c:v>1.683693044393749</c:v>
                </c:pt>
                <c:pt idx="1729">
                  <c:v>1.6839516371774153</c:v>
                </c:pt>
                <c:pt idx="1730">
                  <c:v>1.6844468069089089</c:v>
                </c:pt>
                <c:pt idx="1731">
                  <c:v>1.6848248076157688</c:v>
                </c:pt>
                <c:pt idx="1732">
                  <c:v>1.6850143676938387</c:v>
                </c:pt>
                <c:pt idx="1733">
                  <c:v>1.6854655057536547</c:v>
                </c:pt>
                <c:pt idx="1734">
                  <c:v>1.6855128957731722</c:v>
                </c:pt>
                <c:pt idx="1735">
                  <c:v>1.6857509653200395</c:v>
                </c:pt>
                <c:pt idx="1736">
                  <c:v>1.6865151760284789</c:v>
                </c:pt>
                <c:pt idx="1737">
                  <c:v>1.6872596097996393</c:v>
                </c:pt>
                <c:pt idx="1738">
                  <c:v>1.6878383650773685</c:v>
                </c:pt>
                <c:pt idx="1739">
                  <c:v>1.6878626198117672</c:v>
                </c:pt>
                <c:pt idx="1740">
                  <c:v>1.6882742039970253</c:v>
                </c:pt>
                <c:pt idx="1741">
                  <c:v>1.688298458731424</c:v>
                </c:pt>
                <c:pt idx="1742">
                  <c:v>1.6884197324034176</c:v>
                </c:pt>
                <c:pt idx="1743">
                  <c:v>1.6885898886939685</c:v>
                </c:pt>
                <c:pt idx="1744">
                  <c:v>1.6886141434283672</c:v>
                </c:pt>
                <c:pt idx="1745">
                  <c:v>1.6890033386280265</c:v>
                </c:pt>
                <c:pt idx="1746">
                  <c:v>1.6914612760970158</c:v>
                </c:pt>
                <c:pt idx="1747">
                  <c:v>1.6917840506393986</c:v>
                </c:pt>
                <c:pt idx="1748">
                  <c:v>1.6923568355209682</c:v>
                </c:pt>
                <c:pt idx="1749">
                  <c:v>1.6924064644390455</c:v>
                </c:pt>
                <c:pt idx="1750">
                  <c:v>1.6924064644390455</c:v>
                </c:pt>
                <c:pt idx="1751">
                  <c:v>1.6927564789139069</c:v>
                </c:pt>
                <c:pt idx="1752">
                  <c:v>1.6933583694767549</c:v>
                </c:pt>
                <c:pt idx="1753">
                  <c:v>1.6933833705106736</c:v>
                </c:pt>
                <c:pt idx="1754">
                  <c:v>1.6933833705106736</c:v>
                </c:pt>
                <c:pt idx="1755">
                  <c:v>1.6935094951295468</c:v>
                </c:pt>
                <c:pt idx="1756">
                  <c:v>1.6938117464351308</c:v>
                </c:pt>
                <c:pt idx="1757">
                  <c:v>1.6944938641963745</c:v>
                </c:pt>
                <c:pt idx="1758">
                  <c:v>1.6949509726523502</c:v>
                </c:pt>
                <c:pt idx="1759">
                  <c:v>1.6953073306731312</c:v>
                </c:pt>
                <c:pt idx="1760">
                  <c:v>1.6966905968333776</c:v>
                </c:pt>
                <c:pt idx="1761">
                  <c:v>1.6967163441668163</c:v>
                </c:pt>
                <c:pt idx="1762">
                  <c:v>1.6995522823426654</c:v>
                </c:pt>
                <c:pt idx="1763">
                  <c:v>1.6996052696085826</c:v>
                </c:pt>
                <c:pt idx="1764">
                  <c:v>1.6996313900917812</c:v>
                </c:pt>
                <c:pt idx="1765">
                  <c:v>1.7000000620546416</c:v>
                </c:pt>
                <c:pt idx="1766">
                  <c:v>1.7004228407326991</c:v>
                </c:pt>
                <c:pt idx="1767">
                  <c:v>1.7006347897963678</c:v>
                </c:pt>
                <c:pt idx="1768">
                  <c:v>1.7007941247438794</c:v>
                </c:pt>
                <c:pt idx="1769">
                  <c:v>1.7009799533243495</c:v>
                </c:pt>
                <c:pt idx="1770">
                  <c:v>1.7014859443988826</c:v>
                </c:pt>
                <c:pt idx="1771">
                  <c:v>1.7016993860615912</c:v>
                </c:pt>
                <c:pt idx="1772">
                  <c:v>1.702906898684887</c:v>
                </c:pt>
                <c:pt idx="1773">
                  <c:v>1.7029337654676056</c:v>
                </c:pt>
                <c:pt idx="1774">
                  <c:v>1.7030419788979998</c:v>
                </c:pt>
                <c:pt idx="1775">
                  <c:v>1.7032039258938312</c:v>
                </c:pt>
                <c:pt idx="1776">
                  <c:v>1.7036640195478867</c:v>
                </c:pt>
                <c:pt idx="1777">
                  <c:v>1.7039897792883494</c:v>
                </c:pt>
                <c:pt idx="1778">
                  <c:v>1.7040987390182636</c:v>
                </c:pt>
                <c:pt idx="1779">
                  <c:v>1.7052737876124411</c:v>
                </c:pt>
                <c:pt idx="1780">
                  <c:v>1.7066533222750877</c:v>
                </c:pt>
                <c:pt idx="1781">
                  <c:v>1.7072373016494566</c:v>
                </c:pt>
                <c:pt idx="1782">
                  <c:v>1.7077675474583884</c:v>
                </c:pt>
                <c:pt idx="1783">
                  <c:v>1.7083004053156401</c:v>
                </c:pt>
                <c:pt idx="1784">
                  <c:v>1.7085817602346651</c:v>
                </c:pt>
                <c:pt idx="1785">
                  <c:v>1.7086660920804206</c:v>
                </c:pt>
                <c:pt idx="1786">
                  <c:v>1.7090612576762396</c:v>
                </c:pt>
                <c:pt idx="1787">
                  <c:v>1.7092310408170306</c:v>
                </c:pt>
                <c:pt idx="1788">
                  <c:v>1.7095142614848555</c:v>
                </c:pt>
                <c:pt idx="1789">
                  <c:v>1.7097131503069249</c:v>
                </c:pt>
                <c:pt idx="1790">
                  <c:v>1.7106251283203164</c:v>
                </c:pt>
                <c:pt idx="1791">
                  <c:v>1.7114285197535537</c:v>
                </c:pt>
                <c:pt idx="1792">
                  <c:v>1.7139581019764591</c:v>
                </c:pt>
                <c:pt idx="1793">
                  <c:v>1.7145469322977078</c:v>
                </c:pt>
                <c:pt idx="1794">
                  <c:v>1.7150495650244011</c:v>
                </c:pt>
                <c:pt idx="1795">
                  <c:v>1.7153760710643837</c:v>
                </c:pt>
                <c:pt idx="1796">
                  <c:v>1.7159712449315521</c:v>
                </c:pt>
                <c:pt idx="1797">
                  <c:v>1.7163895458124898</c:v>
                </c:pt>
                <c:pt idx="1798">
                  <c:v>1.7164197709430482</c:v>
                </c:pt>
                <c:pt idx="1799">
                  <c:v>1.7166597062387154</c:v>
                </c:pt>
                <c:pt idx="1800">
                  <c:v>1.7168097124422275</c:v>
                </c:pt>
                <c:pt idx="1801">
                  <c:v>1.7168697895535843</c:v>
                </c:pt>
                <c:pt idx="1802">
                  <c:v>1.7169000146841427</c:v>
                </c:pt>
                <c:pt idx="1803">
                  <c:v>1.7170806191679731</c:v>
                </c:pt>
                <c:pt idx="1804">
                  <c:v>1.7172612236518034</c:v>
                </c:pt>
                <c:pt idx="1805">
                  <c:v>1.7173515258937186</c:v>
                </c:pt>
                <c:pt idx="1806">
                  <c:v>1.7174724264159522</c:v>
                </c:pt>
                <c:pt idx="1807">
                  <c:v>1.7179869999349648</c:v>
                </c:pt>
                <c:pt idx="1808">
                  <c:v>1.7182299204287119</c:v>
                </c:pt>
                <c:pt idx="1809">
                  <c:v>1.7187784505758827</c:v>
                </c:pt>
                <c:pt idx="1810">
                  <c:v>1.7188392739867595</c:v>
                </c:pt>
                <c:pt idx="1811">
                  <c:v>1.7189918922385914</c:v>
                </c:pt>
                <c:pt idx="1812">
                  <c:v>1.7208718207293714</c:v>
                </c:pt>
                <c:pt idx="1813">
                  <c:v>1.7209031653092097</c:v>
                </c:pt>
                <c:pt idx="1814">
                  <c:v>1.7209651081693664</c:v>
                </c:pt>
                <c:pt idx="1815">
                  <c:v>1.721744244868205</c:v>
                </c:pt>
                <c:pt idx="1816">
                  <c:v>1.7218696231875583</c:v>
                </c:pt>
                <c:pt idx="1817">
                  <c:v>1.7224345719241683</c:v>
                </c:pt>
                <c:pt idx="1818">
                  <c:v>1.7226233857027182</c:v>
                </c:pt>
                <c:pt idx="1819">
                  <c:v>1.7228756349404648</c:v>
                </c:pt>
                <c:pt idx="1820">
                  <c:v>1.7230338504386964</c:v>
                </c:pt>
                <c:pt idx="1821">
                  <c:v>1.7240495640853624</c:v>
                </c:pt>
                <c:pt idx="1822">
                  <c:v>1.72465705189461</c:v>
                </c:pt>
                <c:pt idx="1823">
                  <c:v>1.7254929073569656</c:v>
                </c:pt>
                <c:pt idx="1824">
                  <c:v>1.7256220171739187</c:v>
                </c:pt>
                <c:pt idx="1825">
                  <c:v>1.7258809831073449</c:v>
                </c:pt>
                <c:pt idx="1826">
                  <c:v>1.7260750209825346</c:v>
                </c:pt>
                <c:pt idx="1827">
                  <c:v>1.7260750209825346</c:v>
                </c:pt>
                <c:pt idx="1828">
                  <c:v>1.7263671972445991</c:v>
                </c:pt>
                <c:pt idx="1829">
                  <c:v>1.7284661646444874</c:v>
                </c:pt>
                <c:pt idx="1830">
                  <c:v>1.7284990018233657</c:v>
                </c:pt>
                <c:pt idx="1831">
                  <c:v>1.7287975216313498</c:v>
                </c:pt>
                <c:pt idx="1832">
                  <c:v>1.7302662390866317</c:v>
                </c:pt>
                <c:pt idx="1833">
                  <c:v>1.7318222735857489</c:v>
                </c:pt>
                <c:pt idx="1834">
                  <c:v>1.7327446997924199</c:v>
                </c:pt>
                <c:pt idx="1835">
                  <c:v>1.733813773854763</c:v>
                </c:pt>
                <c:pt idx="1836">
                  <c:v>1.734508951857606</c:v>
                </c:pt>
                <c:pt idx="1837">
                  <c:v>1.7345432816355242</c:v>
                </c:pt>
                <c:pt idx="1838">
                  <c:v>1.7346134337904004</c:v>
                </c:pt>
                <c:pt idx="1839">
                  <c:v>1.7352776403631651</c:v>
                </c:pt>
                <c:pt idx="1840">
                  <c:v>1.7356642235145046</c:v>
                </c:pt>
                <c:pt idx="1841">
                  <c:v>1.7363351467829489</c:v>
                </c:pt>
                <c:pt idx="1842">
                  <c:v>1.7372239895112216</c:v>
                </c:pt>
                <c:pt idx="1843">
                  <c:v>1.7374023550964921</c:v>
                </c:pt>
                <c:pt idx="1844">
                  <c:v>1.7376531117351988</c:v>
                </c:pt>
                <c:pt idx="1845">
                  <c:v>1.7379758862775816</c:v>
                </c:pt>
                <c:pt idx="1846">
                  <c:v>1.7380120818042997</c:v>
                </c:pt>
                <c:pt idx="1847">
                  <c:v>1.7382277623655682</c:v>
                </c:pt>
                <c:pt idx="1848">
                  <c:v>1.7383359757959624</c:v>
                </c:pt>
                <c:pt idx="1849">
                  <c:v>1.7387688295175394</c:v>
                </c:pt>
                <c:pt idx="1850">
                  <c:v>1.7395315476269388</c:v>
                </c:pt>
                <c:pt idx="1851">
                  <c:v>1.7407763752262326</c:v>
                </c:pt>
                <c:pt idx="1852">
                  <c:v>1.7412562458175671</c:v>
                </c:pt>
                <c:pt idx="1853">
                  <c:v>1.7416637253554654</c:v>
                </c:pt>
                <c:pt idx="1854">
                  <c:v>1.7423339023243898</c:v>
                </c:pt>
                <c:pt idx="1855">
                  <c:v>1.7429712421144359</c:v>
                </c:pt>
                <c:pt idx="1856">
                  <c:v>1.7430458720664319</c:v>
                </c:pt>
                <c:pt idx="1857">
                  <c:v>1.7433093157969779</c:v>
                </c:pt>
                <c:pt idx="1858">
                  <c:v>1.7438765034321477</c:v>
                </c:pt>
                <c:pt idx="1859">
                  <c:v>1.7444078686903595</c:v>
                </c:pt>
                <c:pt idx="1860">
                  <c:v>1.7462885434806594</c:v>
                </c:pt>
                <c:pt idx="1861">
                  <c:v>1.746598257781443</c:v>
                </c:pt>
                <c:pt idx="1862">
                  <c:v>1.7477692017282607</c:v>
                </c:pt>
                <c:pt idx="1863">
                  <c:v>1.7480841401256839</c:v>
                </c:pt>
                <c:pt idx="1864">
                  <c:v>1.749869288577429</c:v>
                </c:pt>
                <c:pt idx="1865">
                  <c:v>1.7503103515937255</c:v>
                </c:pt>
                <c:pt idx="1866">
                  <c:v>1.7511574015488804</c:v>
                </c:pt>
                <c:pt idx="1867">
                  <c:v>1.751279048370634</c:v>
                </c:pt>
                <c:pt idx="1868">
                  <c:v>1.7520925148473907</c:v>
                </c:pt>
                <c:pt idx="1869">
                  <c:v>1.7522156542681842</c:v>
                </c:pt>
                <c:pt idx="1870">
                  <c:v>1.7526253727046424</c:v>
                </c:pt>
                <c:pt idx="1871">
                  <c:v>1.7539052763813743</c:v>
                </c:pt>
                <c:pt idx="1872">
                  <c:v>1.7539470691544921</c:v>
                </c:pt>
                <c:pt idx="1873">
                  <c:v>1.754155286720561</c:v>
                </c:pt>
                <c:pt idx="1874">
                  <c:v>1.7552015986475453</c:v>
                </c:pt>
                <c:pt idx="1875">
                  <c:v>1.7553277232664186</c:v>
                </c:pt>
                <c:pt idx="1876">
                  <c:v>1.7560464097041404</c:v>
                </c:pt>
                <c:pt idx="1877">
                  <c:v>1.7566837494941865</c:v>
                </c:pt>
                <c:pt idx="1878">
                  <c:v>1.7568971911568951</c:v>
                </c:pt>
                <c:pt idx="1879">
                  <c:v>1.7569830156016906</c:v>
                </c:pt>
                <c:pt idx="1880">
                  <c:v>1.7577128965322117</c:v>
                </c:pt>
                <c:pt idx="1881">
                  <c:v>1.7586211430480034</c:v>
                </c:pt>
                <c:pt idx="1882">
                  <c:v>1.760772724564049</c:v>
                </c:pt>
                <c:pt idx="1883">
                  <c:v>1.7610839314638724</c:v>
                </c:pt>
                <c:pt idx="1884">
                  <c:v>1.7621578564730953</c:v>
                </c:pt>
                <c:pt idx="1885">
                  <c:v>1.7622026344442929</c:v>
                </c:pt>
                <c:pt idx="1886">
                  <c:v>1.7625183191412361</c:v>
                </c:pt>
                <c:pt idx="1887">
                  <c:v>1.7631064031629649</c:v>
                </c:pt>
                <c:pt idx="1888">
                  <c:v>1.7651229044658976</c:v>
                </c:pt>
                <c:pt idx="1889">
                  <c:v>1.7660527936677681</c:v>
                </c:pt>
                <c:pt idx="1890">
                  <c:v>1.7666155035058182</c:v>
                </c:pt>
                <c:pt idx="1891">
                  <c:v>1.7682252715703726</c:v>
                </c:pt>
                <c:pt idx="1892">
                  <c:v>1.7685125968855573</c:v>
                </c:pt>
                <c:pt idx="1893">
                  <c:v>1.7698619064176455</c:v>
                </c:pt>
                <c:pt idx="1894">
                  <c:v>1.7716239195842718</c:v>
                </c:pt>
                <c:pt idx="1895">
                  <c:v>1.7717231774204265</c:v>
                </c:pt>
                <c:pt idx="1896">
                  <c:v>1.7721687182338428</c:v>
                </c:pt>
                <c:pt idx="1897">
                  <c:v>1.7740740209083015</c:v>
                </c:pt>
                <c:pt idx="1898">
                  <c:v>1.7741247692756588</c:v>
                </c:pt>
                <c:pt idx="1899">
                  <c:v>1.7742262660103734</c:v>
                </c:pt>
                <c:pt idx="1900">
                  <c:v>1.7760173848582781</c:v>
                </c:pt>
                <c:pt idx="1901">
                  <c:v>1.7774741615212406</c:v>
                </c:pt>
                <c:pt idx="1902">
                  <c:v>1.7779995563832927</c:v>
                </c:pt>
                <c:pt idx="1903">
                  <c:v>1.7792205023979477</c:v>
                </c:pt>
                <c:pt idx="1904">
                  <c:v>1.7797548528542393</c:v>
                </c:pt>
                <c:pt idx="1905">
                  <c:v>1.7809437079895361</c:v>
                </c:pt>
                <c:pt idx="1906">
                  <c:v>1.7816526925334983</c:v>
                </c:pt>
                <c:pt idx="1907">
                  <c:v>1.7818168784278896</c:v>
                </c:pt>
                <c:pt idx="1908">
                  <c:v>1.7820370367862779</c:v>
                </c:pt>
                <c:pt idx="1909">
                  <c:v>1.7823116750096233</c:v>
                </c:pt>
                <c:pt idx="1910">
                  <c:v>1.7823116750096233</c:v>
                </c:pt>
                <c:pt idx="1911">
                  <c:v>1.7875827885191029</c:v>
                </c:pt>
                <c:pt idx="1912">
                  <c:v>1.7884022253920193</c:v>
                </c:pt>
                <c:pt idx="1913">
                  <c:v>1.7889925483123079</c:v>
                </c:pt>
                <c:pt idx="1914">
                  <c:v>1.790664259237019</c:v>
                </c:pt>
                <c:pt idx="1915">
                  <c:v>1.790965764243083</c:v>
                </c:pt>
                <c:pt idx="1916">
                  <c:v>1.7938509581872495</c:v>
                </c:pt>
                <c:pt idx="1917">
                  <c:v>1.7946659172630461</c:v>
                </c:pt>
                <c:pt idx="1918">
                  <c:v>1.7949808556604694</c:v>
                </c:pt>
                <c:pt idx="1919">
                  <c:v>1.7974779738542566</c:v>
                </c:pt>
                <c:pt idx="1920">
                  <c:v>1.7981287470356619</c:v>
                </c:pt>
                <c:pt idx="1921">
                  <c:v>1.7985877212404375</c:v>
                </c:pt>
                <c:pt idx="1922">
                  <c:v>1.7992467037165625</c:v>
                </c:pt>
                <c:pt idx="1923">
                  <c:v>1.8026886371026194</c:v>
                </c:pt>
                <c:pt idx="1924">
                  <c:v>1.8035871817246516</c:v>
                </c:pt>
                <c:pt idx="1925">
                  <c:v>1.8048469353143446</c:v>
                </c:pt>
                <c:pt idx="1926">
                  <c:v>1.8049872396240971</c:v>
                </c:pt>
                <c:pt idx="1927">
                  <c:v>1.8088844157173298</c:v>
                </c:pt>
                <c:pt idx="1928">
                  <c:v>1.809032183022282</c:v>
                </c:pt>
                <c:pt idx="1929">
                  <c:v>1.8146040552383056</c:v>
                </c:pt>
                <c:pt idx="1930">
                  <c:v>1.8147622707365372</c:v>
                </c:pt>
                <c:pt idx="1931">
                  <c:v>1.8165175672074838</c:v>
                </c:pt>
                <c:pt idx="1932">
                  <c:v>1.8166787679037952</c:v>
                </c:pt>
                <c:pt idx="1933">
                  <c:v>1.8166787679037952</c:v>
                </c:pt>
                <c:pt idx="1934">
                  <c:v>1.8170832622436137</c:v>
                </c:pt>
                <c:pt idx="1935">
                  <c:v>1.8172459555389651</c:v>
                </c:pt>
                <c:pt idx="1936">
                  <c:v>1.8174086488343164</c:v>
                </c:pt>
                <c:pt idx="1937">
                  <c:v>1.8180638998128416</c:v>
                </c:pt>
                <c:pt idx="1938">
                  <c:v>1.8181459927600372</c:v>
                </c:pt>
                <c:pt idx="1939">
                  <c:v>1.8182280857072328</c:v>
                </c:pt>
                <c:pt idx="1940">
                  <c:v>1.8194714207074867</c:v>
                </c:pt>
                <c:pt idx="1941">
                  <c:v>1.8210729794773215</c:v>
                </c:pt>
                <c:pt idx="1942">
                  <c:v>1.8225327413383638</c:v>
                </c:pt>
                <c:pt idx="1943">
                  <c:v>1.8259791525215405</c:v>
                </c:pt>
                <c:pt idx="1944">
                  <c:v>1.8262508055468061</c:v>
                </c:pt>
                <c:pt idx="1945">
                  <c:v>1.8270702424197225</c:v>
                </c:pt>
                <c:pt idx="1946">
                  <c:v>1.8278971422878385</c:v>
                </c:pt>
                <c:pt idx="1947">
                  <c:v>1.8297658762858191</c:v>
                </c:pt>
                <c:pt idx="1948">
                  <c:v>1.8319704450677818</c:v>
                </c:pt>
                <c:pt idx="1949">
                  <c:v>1.8329480974389298</c:v>
                </c:pt>
                <c:pt idx="1950">
                  <c:v>1.8339361980033573</c:v>
                </c:pt>
                <c:pt idx="1951">
                  <c:v>1.8362586821094737</c:v>
                </c:pt>
                <c:pt idx="1952">
                  <c:v>1.8371855861132644</c:v>
                </c:pt>
                <c:pt idx="1953">
                  <c:v>1.8380184563775401</c:v>
                </c:pt>
                <c:pt idx="1954">
                  <c:v>1.838754307704221</c:v>
                </c:pt>
                <c:pt idx="1955">
                  <c:v>1.8401409322123072</c:v>
                </c:pt>
                <c:pt idx="1956">
                  <c:v>1.8403573590730957</c:v>
                </c:pt>
                <c:pt idx="1957">
                  <c:v>1.8412230665162497</c:v>
                </c:pt>
                <c:pt idx="1958">
                  <c:v>1.8417708503639005</c:v>
                </c:pt>
                <c:pt idx="1959">
                  <c:v>1.8424320717385854</c:v>
                </c:pt>
                <c:pt idx="1960">
                  <c:v>1.844450065640558</c:v>
                </c:pt>
                <c:pt idx="1961">
                  <c:v>1.8452500987259555</c:v>
                </c:pt>
                <c:pt idx="1962">
                  <c:v>1.8475800458272715</c:v>
                </c:pt>
                <c:pt idx="1963">
                  <c:v>1.8482920155693137</c:v>
                </c:pt>
                <c:pt idx="1964">
                  <c:v>1.8502264239250508</c:v>
                </c:pt>
                <c:pt idx="1965">
                  <c:v>1.8509637678507715</c:v>
                </c:pt>
                <c:pt idx="1966">
                  <c:v>1.8512115392913984</c:v>
                </c:pt>
                <c:pt idx="1967">
                  <c:v>1.8539892661046906</c:v>
                </c:pt>
                <c:pt idx="1968">
                  <c:v>1.862555291994795</c:v>
                </c:pt>
                <c:pt idx="1969">
                  <c:v>1.8648986724874703</c:v>
                </c:pt>
                <c:pt idx="1970">
                  <c:v>1.8656449720074306</c:v>
                </c:pt>
                <c:pt idx="1971">
                  <c:v>1.8693436324283539</c:v>
                </c:pt>
                <c:pt idx="1972">
                  <c:v>1.8698182789230486</c:v>
                </c:pt>
                <c:pt idx="1973">
                  <c:v>1.8780633960195701</c:v>
                </c:pt>
                <c:pt idx="1974">
                  <c:v>1.8789589554435224</c:v>
                </c:pt>
                <c:pt idx="1975">
                  <c:v>1.8804187173045648</c:v>
                </c:pt>
                <c:pt idx="1976">
                  <c:v>1.8840099105946138</c:v>
                </c:pt>
                <c:pt idx="1977">
                  <c:v>1.8857801330559596</c:v>
                </c:pt>
                <c:pt idx="1978">
                  <c:v>1.8857801330559596</c:v>
                </c:pt>
                <c:pt idx="1979">
                  <c:v>1.8857801330559596</c:v>
                </c:pt>
                <c:pt idx="1980">
                  <c:v>1.8898758248215017</c:v>
                </c:pt>
                <c:pt idx="1981">
                  <c:v>1.8924580211605644</c:v>
                </c:pt>
                <c:pt idx="1982">
                  <c:v>1.8937834491080139</c:v>
                </c:pt>
                <c:pt idx="1983">
                  <c:v>1.9057212562292989</c:v>
                </c:pt>
                <c:pt idx="1984">
                  <c:v>1.9067989127361216</c:v>
                </c:pt>
                <c:pt idx="1985">
                  <c:v>1.9087213802995393</c:v>
                </c:pt>
                <c:pt idx="1986">
                  <c:v>1.9183217773243086</c:v>
                </c:pt>
                <c:pt idx="1987">
                  <c:v>1.9193009222944966</c:v>
                </c:pt>
                <c:pt idx="1988">
                  <c:v>1.9319701029453427</c:v>
                </c:pt>
                <c:pt idx="1989">
                  <c:v>1.933600021096936</c:v>
                </c:pt>
                <c:pt idx="1990">
                  <c:v>1.9453557311353507</c:v>
                </c:pt>
                <c:pt idx="1991">
                  <c:v>1.9500245809322223</c:v>
                </c:pt>
                <c:pt idx="1992">
                  <c:v>1.9937517624057364</c:v>
                </c:pt>
                <c:pt idx="1993">
                  <c:v>1.9998893296578899</c:v>
                </c:pt>
                <c:pt idx="1994">
                  <c:v>2.0025401855527889</c:v>
                </c:pt>
                <c:pt idx="1995">
                  <c:v>2.0183259129989892</c:v>
                </c:pt>
                <c:pt idx="1996">
                  <c:v>2.0411089447443374</c:v>
                </c:pt>
                <c:pt idx="1997">
                  <c:v>2.0440702612395398</c:v>
                </c:pt>
                <c:pt idx="1998">
                  <c:v>2.0722982942825183</c:v>
                </c:pt>
                <c:pt idx="1999">
                  <c:v>2.092645404394716</c:v>
                </c:pt>
              </c:numCache>
            </c:numRef>
          </c:xVal>
          <c:yVal>
            <c:numRef>
              <c:f>'ROI Analysis'!$E$2:$E$2001</c:f>
              <c:numCache>
                <c:formatCode>General</c:formatCode>
                <c:ptCount val="2000"/>
                <c:pt idx="0">
                  <c:v>8.017674782981524E-3</c:v>
                </c:pt>
                <c:pt idx="1">
                  <c:v>2.4403282925222012E-2</c:v>
                </c:pt>
                <c:pt idx="2">
                  <c:v>3.2660264244164378E-2</c:v>
                </c:pt>
                <c:pt idx="3">
                  <c:v>3.7263155835832978E-2</c:v>
                </c:pt>
                <c:pt idx="4">
                  <c:v>6.6240596033259991E-2</c:v>
                </c:pt>
                <c:pt idx="5">
                  <c:v>8.8916428866591776E-2</c:v>
                </c:pt>
                <c:pt idx="6">
                  <c:v>9.0424904118495172E-2</c:v>
                </c:pt>
                <c:pt idx="7">
                  <c:v>9.7421381368429663E-2</c:v>
                </c:pt>
                <c:pt idx="8">
                  <c:v>0.10971530279821619</c:v>
                </c:pt>
                <c:pt idx="9">
                  <c:v>0.12130463815283744</c:v>
                </c:pt>
                <c:pt idx="10">
                  <c:v>0.12703296422676083</c:v>
                </c:pt>
                <c:pt idx="11">
                  <c:v>0.13223950370200807</c:v>
                </c:pt>
                <c:pt idx="12">
                  <c:v>0.13599777256408563</c:v>
                </c:pt>
                <c:pt idx="13">
                  <c:v>0.14300359008321473</c:v>
                </c:pt>
                <c:pt idx="14">
                  <c:v>0.15316427310488462</c:v>
                </c:pt>
                <c:pt idx="15">
                  <c:v>0.15773943759145542</c:v>
                </c:pt>
                <c:pt idx="16">
                  <c:v>0.18954049968362577</c:v>
                </c:pt>
                <c:pt idx="17">
                  <c:v>0.20134358879523076</c:v>
                </c:pt>
                <c:pt idx="18">
                  <c:v>0.2030825875054956</c:v>
                </c:pt>
                <c:pt idx="19">
                  <c:v>0.21258062652797152</c:v>
                </c:pt>
                <c:pt idx="20">
                  <c:v>0.21600834935929505</c:v>
                </c:pt>
                <c:pt idx="21">
                  <c:v>0.21814344221545284</c:v>
                </c:pt>
                <c:pt idx="22">
                  <c:v>0.22113068671570144</c:v>
                </c:pt>
                <c:pt idx="23">
                  <c:v>0.22113068671570144</c:v>
                </c:pt>
                <c:pt idx="24">
                  <c:v>0.22283570777249229</c:v>
                </c:pt>
                <c:pt idx="25">
                  <c:v>0.22496149542863234</c:v>
                </c:pt>
                <c:pt idx="26">
                  <c:v>0.23509128514591246</c:v>
                </c:pt>
                <c:pt idx="27">
                  <c:v>0.23719220432115509</c:v>
                </c:pt>
                <c:pt idx="28">
                  <c:v>0.23719220432115509</c:v>
                </c:pt>
                <c:pt idx="29">
                  <c:v>0.23802642105040137</c:v>
                </c:pt>
                <c:pt idx="30">
                  <c:v>0.25011360224554458</c:v>
                </c:pt>
                <c:pt idx="31">
                  <c:v>0.25754294535080086</c:v>
                </c:pt>
                <c:pt idx="32">
                  <c:v>0.26738359590001026</c:v>
                </c:pt>
                <c:pt idx="33">
                  <c:v>0.27104594566784812</c:v>
                </c:pt>
                <c:pt idx="34">
                  <c:v>0.28076625782036457</c:v>
                </c:pt>
                <c:pt idx="35">
                  <c:v>0.29239609885951362</c:v>
                </c:pt>
                <c:pt idx="36">
                  <c:v>0.29359660373961283</c:v>
                </c:pt>
                <c:pt idx="37">
                  <c:v>0.29797513267348508</c:v>
                </c:pt>
                <c:pt idx="38">
                  <c:v>0.30075014802678179</c:v>
                </c:pt>
                <c:pt idx="39">
                  <c:v>0.30154500869131884</c:v>
                </c:pt>
                <c:pt idx="40">
                  <c:v>0.31729007212543603</c:v>
                </c:pt>
                <c:pt idx="41">
                  <c:v>0.32197469396210782</c:v>
                </c:pt>
                <c:pt idx="42">
                  <c:v>0.33900741084496977</c:v>
                </c:pt>
                <c:pt idx="43">
                  <c:v>0.33977306431084153</c:v>
                </c:pt>
                <c:pt idx="44">
                  <c:v>0.34208392441753671</c:v>
                </c:pt>
                <c:pt idx="45">
                  <c:v>0.35011367635211649</c:v>
                </c:pt>
                <c:pt idx="46">
                  <c:v>0.35239468576986227</c:v>
                </c:pt>
                <c:pt idx="47">
                  <c:v>0.36903561504868804</c:v>
                </c:pt>
                <c:pt idx="48">
                  <c:v>0.37690387940288311</c:v>
                </c:pt>
                <c:pt idx="49">
                  <c:v>0.38583596618117627</c:v>
                </c:pt>
                <c:pt idx="50">
                  <c:v>0.3921345573385614</c:v>
                </c:pt>
                <c:pt idx="51">
                  <c:v>0.39360807904224204</c:v>
                </c:pt>
                <c:pt idx="52">
                  <c:v>0.39360807904224204</c:v>
                </c:pt>
                <c:pt idx="53">
                  <c:v>0.40975179446334492</c:v>
                </c:pt>
                <c:pt idx="54">
                  <c:v>0.41412148159443701</c:v>
                </c:pt>
                <c:pt idx="55">
                  <c:v>0.42173919526353154</c:v>
                </c:pt>
                <c:pt idx="56">
                  <c:v>0.42643141558622644</c:v>
                </c:pt>
                <c:pt idx="57">
                  <c:v>0.44434888721889276</c:v>
                </c:pt>
                <c:pt idx="58">
                  <c:v>0.44932300291809796</c:v>
                </c:pt>
                <c:pt idx="59">
                  <c:v>0.46063284755990508</c:v>
                </c:pt>
                <c:pt idx="60">
                  <c:v>0.46415341165016299</c:v>
                </c:pt>
                <c:pt idx="61">
                  <c:v>0.46555687522600014</c:v>
                </c:pt>
                <c:pt idx="62">
                  <c:v>0.47361117144957188</c:v>
                </c:pt>
                <c:pt idx="63">
                  <c:v>0.48022614108178263</c:v>
                </c:pt>
                <c:pt idx="64">
                  <c:v>0.48022614108178263</c:v>
                </c:pt>
                <c:pt idx="65">
                  <c:v>0.48474007743596187</c:v>
                </c:pt>
                <c:pt idx="66">
                  <c:v>0.49199750044470109</c:v>
                </c:pt>
                <c:pt idx="67">
                  <c:v>0.49887688840613426</c:v>
                </c:pt>
                <c:pt idx="68">
                  <c:v>0.50264951980614614</c:v>
                </c:pt>
                <c:pt idx="69">
                  <c:v>0.52777990086578153</c:v>
                </c:pt>
                <c:pt idx="70">
                  <c:v>0.53450327292800293</c:v>
                </c:pt>
                <c:pt idx="71">
                  <c:v>0.54186847997377119</c:v>
                </c:pt>
                <c:pt idx="72">
                  <c:v>0.55715320081783715</c:v>
                </c:pt>
                <c:pt idx="73">
                  <c:v>0.55715320081783715</c:v>
                </c:pt>
                <c:pt idx="74">
                  <c:v>0.55880743047738446</c:v>
                </c:pt>
                <c:pt idx="75">
                  <c:v>0.56309292326258076</c:v>
                </c:pt>
                <c:pt idx="76">
                  <c:v>0.57294592016781742</c:v>
                </c:pt>
                <c:pt idx="77">
                  <c:v>0.57784986668752292</c:v>
                </c:pt>
                <c:pt idx="78">
                  <c:v>0.58078566824336042</c:v>
                </c:pt>
                <c:pt idx="79">
                  <c:v>0.58078566824336042</c:v>
                </c:pt>
                <c:pt idx="80">
                  <c:v>0.58208711447384875</c:v>
                </c:pt>
                <c:pt idx="81">
                  <c:v>0.59052717670051202</c:v>
                </c:pt>
                <c:pt idx="82">
                  <c:v>0.59085249839238929</c:v>
                </c:pt>
                <c:pt idx="83">
                  <c:v>0.596023403614936</c:v>
                </c:pt>
                <c:pt idx="84">
                  <c:v>0.59957045742191428</c:v>
                </c:pt>
                <c:pt idx="85">
                  <c:v>0.60727994790961859</c:v>
                </c:pt>
                <c:pt idx="86">
                  <c:v>0.60791950197132394</c:v>
                </c:pt>
                <c:pt idx="87">
                  <c:v>0.61814107973883603</c:v>
                </c:pt>
                <c:pt idx="88">
                  <c:v>0.6219583621600846</c:v>
                </c:pt>
                <c:pt idx="89">
                  <c:v>0.62354744586946576</c:v>
                </c:pt>
                <c:pt idx="90">
                  <c:v>0.62671453874634686</c:v>
                </c:pt>
                <c:pt idx="91">
                  <c:v>0.6311447520199549</c:v>
                </c:pt>
                <c:pt idx="92">
                  <c:v>0.63461509825028561</c:v>
                </c:pt>
                <c:pt idx="93">
                  <c:v>0.63493203738302229</c:v>
                </c:pt>
                <c:pt idx="94">
                  <c:v>0.6374521530658469</c:v>
                </c:pt>
                <c:pt idx="95">
                  <c:v>0.63839168882011876</c:v>
                </c:pt>
                <c:pt idx="96">
                  <c:v>0.64059206556772996</c:v>
                </c:pt>
                <c:pt idx="97">
                  <c:v>0.64717370933338292</c:v>
                </c:pt>
                <c:pt idx="98">
                  <c:v>0.64780112286362612</c:v>
                </c:pt>
                <c:pt idx="99">
                  <c:v>0.65061234878696794</c:v>
                </c:pt>
                <c:pt idx="100">
                  <c:v>0.65092464008212914</c:v>
                </c:pt>
                <c:pt idx="101">
                  <c:v>0.65808944554397386</c:v>
                </c:pt>
                <c:pt idx="102">
                  <c:v>0.66026385967142986</c:v>
                </c:pt>
                <c:pt idx="103">
                  <c:v>0.66367236227603155</c:v>
                </c:pt>
                <c:pt idx="104">
                  <c:v>0.66645764467904978</c:v>
                </c:pt>
                <c:pt idx="105">
                  <c:v>0.66676973025320596</c:v>
                </c:pt>
                <c:pt idx="106">
                  <c:v>0.66676973025320596</c:v>
                </c:pt>
                <c:pt idx="107">
                  <c:v>0.66985638669053016</c:v>
                </c:pt>
                <c:pt idx="108">
                  <c:v>0.67663148820243124</c:v>
                </c:pt>
                <c:pt idx="109">
                  <c:v>0.67724678395427562</c:v>
                </c:pt>
                <c:pt idx="110">
                  <c:v>0.68154361204209424</c:v>
                </c:pt>
                <c:pt idx="111">
                  <c:v>0.68765943911548622</c:v>
                </c:pt>
                <c:pt idx="112">
                  <c:v>0.69070981413135268</c:v>
                </c:pt>
                <c:pt idx="113">
                  <c:v>0.69162701313636843</c:v>
                </c:pt>
                <c:pt idx="114">
                  <c:v>0.71852294578603393</c:v>
                </c:pt>
                <c:pt idx="115">
                  <c:v>0.71852294578603393</c:v>
                </c:pt>
                <c:pt idx="116">
                  <c:v>0.71881886686338603</c:v>
                </c:pt>
                <c:pt idx="117">
                  <c:v>0.71972238050131654</c:v>
                </c:pt>
                <c:pt idx="118">
                  <c:v>0.72957640522988176</c:v>
                </c:pt>
                <c:pt idx="119">
                  <c:v>0.73077117408576553</c:v>
                </c:pt>
                <c:pt idx="120">
                  <c:v>0.73344292431800007</c:v>
                </c:pt>
                <c:pt idx="121">
                  <c:v>0.73523069628017679</c:v>
                </c:pt>
                <c:pt idx="122">
                  <c:v>0.73641532586760194</c:v>
                </c:pt>
                <c:pt idx="123">
                  <c:v>0.74676673852523678</c:v>
                </c:pt>
                <c:pt idx="124">
                  <c:v>0.76232328623165679</c:v>
                </c:pt>
                <c:pt idx="125">
                  <c:v>0.76290943076507844</c:v>
                </c:pt>
                <c:pt idx="126">
                  <c:v>0.76553701932630513</c:v>
                </c:pt>
                <c:pt idx="127">
                  <c:v>0.77426515135764418</c:v>
                </c:pt>
                <c:pt idx="128">
                  <c:v>0.77484581574626921</c:v>
                </c:pt>
                <c:pt idx="129">
                  <c:v>0.77629588120969173</c:v>
                </c:pt>
                <c:pt idx="130">
                  <c:v>0.77803049412262792</c:v>
                </c:pt>
                <c:pt idx="131">
                  <c:v>0.78612359858662528</c:v>
                </c:pt>
                <c:pt idx="132">
                  <c:v>0.78900033096497846</c:v>
                </c:pt>
                <c:pt idx="133">
                  <c:v>0.79875437461241339</c:v>
                </c:pt>
                <c:pt idx="134">
                  <c:v>0.81016291375118288</c:v>
                </c:pt>
                <c:pt idx="135">
                  <c:v>0.81781767244655057</c:v>
                </c:pt>
                <c:pt idx="136">
                  <c:v>0.82515832850714066</c:v>
                </c:pt>
                <c:pt idx="137">
                  <c:v>0.83162555960382112</c:v>
                </c:pt>
                <c:pt idx="138">
                  <c:v>0.83302758003123911</c:v>
                </c:pt>
                <c:pt idx="139">
                  <c:v>0.8391880300772373</c:v>
                </c:pt>
                <c:pt idx="140">
                  <c:v>0.85227662312560937</c:v>
                </c:pt>
                <c:pt idx="141">
                  <c:v>0.86526191214088444</c:v>
                </c:pt>
                <c:pt idx="142">
                  <c:v>0.86856237005917014</c:v>
                </c:pt>
                <c:pt idx="143">
                  <c:v>0.87048447644181781</c:v>
                </c:pt>
                <c:pt idx="144">
                  <c:v>0.87350527327131289</c:v>
                </c:pt>
                <c:pt idx="145">
                  <c:v>0.87897556956955436</c:v>
                </c:pt>
                <c:pt idx="146">
                  <c:v>0.8811605642421988</c:v>
                </c:pt>
                <c:pt idx="147">
                  <c:v>0.8847034617006525</c:v>
                </c:pt>
                <c:pt idx="148">
                  <c:v>0.88687846765642664</c:v>
                </c:pt>
                <c:pt idx="149">
                  <c:v>0.89014028485911401</c:v>
                </c:pt>
                <c:pt idx="150">
                  <c:v>0.89339087191997812</c:v>
                </c:pt>
                <c:pt idx="151">
                  <c:v>0.89582982704278202</c:v>
                </c:pt>
                <c:pt idx="152">
                  <c:v>0.90257714954055634</c:v>
                </c:pt>
                <c:pt idx="153">
                  <c:v>0.90365500666558551</c:v>
                </c:pt>
                <c:pt idx="154">
                  <c:v>0.90553772386645304</c:v>
                </c:pt>
                <c:pt idx="155">
                  <c:v>0.90580973542591803</c:v>
                </c:pt>
                <c:pt idx="156">
                  <c:v>0.9106431871120092</c:v>
                </c:pt>
                <c:pt idx="157">
                  <c:v>0.91117714799371785</c:v>
                </c:pt>
                <c:pt idx="158">
                  <c:v>0.91278576109616438</c:v>
                </c:pt>
                <c:pt idx="159">
                  <c:v>0.9293170230943395</c:v>
                </c:pt>
                <c:pt idx="160">
                  <c:v>0.93143970423221711</c:v>
                </c:pt>
                <c:pt idx="161">
                  <c:v>0.93276315452764125</c:v>
                </c:pt>
                <c:pt idx="162">
                  <c:v>0.93752146577698869</c:v>
                </c:pt>
                <c:pt idx="163">
                  <c:v>0.93884608154792948</c:v>
                </c:pt>
                <c:pt idx="164">
                  <c:v>0.94648127179858133</c:v>
                </c:pt>
                <c:pt idx="165">
                  <c:v>0.94726768405339346</c:v>
                </c:pt>
                <c:pt idx="166">
                  <c:v>0.94779410110753071</c:v>
                </c:pt>
                <c:pt idx="167">
                  <c:v>0.94832065536585408</c:v>
                </c:pt>
                <c:pt idx="168">
                  <c:v>0.95172585098518225</c:v>
                </c:pt>
                <c:pt idx="169">
                  <c:v>0.96425513768081139</c:v>
                </c:pt>
                <c:pt idx="170">
                  <c:v>0.97229967229195213</c:v>
                </c:pt>
                <c:pt idx="171">
                  <c:v>0.97772658724445172</c:v>
                </c:pt>
                <c:pt idx="172">
                  <c:v>0.98442478445201054</c:v>
                </c:pt>
                <c:pt idx="173">
                  <c:v>0.98981254217952264</c:v>
                </c:pt>
                <c:pt idx="174">
                  <c:v>0.98981254217952264</c:v>
                </c:pt>
                <c:pt idx="175">
                  <c:v>0.98981254217952264</c:v>
                </c:pt>
                <c:pt idx="176">
                  <c:v>0.99313968603632474</c:v>
                </c:pt>
                <c:pt idx="177">
                  <c:v>0.99620549515502121</c:v>
                </c:pt>
                <c:pt idx="178">
                  <c:v>0.99926939735486986</c:v>
                </c:pt>
                <c:pt idx="179">
                  <c:v>1.0018156843783101</c:v>
                </c:pt>
                <c:pt idx="180">
                  <c:v>1.0023252810911483</c:v>
                </c:pt>
                <c:pt idx="181">
                  <c:v>1.0038486768851573</c:v>
                </c:pt>
                <c:pt idx="182">
                  <c:v>1.0107011428176207</c:v>
                </c:pt>
                <c:pt idx="183">
                  <c:v>1.0119649912719955</c:v>
                </c:pt>
                <c:pt idx="184">
                  <c:v>1.0170179951900902</c:v>
                </c:pt>
                <c:pt idx="185">
                  <c:v>1.0258259863823245</c:v>
                </c:pt>
                <c:pt idx="186">
                  <c:v>1.0278305981398461</c:v>
                </c:pt>
                <c:pt idx="187">
                  <c:v>1.0313349347965286</c:v>
                </c:pt>
                <c:pt idx="188">
                  <c:v>1.0330858960302931</c:v>
                </c:pt>
                <c:pt idx="189">
                  <c:v>1.0348350166622413</c:v>
                </c:pt>
                <c:pt idx="190">
                  <c:v>1.0380751977742804</c:v>
                </c:pt>
                <c:pt idx="191">
                  <c:v>1.0420595914594166</c:v>
                </c:pt>
                <c:pt idx="192">
                  <c:v>1.0457846179962742</c:v>
                </c:pt>
                <c:pt idx="193">
                  <c:v>1.0470264678168357</c:v>
                </c:pt>
                <c:pt idx="194">
                  <c:v>1.0475209030915342</c:v>
                </c:pt>
                <c:pt idx="195">
                  <c:v>1.0514797902147131</c:v>
                </c:pt>
                <c:pt idx="196">
                  <c:v>1.0534583971441143</c:v>
                </c:pt>
                <c:pt idx="197">
                  <c:v>1.0556803040260909</c:v>
                </c:pt>
                <c:pt idx="198">
                  <c:v>1.0613442254797631</c:v>
                </c:pt>
                <c:pt idx="199">
                  <c:v>1.0618351484218904</c:v>
                </c:pt>
                <c:pt idx="200">
                  <c:v>1.0623261613349724</c:v>
                </c:pt>
                <c:pt idx="201">
                  <c:v>1.0630628492138143</c:v>
                </c:pt>
                <c:pt idx="202">
                  <c:v>1.0806562224442682</c:v>
                </c:pt>
                <c:pt idx="203">
                  <c:v>1.0806562224442682</c:v>
                </c:pt>
                <c:pt idx="204">
                  <c:v>1.0859957660519597</c:v>
                </c:pt>
                <c:pt idx="205">
                  <c:v>1.0975857545336667</c:v>
                </c:pt>
                <c:pt idx="206">
                  <c:v>1.0978280950146899</c:v>
                </c:pt>
                <c:pt idx="207">
                  <c:v>1.1076673431572919</c:v>
                </c:pt>
                <c:pt idx="208">
                  <c:v>1.1191133149324641</c:v>
                </c:pt>
                <c:pt idx="209">
                  <c:v>1.1210092106813263</c:v>
                </c:pt>
                <c:pt idx="210">
                  <c:v>1.1217228437412416</c:v>
                </c:pt>
                <c:pt idx="211">
                  <c:v>1.1226714311434813</c:v>
                </c:pt>
                <c:pt idx="212">
                  <c:v>1.1243313456486785</c:v>
                </c:pt>
                <c:pt idx="213">
                  <c:v>1.1309509584125055</c:v>
                </c:pt>
                <c:pt idx="214">
                  <c:v>1.1323668857376048</c:v>
                </c:pt>
                <c:pt idx="215">
                  <c:v>1.1335478233691545</c:v>
                </c:pt>
                <c:pt idx="216">
                  <c:v>1.1349585011451022</c:v>
                </c:pt>
                <c:pt idx="217">
                  <c:v>1.1368414041762898</c:v>
                </c:pt>
                <c:pt idx="218">
                  <c:v>1.1434127967337293</c:v>
                </c:pt>
                <c:pt idx="219">
                  <c:v>1.1499585538386237</c:v>
                </c:pt>
                <c:pt idx="220">
                  <c:v>1.1525252716095846</c:v>
                </c:pt>
                <c:pt idx="221">
                  <c:v>1.1536908394873413</c:v>
                </c:pt>
                <c:pt idx="222">
                  <c:v>1.1562474778802336</c:v>
                </c:pt>
                <c:pt idx="223">
                  <c:v>1.1629778614047592</c:v>
                </c:pt>
                <c:pt idx="224">
                  <c:v>1.1662160060521058</c:v>
                </c:pt>
                <c:pt idx="225">
                  <c:v>1.1733641690778505</c:v>
                </c:pt>
                <c:pt idx="226">
                  <c:v>1.1740533327185403</c:v>
                </c:pt>
                <c:pt idx="227">
                  <c:v>1.1740533327185403</c:v>
                </c:pt>
                <c:pt idx="228">
                  <c:v>1.1754320396730618</c:v>
                </c:pt>
                <c:pt idx="229">
                  <c:v>1.176121582482383</c:v>
                </c:pt>
                <c:pt idx="230">
                  <c:v>1.180251796174407</c:v>
                </c:pt>
                <c:pt idx="231">
                  <c:v>1.1832272794291379</c:v>
                </c:pt>
                <c:pt idx="232">
                  <c:v>1.1850582423758822</c:v>
                </c:pt>
                <c:pt idx="233">
                  <c:v>1.1855136950059169</c:v>
                </c:pt>
                <c:pt idx="234">
                  <c:v>1.1884802784742274</c:v>
                </c:pt>
                <c:pt idx="235">
                  <c:v>1.1921253113338248</c:v>
                </c:pt>
                <c:pt idx="236">
                  <c:v>1.1991627598910428</c:v>
                </c:pt>
                <c:pt idx="237">
                  <c:v>1.2095514333051707</c:v>
                </c:pt>
                <c:pt idx="238">
                  <c:v>1.2265727848870078</c:v>
                </c:pt>
                <c:pt idx="239">
                  <c:v>1.2265727848870078</c:v>
                </c:pt>
                <c:pt idx="240">
                  <c:v>1.2281323020811641</c:v>
                </c:pt>
                <c:pt idx="241">
                  <c:v>1.2285761111185394</c:v>
                </c:pt>
                <c:pt idx="242">
                  <c:v>1.2305803108952251</c:v>
                </c:pt>
                <c:pt idx="243">
                  <c:v>1.2310243554145428</c:v>
                </c:pt>
                <c:pt idx="244">
                  <c:v>1.2354605886220316</c:v>
                </c:pt>
                <c:pt idx="245">
                  <c:v>1.2387823244900062</c:v>
                </c:pt>
                <c:pt idx="246">
                  <c:v>1.2401103565468397</c:v>
                </c:pt>
                <c:pt idx="247">
                  <c:v>1.2427576963619755</c:v>
                </c:pt>
                <c:pt idx="248">
                  <c:v>1.2515607630381202</c:v>
                </c:pt>
                <c:pt idx="249">
                  <c:v>1.2555037075924234</c:v>
                </c:pt>
                <c:pt idx="250">
                  <c:v>1.2561600654312779</c:v>
                </c:pt>
                <c:pt idx="251">
                  <c:v>1.2565998717605529</c:v>
                </c:pt>
                <c:pt idx="252">
                  <c:v>1.2709727245852751</c:v>
                </c:pt>
                <c:pt idx="253">
                  <c:v>1.2847890365669314</c:v>
                </c:pt>
                <c:pt idx="254">
                  <c:v>1.288653423146541</c:v>
                </c:pt>
                <c:pt idx="255">
                  <c:v>1.2892971778165236</c:v>
                </c:pt>
                <c:pt idx="256">
                  <c:v>1.2897263853929228</c:v>
                </c:pt>
                <c:pt idx="257">
                  <c:v>1.2907962338572991</c:v>
                </c:pt>
                <c:pt idx="258">
                  <c:v>1.293577387929141</c:v>
                </c:pt>
                <c:pt idx="259">
                  <c:v>1.2955004796299177</c:v>
                </c:pt>
                <c:pt idx="260">
                  <c:v>1.2974208524976876</c:v>
                </c:pt>
                <c:pt idx="261">
                  <c:v>1.2984854053181276</c:v>
                </c:pt>
                <c:pt idx="262">
                  <c:v>1.3008300272581035</c:v>
                </c:pt>
                <c:pt idx="263">
                  <c:v>1.3042310650608862</c:v>
                </c:pt>
                <c:pt idx="264">
                  <c:v>1.3048664730367807</c:v>
                </c:pt>
                <c:pt idx="265">
                  <c:v>1.3101638821029071</c:v>
                </c:pt>
                <c:pt idx="266">
                  <c:v>1.3213381165740636</c:v>
                </c:pt>
                <c:pt idx="267">
                  <c:v>1.326999746239385</c:v>
                </c:pt>
                <c:pt idx="268">
                  <c:v>1.3280455879415942</c:v>
                </c:pt>
                <c:pt idx="269">
                  <c:v>1.3322237254020315</c:v>
                </c:pt>
                <c:pt idx="270">
                  <c:v>1.332642326214452</c:v>
                </c:pt>
                <c:pt idx="271">
                  <c:v>1.3419967254058947</c:v>
                </c:pt>
                <c:pt idx="272">
                  <c:v>1.3525335809992725</c:v>
                </c:pt>
                <c:pt idx="273">
                  <c:v>1.3529465215839886</c:v>
                </c:pt>
                <c:pt idx="274">
                  <c:v>1.3535659671170863</c:v>
                </c:pt>
                <c:pt idx="275">
                  <c:v>1.3564439312017322</c:v>
                </c:pt>
                <c:pt idx="276">
                  <c:v>1.3574700842622804</c:v>
                </c:pt>
                <c:pt idx="277">
                  <c:v>1.3632058801857916</c:v>
                </c:pt>
                <c:pt idx="278">
                  <c:v>1.3636159452260981</c:v>
                </c:pt>
                <c:pt idx="279">
                  <c:v>1.3644327910403364</c:v>
                </c:pt>
                <c:pt idx="280">
                  <c:v>1.3664735243305399</c:v>
                </c:pt>
                <c:pt idx="281">
                  <c:v>1.3699390200160164</c:v>
                </c:pt>
                <c:pt idx="282">
                  <c:v>1.3707530254332907</c:v>
                </c:pt>
                <c:pt idx="283">
                  <c:v>1.3754280608061535</c:v>
                </c:pt>
                <c:pt idx="284">
                  <c:v>1.3776578167552702</c:v>
                </c:pt>
                <c:pt idx="285">
                  <c:v>1.3788730156837752</c:v>
                </c:pt>
                <c:pt idx="286">
                  <c:v>1.3794773238969236</c:v>
                </c:pt>
                <c:pt idx="287">
                  <c:v>1.3821085947394318</c:v>
                </c:pt>
                <c:pt idx="288">
                  <c:v>1.3831171788762258</c:v>
                </c:pt>
                <c:pt idx="289">
                  <c:v>1.3863438677174982</c:v>
                </c:pt>
                <c:pt idx="290">
                  <c:v>1.3907677013190092</c:v>
                </c:pt>
                <c:pt idx="291">
                  <c:v>1.3915731065539343</c:v>
                </c:pt>
                <c:pt idx="292">
                  <c:v>1.3945812674788256</c:v>
                </c:pt>
                <c:pt idx="293">
                  <c:v>1.403368731165733</c:v>
                </c:pt>
                <c:pt idx="294">
                  <c:v>1.4057570727163458</c:v>
                </c:pt>
                <c:pt idx="295">
                  <c:v>1.4087379763304928</c:v>
                </c:pt>
                <c:pt idx="296">
                  <c:v>1.4196153727065612</c:v>
                </c:pt>
                <c:pt idx="297">
                  <c:v>1.4196153727065612</c:v>
                </c:pt>
                <c:pt idx="298">
                  <c:v>1.4215840053166493</c:v>
                </c:pt>
                <c:pt idx="299">
                  <c:v>1.4317815251686397</c:v>
                </c:pt>
                <c:pt idx="300">
                  <c:v>1.4411353255371464</c:v>
                </c:pt>
                <c:pt idx="301">
                  <c:v>1.447723482777665</c:v>
                </c:pt>
                <c:pt idx="302">
                  <c:v>1.4494628627784005</c:v>
                </c:pt>
                <c:pt idx="303">
                  <c:v>1.4533205706626433</c:v>
                </c:pt>
                <c:pt idx="304">
                  <c:v>1.4554355642580534</c:v>
                </c:pt>
                <c:pt idx="305">
                  <c:v>1.4558210312943243</c:v>
                </c:pt>
                <c:pt idx="306">
                  <c:v>1.4720726276922003</c:v>
                </c:pt>
                <c:pt idx="307">
                  <c:v>1.4764408397925384</c:v>
                </c:pt>
                <c:pt idx="308">
                  <c:v>1.4811710714284498</c:v>
                </c:pt>
                <c:pt idx="309">
                  <c:v>1.4945259452896784</c:v>
                </c:pt>
                <c:pt idx="310">
                  <c:v>1.4967682526625203</c:v>
                </c:pt>
                <c:pt idx="311">
                  <c:v>1.5018088580341957</c:v>
                </c:pt>
                <c:pt idx="312">
                  <c:v>1.5025528316803483</c:v>
                </c:pt>
                <c:pt idx="313">
                  <c:v>1.5071972975603238</c:v>
                </c:pt>
                <c:pt idx="314">
                  <c:v>1.5083097305504736</c:v>
                </c:pt>
                <c:pt idx="315">
                  <c:v>1.5086816497969071</c:v>
                </c:pt>
                <c:pt idx="316">
                  <c:v>1.510162581256089</c:v>
                </c:pt>
                <c:pt idx="317">
                  <c:v>1.510162581256089</c:v>
                </c:pt>
                <c:pt idx="318">
                  <c:v>1.5125681001087796</c:v>
                </c:pt>
                <c:pt idx="319">
                  <c:v>1.5134927301455043</c:v>
                </c:pt>
                <c:pt idx="320">
                  <c:v>1.5228811893062493</c:v>
                </c:pt>
                <c:pt idx="321">
                  <c:v>1.5245320680633563</c:v>
                </c:pt>
                <c:pt idx="322">
                  <c:v>1.527458460589123</c:v>
                </c:pt>
                <c:pt idx="323">
                  <c:v>1.5276426017142066</c:v>
                </c:pt>
                <c:pt idx="324">
                  <c:v>1.5302003114343758</c:v>
                </c:pt>
                <c:pt idx="325">
                  <c:v>1.5325702392126699</c:v>
                </c:pt>
                <c:pt idx="326">
                  <c:v>1.5329350739989913</c:v>
                </c:pt>
                <c:pt idx="327">
                  <c:v>1.5342102643045552</c:v>
                </c:pt>
                <c:pt idx="328">
                  <c:v>1.5347557903180458</c:v>
                </c:pt>
                <c:pt idx="329">
                  <c:v>1.5400193915074092</c:v>
                </c:pt>
                <c:pt idx="330">
                  <c:v>1.5434583857839268</c:v>
                </c:pt>
                <c:pt idx="331">
                  <c:v>1.5434583857839268</c:v>
                </c:pt>
                <c:pt idx="332">
                  <c:v>1.5468899198529582</c:v>
                </c:pt>
                <c:pt idx="333">
                  <c:v>1.5479733961919397</c:v>
                </c:pt>
                <c:pt idx="334">
                  <c:v>1.548331193001103</c:v>
                </c:pt>
                <c:pt idx="335">
                  <c:v>1.5497723206752243</c:v>
                </c:pt>
                <c:pt idx="336">
                  <c:v>1.5503106158406135</c:v>
                </c:pt>
                <c:pt idx="337">
                  <c:v>1.5539042807991961</c:v>
                </c:pt>
                <c:pt idx="338">
                  <c:v>1.5549805211113152</c:v>
                </c:pt>
                <c:pt idx="339">
                  <c:v>1.5590974807260833</c:v>
                </c:pt>
                <c:pt idx="340">
                  <c:v>1.5623112379646298</c:v>
                </c:pt>
                <c:pt idx="341">
                  <c:v>1.5640914625937168</c:v>
                </c:pt>
                <c:pt idx="342">
                  <c:v>1.5648028088892865</c:v>
                </c:pt>
                <c:pt idx="343">
                  <c:v>1.5651601354052758</c:v>
                </c:pt>
                <c:pt idx="344">
                  <c:v>1.5655174508548351</c:v>
                </c:pt>
                <c:pt idx="345">
                  <c:v>1.5656944347691237</c:v>
                </c:pt>
                <c:pt idx="346">
                  <c:v>1.5692468851315269</c:v>
                </c:pt>
                <c:pt idx="347">
                  <c:v>1.5724344358553055</c:v>
                </c:pt>
                <c:pt idx="348">
                  <c:v>1.5740261869382326</c:v>
                </c:pt>
                <c:pt idx="349">
                  <c:v>1.5779094357987271</c:v>
                </c:pt>
                <c:pt idx="350">
                  <c:v>1.5865178721567699</c:v>
                </c:pt>
                <c:pt idx="351">
                  <c:v>1.5901895576400831</c:v>
                </c:pt>
                <c:pt idx="352">
                  <c:v>1.591585204402115</c:v>
                </c:pt>
                <c:pt idx="353">
                  <c:v>1.5943725028365383</c:v>
                </c:pt>
                <c:pt idx="354">
                  <c:v>1.5952448058979816</c:v>
                </c:pt>
                <c:pt idx="355">
                  <c:v>1.5954179241644018</c:v>
                </c:pt>
                <c:pt idx="356">
                  <c:v>1.5969824867121145</c:v>
                </c:pt>
                <c:pt idx="357">
                  <c:v>1.5999310583696009</c:v>
                </c:pt>
                <c:pt idx="358">
                  <c:v>1.6016644312844728</c:v>
                </c:pt>
                <c:pt idx="359">
                  <c:v>1.603739996156204</c:v>
                </c:pt>
                <c:pt idx="360">
                  <c:v>1.6056387956267733</c:v>
                </c:pt>
                <c:pt idx="361">
                  <c:v>1.6078828401887983</c:v>
                </c:pt>
                <c:pt idx="362">
                  <c:v>1.6123523383219975</c:v>
                </c:pt>
                <c:pt idx="363">
                  <c:v>1.6140696409147099</c:v>
                </c:pt>
                <c:pt idx="364">
                  <c:v>1.6140696409147099</c:v>
                </c:pt>
                <c:pt idx="365">
                  <c:v>1.6157832193200559</c:v>
                </c:pt>
                <c:pt idx="366">
                  <c:v>1.6214225025960438</c:v>
                </c:pt>
                <c:pt idx="367">
                  <c:v>1.622102626748988</c:v>
                </c:pt>
                <c:pt idx="368">
                  <c:v>1.628223991861419</c:v>
                </c:pt>
                <c:pt idx="369">
                  <c:v>1.6294104738119299</c:v>
                </c:pt>
                <c:pt idx="370">
                  <c:v>1.6314415734415624</c:v>
                </c:pt>
                <c:pt idx="371">
                  <c:v>1.6336376194969247</c:v>
                </c:pt>
                <c:pt idx="372">
                  <c:v>1.6341442916267066</c:v>
                </c:pt>
                <c:pt idx="373">
                  <c:v>1.6363393989941588</c:v>
                </c:pt>
                <c:pt idx="374">
                  <c:v>1.641382210029898</c:v>
                </c:pt>
                <c:pt idx="375">
                  <c:v>1.6510818925319382</c:v>
                </c:pt>
                <c:pt idx="376">
                  <c:v>1.6535776886185678</c:v>
                </c:pt>
                <c:pt idx="377">
                  <c:v>1.6539110371945587</c:v>
                </c:pt>
                <c:pt idx="378">
                  <c:v>1.656398963903398</c:v>
                </c:pt>
                <c:pt idx="379">
                  <c:v>1.6565672046839675</c:v>
                </c:pt>
                <c:pt idx="380">
                  <c:v>1.6567321415877616</c:v>
                </c:pt>
                <c:pt idx="381">
                  <c:v>1.6654895873286839</c:v>
                </c:pt>
                <c:pt idx="382">
                  <c:v>1.6656542470643569</c:v>
                </c:pt>
                <c:pt idx="383">
                  <c:v>1.6679556381728791</c:v>
                </c:pt>
                <c:pt idx="384">
                  <c:v>1.6697624404858422</c:v>
                </c:pt>
                <c:pt idx="385">
                  <c:v>1.6704204957047786</c:v>
                </c:pt>
                <c:pt idx="386">
                  <c:v>1.6710751750634176</c:v>
                </c:pt>
                <c:pt idx="387">
                  <c:v>1.6733675202308045</c:v>
                </c:pt>
                <c:pt idx="388">
                  <c:v>1.6733675202308045</c:v>
                </c:pt>
                <c:pt idx="389">
                  <c:v>1.6772886707099457</c:v>
                </c:pt>
                <c:pt idx="390">
                  <c:v>1.6871971513460982</c:v>
                </c:pt>
                <c:pt idx="391">
                  <c:v>1.6899437459318254</c:v>
                </c:pt>
                <c:pt idx="392">
                  <c:v>1.690910228644424</c:v>
                </c:pt>
                <c:pt idx="393">
                  <c:v>1.693808422092044</c:v>
                </c:pt>
                <c:pt idx="394">
                  <c:v>1.6995859963519293</c:v>
                </c:pt>
                <c:pt idx="395">
                  <c:v>1.7003869180024493</c:v>
                </c:pt>
                <c:pt idx="396">
                  <c:v>1.7089945445813686</c:v>
                </c:pt>
                <c:pt idx="397">
                  <c:v>1.7124866620750472</c:v>
                </c:pt>
                <c:pt idx="398">
                  <c:v>1.7129592184834175</c:v>
                </c:pt>
                <c:pt idx="399">
                  <c:v>1.7132785698169184</c:v>
                </c:pt>
                <c:pt idx="400">
                  <c:v>1.7156500918410302</c:v>
                </c:pt>
                <c:pt idx="401">
                  <c:v>1.7162818235819741</c:v>
                </c:pt>
                <c:pt idx="402">
                  <c:v>1.7164381126975927</c:v>
                </c:pt>
                <c:pt idx="403">
                  <c:v>1.7173854822556018</c:v>
                </c:pt>
                <c:pt idx="404">
                  <c:v>1.7236758721323602</c:v>
                </c:pt>
                <c:pt idx="405">
                  <c:v>1.725872139848643</c:v>
                </c:pt>
                <c:pt idx="406">
                  <c:v>1.7302478342728751</c:v>
                </c:pt>
                <c:pt idx="407">
                  <c:v>1.7384850997984096</c:v>
                </c:pt>
                <c:pt idx="408">
                  <c:v>1.7387925771325938</c:v>
                </c:pt>
                <c:pt idx="409">
                  <c:v>1.7392585970026653</c:v>
                </c:pt>
                <c:pt idx="410">
                  <c:v>1.7394139232754968</c:v>
                </c:pt>
                <c:pt idx="411">
                  <c:v>1.7395676248238643</c:v>
                </c:pt>
                <c:pt idx="412">
                  <c:v>1.745278902822635</c:v>
                </c:pt>
                <c:pt idx="413">
                  <c:v>1.7454307299535803</c:v>
                </c:pt>
                <c:pt idx="414">
                  <c:v>1.7469712325306943</c:v>
                </c:pt>
                <c:pt idx="415">
                  <c:v>1.7552413971272396</c:v>
                </c:pt>
                <c:pt idx="416">
                  <c:v>1.7567661141856865</c:v>
                </c:pt>
                <c:pt idx="417">
                  <c:v>1.7569174199951327</c:v>
                </c:pt>
                <c:pt idx="418">
                  <c:v>1.7642102940560589</c:v>
                </c:pt>
                <c:pt idx="419">
                  <c:v>1.767837613094221</c:v>
                </c:pt>
                <c:pt idx="420">
                  <c:v>1.7691943635682439</c:v>
                </c:pt>
                <c:pt idx="421">
                  <c:v>1.7697971724619697</c:v>
                </c:pt>
                <c:pt idx="422">
                  <c:v>1.780886034409793</c:v>
                </c:pt>
                <c:pt idx="423">
                  <c:v>1.7817803026747649</c:v>
                </c:pt>
                <c:pt idx="424">
                  <c:v>1.7860928825147984</c:v>
                </c:pt>
                <c:pt idx="425">
                  <c:v>1.7874269913022243</c:v>
                </c:pt>
                <c:pt idx="426">
                  <c:v>1.7892048331683668</c:v>
                </c:pt>
                <c:pt idx="427">
                  <c:v>1.79038785036208</c:v>
                </c:pt>
                <c:pt idx="428">
                  <c:v>1.790978377276752</c:v>
                </c:pt>
                <c:pt idx="429">
                  <c:v>1.790978377276752</c:v>
                </c:pt>
                <c:pt idx="430">
                  <c:v>1.7923085977933315</c:v>
                </c:pt>
                <c:pt idx="431">
                  <c:v>1.7948129752980675</c:v>
                </c:pt>
                <c:pt idx="432">
                  <c:v>1.7968720238053713</c:v>
                </c:pt>
                <c:pt idx="433">
                  <c:v>1.8024392493571937</c:v>
                </c:pt>
                <c:pt idx="434">
                  <c:v>1.803171384347964</c:v>
                </c:pt>
                <c:pt idx="435">
                  <c:v>1.8033171535691122</c:v>
                </c:pt>
                <c:pt idx="436">
                  <c:v>1.8050689301583465</c:v>
                </c:pt>
                <c:pt idx="437">
                  <c:v>1.8073986160916349</c:v>
                </c:pt>
                <c:pt idx="438">
                  <c:v>1.8098684874360074</c:v>
                </c:pt>
                <c:pt idx="439">
                  <c:v>1.8100138872279909</c:v>
                </c:pt>
                <c:pt idx="440">
                  <c:v>1.813055929802375</c:v>
                </c:pt>
                <c:pt idx="441">
                  <c:v>1.8204091513723153</c:v>
                </c:pt>
                <c:pt idx="442">
                  <c:v>1.8209835797162683</c:v>
                </c:pt>
                <c:pt idx="443">
                  <c:v>1.8211283462533099</c:v>
                </c:pt>
                <c:pt idx="444">
                  <c:v>1.8237075515153041</c:v>
                </c:pt>
                <c:pt idx="445">
                  <c:v>1.8282805568597582</c:v>
                </c:pt>
                <c:pt idx="446">
                  <c:v>1.8312722132466099</c:v>
                </c:pt>
                <c:pt idx="447">
                  <c:v>1.8314132371317366</c:v>
                </c:pt>
                <c:pt idx="448">
                  <c:v>1.8339690243322431</c:v>
                </c:pt>
                <c:pt idx="449">
                  <c:v>1.8358089876559469</c:v>
                </c:pt>
                <c:pt idx="450">
                  <c:v>1.8377897188250376</c:v>
                </c:pt>
                <c:pt idx="451">
                  <c:v>1.8383537715932521</c:v>
                </c:pt>
                <c:pt idx="452">
                  <c:v>1.8393409254589417</c:v>
                </c:pt>
                <c:pt idx="453">
                  <c:v>1.8400466703893537</c:v>
                </c:pt>
                <c:pt idx="454">
                  <c:v>1.8407522000475611</c:v>
                </c:pt>
                <c:pt idx="455">
                  <c:v>1.8438464804817247</c:v>
                </c:pt>
                <c:pt idx="456">
                  <c:v>1.8441270045922615</c:v>
                </c:pt>
                <c:pt idx="457">
                  <c:v>1.8474905902319272</c:v>
                </c:pt>
                <c:pt idx="458">
                  <c:v>1.8504233904851064</c:v>
                </c:pt>
                <c:pt idx="459">
                  <c:v>1.8518169047508743</c:v>
                </c:pt>
                <c:pt idx="460">
                  <c:v>1.8529301529746829</c:v>
                </c:pt>
                <c:pt idx="461">
                  <c:v>1.8543205339806379</c:v>
                </c:pt>
                <c:pt idx="462">
                  <c:v>1.8557100327726748</c:v>
                </c:pt>
                <c:pt idx="463">
                  <c:v>1.8570955472114477</c:v>
                </c:pt>
                <c:pt idx="464">
                  <c:v>1.8591721577722846</c:v>
                </c:pt>
                <c:pt idx="465">
                  <c:v>1.8642753713979483</c:v>
                </c:pt>
                <c:pt idx="466">
                  <c:v>1.8681166697558773</c:v>
                </c:pt>
                <c:pt idx="467">
                  <c:v>1.8693493214752057</c:v>
                </c:pt>
                <c:pt idx="468">
                  <c:v>1.8697605557542907</c:v>
                </c:pt>
                <c:pt idx="469">
                  <c:v>1.8716739494661847</c:v>
                </c:pt>
                <c:pt idx="470">
                  <c:v>1.8837452073317498</c:v>
                </c:pt>
                <c:pt idx="471">
                  <c:v>1.8852266194763903</c:v>
                </c:pt>
                <c:pt idx="472">
                  <c:v>1.8854955686185551</c:v>
                </c:pt>
                <c:pt idx="473">
                  <c:v>1.8896564664327118</c:v>
                </c:pt>
                <c:pt idx="474">
                  <c:v>1.8931327321949274</c:v>
                </c:pt>
                <c:pt idx="475">
                  <c:v>1.89379922898343</c:v>
                </c:pt>
                <c:pt idx="476">
                  <c:v>1.8940669788556785</c:v>
                </c:pt>
                <c:pt idx="477">
                  <c:v>1.8956650799369619</c:v>
                </c:pt>
                <c:pt idx="478">
                  <c:v>1.9000463824636915</c:v>
                </c:pt>
                <c:pt idx="479">
                  <c:v>1.9013696652646457</c:v>
                </c:pt>
                <c:pt idx="480">
                  <c:v>1.9021634808199739</c:v>
                </c:pt>
                <c:pt idx="481">
                  <c:v>1.9028237217452861</c:v>
                </c:pt>
                <c:pt idx="482">
                  <c:v>1.9050661495807815</c:v>
                </c:pt>
                <c:pt idx="483">
                  <c:v>1.9103208460617067</c:v>
                </c:pt>
                <c:pt idx="484">
                  <c:v>1.9109750910743666</c:v>
                </c:pt>
                <c:pt idx="485">
                  <c:v>1.9126743954760512</c:v>
                </c:pt>
                <c:pt idx="486">
                  <c:v>1.9130658472039894</c:v>
                </c:pt>
                <c:pt idx="487">
                  <c:v>1.9130658472039894</c:v>
                </c:pt>
                <c:pt idx="488">
                  <c:v>1.9185339889443482</c:v>
                </c:pt>
                <c:pt idx="489">
                  <c:v>1.9230646105629754</c:v>
                </c:pt>
                <c:pt idx="490">
                  <c:v>1.9256444981214671</c:v>
                </c:pt>
                <c:pt idx="491">
                  <c:v>1.9296269267000792</c:v>
                </c:pt>
                <c:pt idx="492">
                  <c:v>1.9318021783317736</c:v>
                </c:pt>
                <c:pt idx="493">
                  <c:v>1.9376639161054829</c:v>
                </c:pt>
                <c:pt idx="494">
                  <c:v>1.9407052844356387</c:v>
                </c:pt>
                <c:pt idx="495">
                  <c:v>1.9453775062551864</c:v>
                </c:pt>
                <c:pt idx="496">
                  <c:v>1.9461302668979326</c:v>
                </c:pt>
                <c:pt idx="497">
                  <c:v>1.9493939145134864</c:v>
                </c:pt>
                <c:pt idx="498">
                  <c:v>1.9493939145134864</c:v>
                </c:pt>
                <c:pt idx="499">
                  <c:v>1.957497840484423</c:v>
                </c:pt>
                <c:pt idx="500">
                  <c:v>1.9577468192363199</c:v>
                </c:pt>
                <c:pt idx="501">
                  <c:v>1.9599769855267539</c:v>
                </c:pt>
                <c:pt idx="502">
                  <c:v>1.9614589815308685</c:v>
                </c:pt>
                <c:pt idx="503">
                  <c:v>1.9635551981533814</c:v>
                </c:pt>
                <c:pt idx="504">
                  <c:v>1.9651559933866394</c:v>
                </c:pt>
                <c:pt idx="505">
                  <c:v>1.9690805191492022</c:v>
                </c:pt>
                <c:pt idx="506">
                  <c:v>1.971889630846684</c:v>
                </c:pt>
                <c:pt idx="507">
                  <c:v>1.9738375025058346</c:v>
                </c:pt>
                <c:pt idx="508">
                  <c:v>1.9767513746257777</c:v>
                </c:pt>
                <c:pt idx="509">
                  <c:v>1.9803801193277986</c:v>
                </c:pt>
                <c:pt idx="510">
                  <c:v>1.9805012017969261</c:v>
                </c:pt>
                <c:pt idx="511">
                  <c:v>1.9811035726707629</c:v>
                </c:pt>
                <c:pt idx="512">
                  <c:v>1.9885434507750754</c:v>
                </c:pt>
                <c:pt idx="513">
                  <c:v>1.9889016190021878</c:v>
                </c:pt>
                <c:pt idx="514">
                  <c:v>1.9891393895756364</c:v>
                </c:pt>
                <c:pt idx="515">
                  <c:v>1.9925922835266663</c:v>
                </c:pt>
                <c:pt idx="516">
                  <c:v>1.9952024000460082</c:v>
                </c:pt>
                <c:pt idx="517">
                  <c:v>1.9966229959595339</c:v>
                </c:pt>
                <c:pt idx="518">
                  <c:v>1.9986294068491226</c:v>
                </c:pt>
                <c:pt idx="519">
                  <c:v>2.0015707430212961</c:v>
                </c:pt>
                <c:pt idx="520">
                  <c:v>2.0028624444092071</c:v>
                </c:pt>
                <c:pt idx="521">
                  <c:v>2.0036813049017432</c:v>
                </c:pt>
                <c:pt idx="522">
                  <c:v>2.0043835717696474</c:v>
                </c:pt>
                <c:pt idx="523">
                  <c:v>2.0048520039104458</c:v>
                </c:pt>
                <c:pt idx="524">
                  <c:v>2.0053202615639569</c:v>
                </c:pt>
                <c:pt idx="525">
                  <c:v>2.0082362051100735</c:v>
                </c:pt>
                <c:pt idx="526">
                  <c:v>2.0100960638382857</c:v>
                </c:pt>
                <c:pt idx="527">
                  <c:v>2.0107933172317072</c:v>
                </c:pt>
                <c:pt idx="528">
                  <c:v>2.0112565256715418</c:v>
                </c:pt>
                <c:pt idx="529">
                  <c:v>2.0122991603934368</c:v>
                </c:pt>
                <c:pt idx="530">
                  <c:v>2.0141500705317554</c:v>
                </c:pt>
                <c:pt idx="531">
                  <c:v>2.0147271132064724</c:v>
                </c:pt>
                <c:pt idx="532">
                  <c:v>2.0166878426080457</c:v>
                </c:pt>
                <c:pt idx="533">
                  <c:v>2.0174919684281494</c:v>
                </c:pt>
                <c:pt idx="534">
                  <c:v>2.0195600401983191</c:v>
                </c:pt>
                <c:pt idx="535">
                  <c:v>2.0213928330957454</c:v>
                </c:pt>
                <c:pt idx="536">
                  <c:v>2.0267490939776578</c:v>
                </c:pt>
                <c:pt idx="537">
                  <c:v>2.0270880798446345</c:v>
                </c:pt>
                <c:pt idx="538">
                  <c:v>2.0315024389943064</c:v>
                </c:pt>
                <c:pt idx="539">
                  <c:v>2.0344294341604527</c:v>
                </c:pt>
                <c:pt idx="540">
                  <c:v>2.0346529998610259</c:v>
                </c:pt>
                <c:pt idx="541">
                  <c:v>2.0352158572086259</c:v>
                </c:pt>
                <c:pt idx="542">
                  <c:v>2.0380148972370482</c:v>
                </c:pt>
                <c:pt idx="543">
                  <c:v>2.0393568171421501</c:v>
                </c:pt>
                <c:pt idx="544">
                  <c:v>2.0395793963437954</c:v>
                </c:pt>
                <c:pt idx="545">
                  <c:v>2.0413611551743647</c:v>
                </c:pt>
                <c:pt idx="546">
                  <c:v>2.0461292963425781</c:v>
                </c:pt>
                <c:pt idx="547">
                  <c:v>2.0466808462227188</c:v>
                </c:pt>
                <c:pt idx="548">
                  <c:v>2.0471229736915193</c:v>
                </c:pt>
                <c:pt idx="549">
                  <c:v>2.0488869348525474</c:v>
                </c:pt>
                <c:pt idx="550">
                  <c:v>2.0509742796140773</c:v>
                </c:pt>
                <c:pt idx="551">
                  <c:v>2.0515233262425041</c:v>
                </c:pt>
                <c:pt idx="552">
                  <c:v>2.051960727977713</c:v>
                </c:pt>
                <c:pt idx="553">
                  <c:v>2.0545867343730349</c:v>
                </c:pt>
                <c:pt idx="554">
                  <c:v>2.0567655227152901</c:v>
                </c:pt>
                <c:pt idx="555">
                  <c:v>2.058397279421218</c:v>
                </c:pt>
                <c:pt idx="556">
                  <c:v>2.0601315506303459</c:v>
                </c:pt>
                <c:pt idx="557">
                  <c:v>2.0622932288085485</c:v>
                </c:pt>
                <c:pt idx="558">
                  <c:v>2.0630485927900533</c:v>
                </c:pt>
                <c:pt idx="559">
                  <c:v>2.0640181765294909</c:v>
                </c:pt>
                <c:pt idx="560">
                  <c:v>2.064447609812694</c:v>
                </c:pt>
                <c:pt idx="561">
                  <c:v>2.0658446765175289</c:v>
                </c:pt>
                <c:pt idx="562">
                  <c:v>2.0660590242547348</c:v>
                </c:pt>
                <c:pt idx="563">
                  <c:v>2.0663817984624098</c:v>
                </c:pt>
                <c:pt idx="564">
                  <c:v>2.0721484711446378</c:v>
                </c:pt>
                <c:pt idx="565">
                  <c:v>2.0725743825200218</c:v>
                </c:pt>
                <c:pt idx="566">
                  <c:v>2.0745895961315841</c:v>
                </c:pt>
                <c:pt idx="567">
                  <c:v>2.0760704023642647</c:v>
                </c:pt>
                <c:pt idx="568">
                  <c:v>2.0764945846270844</c:v>
                </c:pt>
                <c:pt idx="569">
                  <c:v>2.0778652595527216</c:v>
                </c:pt>
                <c:pt idx="570">
                  <c:v>2.0805993628170389</c:v>
                </c:pt>
                <c:pt idx="571">
                  <c:v>2.0808104668429794</c:v>
                </c:pt>
                <c:pt idx="572">
                  <c:v>2.0838450958279569</c:v>
                </c:pt>
                <c:pt idx="573">
                  <c:v>2.0875930338668764</c:v>
                </c:pt>
                <c:pt idx="574">
                  <c:v>2.0876977982379472</c:v>
                </c:pt>
                <c:pt idx="575">
                  <c:v>2.0883182806206277</c:v>
                </c:pt>
                <c:pt idx="576">
                  <c:v>2.0909055983154121</c:v>
                </c:pt>
                <c:pt idx="577">
                  <c:v>2.091628200798322</c:v>
                </c:pt>
                <c:pt idx="578">
                  <c:v>2.092761802219715</c:v>
                </c:pt>
                <c:pt idx="579">
                  <c:v>2.0971730052618294</c:v>
                </c:pt>
                <c:pt idx="580">
                  <c:v>2.1012475600831837</c:v>
                </c:pt>
                <c:pt idx="581">
                  <c:v>2.105092464788807</c:v>
                </c:pt>
                <c:pt idx="582">
                  <c:v>2.1089149569301111</c:v>
                </c:pt>
                <c:pt idx="583">
                  <c:v>2.1094158188851511</c:v>
                </c:pt>
                <c:pt idx="584">
                  <c:v>2.1105161482384287</c:v>
                </c:pt>
                <c:pt idx="585">
                  <c:v>2.1127111699598089</c:v>
                </c:pt>
                <c:pt idx="586">
                  <c:v>2.1146998533642223</c:v>
                </c:pt>
                <c:pt idx="587">
                  <c:v>2.1191500840060153</c:v>
                </c:pt>
                <c:pt idx="588">
                  <c:v>2.1192485314475316</c:v>
                </c:pt>
                <c:pt idx="589">
                  <c:v>2.1199373248511972</c:v>
                </c:pt>
                <c:pt idx="590">
                  <c:v>2.1211167330008762</c:v>
                </c:pt>
                <c:pt idx="591">
                  <c:v>2.1239547315158247</c:v>
                </c:pt>
                <c:pt idx="592">
                  <c:v>2.124541667114821</c:v>
                </c:pt>
                <c:pt idx="593">
                  <c:v>2.127267387182465</c:v>
                </c:pt>
                <c:pt idx="594">
                  <c:v>2.127267387182465</c:v>
                </c:pt>
                <c:pt idx="595">
                  <c:v>2.129109136379959</c:v>
                </c:pt>
                <c:pt idx="596">
                  <c:v>2.1345979949535256</c:v>
                </c:pt>
                <c:pt idx="597">
                  <c:v>2.1361282377992494</c:v>
                </c:pt>
                <c:pt idx="598">
                  <c:v>2.1361282377992494</c:v>
                </c:pt>
                <c:pt idx="599">
                  <c:v>2.1362245455362689</c:v>
                </c:pt>
                <c:pt idx="600">
                  <c:v>2.1402225864650273</c:v>
                </c:pt>
                <c:pt idx="601">
                  <c:v>2.1406019287890112</c:v>
                </c:pt>
                <c:pt idx="602">
                  <c:v>2.1430597889719025</c:v>
                </c:pt>
                <c:pt idx="603">
                  <c:v>2.1448507414055373</c:v>
                </c:pt>
                <c:pt idx="604">
                  <c:v>2.1462586130993437</c:v>
                </c:pt>
                <c:pt idx="605">
                  <c:v>2.1463523724824327</c:v>
                </c:pt>
                <c:pt idx="606">
                  <c:v>2.1478508413375077</c:v>
                </c:pt>
                <c:pt idx="607">
                  <c:v>2.1493437150225962</c:v>
                </c:pt>
                <c:pt idx="608">
                  <c:v>2.1495304046708621</c:v>
                </c:pt>
                <c:pt idx="609">
                  <c:v>2.1495304046708621</c:v>
                </c:pt>
                <c:pt idx="610">
                  <c:v>2.1495304046708621</c:v>
                </c:pt>
                <c:pt idx="611">
                  <c:v>2.1509265730851057</c:v>
                </c:pt>
                <c:pt idx="612">
                  <c:v>2.1521340060576817</c:v>
                </c:pt>
                <c:pt idx="613">
                  <c:v>2.152503430501024</c:v>
                </c:pt>
                <c:pt idx="614">
                  <c:v>2.1529667430362642</c:v>
                </c:pt>
                <c:pt idx="615">
                  <c:v>2.1545389582797014</c:v>
                </c:pt>
                <c:pt idx="616">
                  <c:v>2.1561051745605186</c:v>
                </c:pt>
                <c:pt idx="617">
                  <c:v>2.1562900463292052</c:v>
                </c:pt>
                <c:pt idx="618">
                  <c:v>2.1577600240226973</c:v>
                </c:pt>
                <c:pt idx="619">
                  <c:v>2.1578510432441798</c:v>
                </c:pt>
                <c:pt idx="620">
                  <c:v>2.1580342420910186</c:v>
                </c:pt>
                <c:pt idx="621">
                  <c:v>2.1590415438703885</c:v>
                </c:pt>
                <c:pt idx="622">
                  <c:v>2.1601392398074828</c:v>
                </c:pt>
                <c:pt idx="623">
                  <c:v>2.1615055513189714</c:v>
                </c:pt>
                <c:pt idx="624">
                  <c:v>2.1622340551798369</c:v>
                </c:pt>
                <c:pt idx="625">
                  <c:v>2.1628690557378967</c:v>
                </c:pt>
                <c:pt idx="626">
                  <c:v>2.1644111963576447</c:v>
                </c:pt>
                <c:pt idx="627">
                  <c:v>2.1651353077383004</c:v>
                </c:pt>
                <c:pt idx="628">
                  <c:v>2.1660372479875325</c:v>
                </c:pt>
                <c:pt idx="629">
                  <c:v>2.1669391189375271</c:v>
                </c:pt>
                <c:pt idx="630">
                  <c:v>2.1681086125585751</c:v>
                </c:pt>
                <c:pt idx="631">
                  <c:v>2.1684681206120877</c:v>
                </c:pt>
                <c:pt idx="632">
                  <c:v>2.1704388792563063</c:v>
                </c:pt>
                <c:pt idx="633">
                  <c:v>2.1707066675571056</c:v>
                </c:pt>
                <c:pt idx="634">
                  <c:v>2.1734695361039895</c:v>
                </c:pt>
                <c:pt idx="635">
                  <c:v>2.1746235750623009</c:v>
                </c:pt>
                <c:pt idx="636">
                  <c:v>2.1747122590220016</c:v>
                </c:pt>
                <c:pt idx="637">
                  <c:v>2.1762167901608898</c:v>
                </c:pt>
                <c:pt idx="638">
                  <c:v>2.1776282555363258</c:v>
                </c:pt>
                <c:pt idx="639">
                  <c:v>2.1792994441807227</c:v>
                </c:pt>
                <c:pt idx="640">
                  <c:v>2.1796491074318891</c:v>
                </c:pt>
                <c:pt idx="641">
                  <c:v>2.1808771219776162</c:v>
                </c:pt>
                <c:pt idx="642">
                  <c:v>2.1812258770696826</c:v>
                </c:pt>
                <c:pt idx="643">
                  <c:v>2.1814890422077671</c:v>
                </c:pt>
                <c:pt idx="644">
                  <c:v>2.182012721975402</c:v>
                </c:pt>
                <c:pt idx="645">
                  <c:v>2.1836672664288419</c:v>
                </c:pt>
                <c:pt idx="646">
                  <c:v>2.1837546445608291</c:v>
                </c:pt>
                <c:pt idx="647">
                  <c:v>2.184015552986144</c:v>
                </c:pt>
                <c:pt idx="648">
                  <c:v>2.1904862164578351</c:v>
                </c:pt>
                <c:pt idx="649">
                  <c:v>2.1917701625349957</c:v>
                </c:pt>
                <c:pt idx="650">
                  <c:v>2.1932209229335866</c:v>
                </c:pt>
                <c:pt idx="651">
                  <c:v>2.1961912425845607</c:v>
                </c:pt>
                <c:pt idx="652">
                  <c:v>2.1981332231583171</c:v>
                </c:pt>
                <c:pt idx="653">
                  <c:v>2.1997297763157029</c:v>
                </c:pt>
                <c:pt idx="654">
                  <c:v>2.2053984907736761</c:v>
                </c:pt>
                <c:pt idx="655">
                  <c:v>2.2091082847951733</c:v>
                </c:pt>
                <c:pt idx="656">
                  <c:v>2.2100105434340214</c:v>
                </c:pt>
                <c:pt idx="657">
                  <c:v>2.2104205431539636</c:v>
                </c:pt>
                <c:pt idx="658">
                  <c:v>2.2122975662827336</c:v>
                </c:pt>
                <c:pt idx="659">
                  <c:v>2.2127057548562048</c:v>
                </c:pt>
                <c:pt idx="660">
                  <c:v>2.2152207991851576</c:v>
                </c:pt>
                <c:pt idx="661">
                  <c:v>2.2158674041779132</c:v>
                </c:pt>
                <c:pt idx="662">
                  <c:v>2.2168346751397485</c:v>
                </c:pt>
                <c:pt idx="663">
                  <c:v>2.2179609822904696</c:v>
                </c:pt>
                <c:pt idx="664">
                  <c:v>2.2182027741093209</c:v>
                </c:pt>
                <c:pt idx="665">
                  <c:v>2.2186040615976466</c:v>
                </c:pt>
                <c:pt idx="666">
                  <c:v>2.219564967124906</c:v>
                </c:pt>
                <c:pt idx="667">
                  <c:v>2.2203650117105664</c:v>
                </c:pt>
                <c:pt idx="668">
                  <c:v>2.2213224902544</c:v>
                </c:pt>
                <c:pt idx="669">
                  <c:v>2.2214018382572838</c:v>
                </c:pt>
                <c:pt idx="670">
                  <c:v>2.2221175313463482</c:v>
                </c:pt>
                <c:pt idx="671">
                  <c:v>2.2225947890768527</c:v>
                </c:pt>
                <c:pt idx="672">
                  <c:v>2.2242582976077148</c:v>
                </c:pt>
                <c:pt idx="673">
                  <c:v>2.2281921836978134</c:v>
                </c:pt>
                <c:pt idx="674">
                  <c:v>2.232164680017255</c:v>
                </c:pt>
                <c:pt idx="675">
                  <c:v>2.2331697427161847</c:v>
                </c:pt>
                <c:pt idx="676">
                  <c:v>2.2334018491554866</c:v>
                </c:pt>
                <c:pt idx="677">
                  <c:v>2.2344041919497712</c:v>
                </c:pt>
                <c:pt idx="678">
                  <c:v>2.2360178857690336</c:v>
                </c:pt>
                <c:pt idx="679">
                  <c:v>2.2371657999207621</c:v>
                </c:pt>
                <c:pt idx="680">
                  <c:v>2.2391484590993898</c:v>
                </c:pt>
                <c:pt idx="681">
                  <c:v>2.2402872701950303</c:v>
                </c:pt>
                <c:pt idx="682">
                  <c:v>2.2405136488806137</c:v>
                </c:pt>
                <c:pt idx="683">
                  <c:v>2.2408930842975447</c:v>
                </c:pt>
                <c:pt idx="684">
                  <c:v>2.243305876490354</c:v>
                </c:pt>
                <c:pt idx="685">
                  <c:v>2.2435317043447971</c:v>
                </c:pt>
                <c:pt idx="686">
                  <c:v>2.2439809622940809</c:v>
                </c:pt>
                <c:pt idx="687">
                  <c:v>2.2451793905217929</c:v>
                </c:pt>
                <c:pt idx="688">
                  <c:v>2.2456279312504743</c:v>
                </c:pt>
                <c:pt idx="689">
                  <c:v>2.2474902167367437</c:v>
                </c:pt>
                <c:pt idx="690">
                  <c:v>2.2477866482718336</c:v>
                </c:pt>
                <c:pt idx="691">
                  <c:v>2.2488240148337075</c:v>
                </c:pt>
                <c:pt idx="692">
                  <c:v>2.2497843192818214</c:v>
                </c:pt>
                <c:pt idx="693">
                  <c:v>2.2508899753531009</c:v>
                </c:pt>
                <c:pt idx="694">
                  <c:v>2.255201337750905</c:v>
                </c:pt>
                <c:pt idx="695">
                  <c:v>2.2560723465530645</c:v>
                </c:pt>
                <c:pt idx="696">
                  <c:v>2.2589572939062132</c:v>
                </c:pt>
                <c:pt idx="697">
                  <c:v>2.2600319535043063</c:v>
                </c:pt>
                <c:pt idx="698">
                  <c:v>2.2628818012273362</c:v>
                </c:pt>
                <c:pt idx="699">
                  <c:v>2.2671801260604729</c:v>
                </c:pt>
                <c:pt idx="700">
                  <c:v>2.2685769407908092</c:v>
                </c:pt>
                <c:pt idx="701">
                  <c:v>2.2694120835367104</c:v>
                </c:pt>
                <c:pt idx="702">
                  <c:v>2.2694120835367104</c:v>
                </c:pt>
                <c:pt idx="703">
                  <c:v>2.2705219785943833</c:v>
                </c:pt>
                <c:pt idx="704">
                  <c:v>2.2714211303119822</c:v>
                </c:pt>
                <c:pt idx="705">
                  <c:v>2.2714896169124006</c:v>
                </c:pt>
                <c:pt idx="706">
                  <c:v>2.2742390427189378</c:v>
                </c:pt>
                <c:pt idx="707">
                  <c:v>2.2743749137931251</c:v>
                </c:pt>
                <c:pt idx="708">
                  <c:v>2.2751269079225094</c:v>
                </c:pt>
                <c:pt idx="709">
                  <c:v>2.2768939712319725</c:v>
                </c:pt>
                <c:pt idx="710">
                  <c:v>2.2768939712319725</c:v>
                </c:pt>
                <c:pt idx="711">
                  <c:v>2.2775040409500424</c:v>
                </c:pt>
                <c:pt idx="712">
                  <c:v>2.2780439597004603</c:v>
                </c:pt>
                <c:pt idx="713">
                  <c:v>2.279056093804138</c:v>
                </c:pt>
                <c:pt idx="714">
                  <c:v>2.2808001414484242</c:v>
                </c:pt>
                <c:pt idx="715">
                  <c:v>2.284851300420776</c:v>
                </c:pt>
                <c:pt idx="716">
                  <c:v>2.2849171309479055</c:v>
                </c:pt>
                <c:pt idx="717">
                  <c:v>2.286298292253182</c:v>
                </c:pt>
                <c:pt idx="718">
                  <c:v>2.2872163708662558</c:v>
                </c:pt>
                <c:pt idx="719">
                  <c:v>2.2875429668282101</c:v>
                </c:pt>
                <c:pt idx="720">
                  <c:v>2.2879344376674795</c:v>
                </c:pt>
                <c:pt idx="721">
                  <c:v>2.288715924182346</c:v>
                </c:pt>
                <c:pt idx="722">
                  <c:v>2.2914984973979595</c:v>
                </c:pt>
                <c:pt idx="723">
                  <c:v>2.2916909286059943</c:v>
                </c:pt>
                <c:pt idx="724">
                  <c:v>2.2935499051769765</c:v>
                </c:pt>
                <c:pt idx="725">
                  <c:v>2.2938689936698302</c:v>
                </c:pt>
                <c:pt idx="726">
                  <c:v>2.295141968505042</c:v>
                </c:pt>
                <c:pt idx="727">
                  <c:v>2.2981728993723838</c:v>
                </c:pt>
                <c:pt idx="728">
                  <c:v>2.2987991007594903</c:v>
                </c:pt>
                <c:pt idx="729">
                  <c:v>2.2988619958850647</c:v>
                </c:pt>
                <c:pt idx="730">
                  <c:v>2.3009810102743988</c:v>
                </c:pt>
                <c:pt idx="731">
                  <c:v>2.3037581884212721</c:v>
                </c:pt>
                <c:pt idx="732">
                  <c:v>2.3044937803034888</c:v>
                </c:pt>
                <c:pt idx="733">
                  <c:v>2.3064440781923996</c:v>
                </c:pt>
                <c:pt idx="734">
                  <c:v>2.3070503710569659</c:v>
                </c:pt>
                <c:pt idx="735">
                  <c:v>2.3076553027934934</c:v>
                </c:pt>
                <c:pt idx="736">
                  <c:v>2.3081372536776317</c:v>
                </c:pt>
                <c:pt idx="737">
                  <c:v>2.3119049164601515</c:v>
                </c:pt>
                <c:pt idx="738">
                  <c:v>2.3120830575180755</c:v>
                </c:pt>
                <c:pt idx="739">
                  <c:v>2.3124971333301052</c:v>
                </c:pt>
                <c:pt idx="740">
                  <c:v>2.3130879863452143</c:v>
                </c:pt>
                <c:pt idx="741">
                  <c:v>2.3143827268114019</c:v>
                </c:pt>
                <c:pt idx="742">
                  <c:v>2.3147930784682993</c:v>
                </c:pt>
                <c:pt idx="743">
                  <c:v>2.3150267945943019</c:v>
                </c:pt>
                <c:pt idx="744">
                  <c:v>2.3164261518751585</c:v>
                </c:pt>
                <c:pt idx="745">
                  <c:v>2.3169490859801973</c:v>
                </c:pt>
                <c:pt idx="746">
                  <c:v>2.3172965493873119</c:v>
                </c:pt>
                <c:pt idx="747">
                  <c:v>2.3187973516180715</c:v>
                </c:pt>
                <c:pt idx="748">
                  <c:v>2.3190272984827129</c:v>
                </c:pt>
                <c:pt idx="749">
                  <c:v>2.3193144241305648</c:v>
                </c:pt>
                <c:pt idx="750">
                  <c:v>2.3198876484668425</c:v>
                </c:pt>
                <c:pt idx="751">
                  <c:v>2.3203452414557648</c:v>
                </c:pt>
                <c:pt idx="752">
                  <c:v>2.3205158083619168</c:v>
                </c:pt>
                <c:pt idx="753">
                  <c:v>2.3225602421266025</c:v>
                </c:pt>
                <c:pt idx="754">
                  <c:v>2.3226168447878273</c:v>
                </c:pt>
                <c:pt idx="755">
                  <c:v>2.3226734336955119</c:v>
                </c:pt>
                <c:pt idx="756">
                  <c:v>2.323068375285199</c:v>
                </c:pt>
                <c:pt idx="757">
                  <c:v>2.3249762010176829</c:v>
                </c:pt>
                <c:pt idx="758">
                  <c:v>2.3258683733076175</c:v>
                </c:pt>
                <c:pt idx="759">
                  <c:v>2.3273644218942757</c:v>
                </c:pt>
                <c:pt idx="760">
                  <c:v>2.3277505074793075</c:v>
                </c:pt>
                <c:pt idx="761">
                  <c:v>2.3297241243232696</c:v>
                </c:pt>
                <c:pt idx="762">
                  <c:v>2.3298329900311714</c:v>
                </c:pt>
                <c:pt idx="763">
                  <c:v>2.3322721673296605</c:v>
                </c:pt>
                <c:pt idx="764">
                  <c:v>2.3330240308948547</c:v>
                </c:pt>
                <c:pt idx="765">
                  <c:v>2.3345732603914673</c:v>
                </c:pt>
                <c:pt idx="766">
                  <c:v>2.3360569522209427</c:v>
                </c:pt>
                <c:pt idx="767">
                  <c:v>2.3361101425538791</c:v>
                </c:pt>
                <c:pt idx="768">
                  <c:v>2.3364783441224084</c:v>
                </c:pt>
                <c:pt idx="769">
                  <c:v>2.3379993326470747</c:v>
                </c:pt>
                <c:pt idx="770">
                  <c:v>2.3388330683391767</c:v>
                </c:pt>
                <c:pt idx="771">
                  <c:v>2.3390413188547341</c:v>
                </c:pt>
                <c:pt idx="772">
                  <c:v>2.3392486101815697</c:v>
                </c:pt>
                <c:pt idx="773">
                  <c:v>2.3394041182323608</c:v>
                </c:pt>
                <c:pt idx="774">
                  <c:v>2.3410035088815797</c:v>
                </c:pt>
                <c:pt idx="775">
                  <c:v>2.3417203544547047</c:v>
                </c:pt>
                <c:pt idx="776">
                  <c:v>2.3429435554803466</c:v>
                </c:pt>
                <c:pt idx="777">
                  <c:v>2.3431972053228276</c:v>
                </c:pt>
                <c:pt idx="778">
                  <c:v>2.3439560802069055</c:v>
                </c:pt>
                <c:pt idx="779">
                  <c:v>2.3440064173646369</c:v>
                </c:pt>
                <c:pt idx="780">
                  <c:v>2.3460626447674837</c:v>
                </c:pt>
                <c:pt idx="781">
                  <c:v>2.3472056829001602</c:v>
                </c:pt>
                <c:pt idx="782">
                  <c:v>2.3472551216821724</c:v>
                </c:pt>
                <c:pt idx="783">
                  <c:v>2.3482416951991456</c:v>
                </c:pt>
                <c:pt idx="784">
                  <c:v>2.3488795401761258</c:v>
                </c:pt>
                <c:pt idx="785">
                  <c:v>2.3498569631265829</c:v>
                </c:pt>
                <c:pt idx="786">
                  <c:v>2.3500516421315867</c:v>
                </c:pt>
                <c:pt idx="787">
                  <c:v>2.3512626635397589</c:v>
                </c:pt>
                <c:pt idx="788">
                  <c:v>2.3527510747376503</c:v>
                </c:pt>
                <c:pt idx="789">
                  <c:v>2.3538469102373223</c:v>
                </c:pt>
                <c:pt idx="790">
                  <c:v>2.3540837785282429</c:v>
                </c:pt>
                <c:pt idx="791">
                  <c:v>2.3545098086017511</c:v>
                </c:pt>
                <c:pt idx="792">
                  <c:v>2.3562474842811825</c:v>
                </c:pt>
                <c:pt idx="793">
                  <c:v>2.3567598059518788</c:v>
                </c:pt>
                <c:pt idx="794">
                  <c:v>2.3571321340165077</c:v>
                </c:pt>
                <c:pt idx="795">
                  <c:v>2.3571780302923226</c:v>
                </c:pt>
                <c:pt idx="796">
                  <c:v>2.3575486912854595</c:v>
                </c:pt>
                <c:pt idx="797">
                  <c:v>2.3591137310493138</c:v>
                </c:pt>
                <c:pt idx="798">
                  <c:v>2.3597532853381087</c:v>
                </c:pt>
                <c:pt idx="799">
                  <c:v>2.3630398514941788</c:v>
                </c:pt>
                <c:pt idx="800">
                  <c:v>2.3634394685764737</c:v>
                </c:pt>
                <c:pt idx="801">
                  <c:v>2.363528048196113</c:v>
                </c:pt>
                <c:pt idx="802">
                  <c:v>2.3640589905620351</c:v>
                </c:pt>
                <c:pt idx="803">
                  <c:v>2.3650694837218063</c:v>
                </c:pt>
                <c:pt idx="804">
                  <c:v>2.3665071925030912</c:v>
                </c:pt>
                <c:pt idx="805">
                  <c:v>2.3670683286934504</c:v>
                </c:pt>
                <c:pt idx="806">
                  <c:v>2.3671973916380193</c:v>
                </c:pt>
                <c:pt idx="807">
                  <c:v>2.3677562450784886</c:v>
                </c:pt>
                <c:pt idx="808">
                  <c:v>2.3690357526076613</c:v>
                </c:pt>
                <c:pt idx="809">
                  <c:v>2.3691635000995062</c:v>
                </c:pt>
                <c:pt idx="810">
                  <c:v>2.369290510395663</c:v>
                </c:pt>
                <c:pt idx="811">
                  <c:v>2.3697547339655936</c:v>
                </c:pt>
                <c:pt idx="812">
                  <c:v>2.3714718346540447</c:v>
                </c:pt>
                <c:pt idx="813">
                  <c:v>2.3723004090703861</c:v>
                </c:pt>
                <c:pt idx="814">
                  <c:v>2.3724653328418395</c:v>
                </c:pt>
                <c:pt idx="815">
                  <c:v>2.372589027381701</c:v>
                </c:pt>
                <c:pt idx="816">
                  <c:v>2.3732458110741432</c:v>
                </c:pt>
                <c:pt idx="817">
                  <c:v>2.3733273616634851</c:v>
                </c:pt>
                <c:pt idx="818">
                  <c:v>2.3733273616634851</c:v>
                </c:pt>
                <c:pt idx="819">
                  <c:v>2.3733687066442526</c:v>
                </c:pt>
                <c:pt idx="820">
                  <c:v>2.373532174271145</c:v>
                </c:pt>
                <c:pt idx="821">
                  <c:v>2.3736541860579718</c:v>
                </c:pt>
                <c:pt idx="822">
                  <c:v>2.3738990098693589</c:v>
                </c:pt>
                <c:pt idx="823">
                  <c:v>2.3743051443568444</c:v>
                </c:pt>
                <c:pt idx="824">
                  <c:v>2.3743859690527018</c:v>
                </c:pt>
                <c:pt idx="825">
                  <c:v>2.375234170948028</c:v>
                </c:pt>
                <c:pt idx="826">
                  <c:v>2.3765529102401626</c:v>
                </c:pt>
                <c:pt idx="827">
                  <c:v>2.3769492192992483</c:v>
                </c:pt>
                <c:pt idx="828">
                  <c:v>2.3769492192992483</c:v>
                </c:pt>
                <c:pt idx="829">
                  <c:v>2.3769492192992483</c:v>
                </c:pt>
                <c:pt idx="830">
                  <c:v>2.3770676672742832</c:v>
                </c:pt>
                <c:pt idx="831">
                  <c:v>2.3772259733928673</c:v>
                </c:pt>
                <c:pt idx="832">
                  <c:v>2.3784035446390339</c:v>
                </c:pt>
                <c:pt idx="833">
                  <c:v>2.3784814874999105</c:v>
                </c:pt>
                <c:pt idx="834">
                  <c:v>2.3792589567437448</c:v>
                </c:pt>
                <c:pt idx="835">
                  <c:v>2.3792589567437448</c:v>
                </c:pt>
                <c:pt idx="836">
                  <c:v>2.3796064815494797</c:v>
                </c:pt>
                <c:pt idx="837">
                  <c:v>2.3799149963443349</c:v>
                </c:pt>
                <c:pt idx="838">
                  <c:v>2.3799918451421784</c:v>
                </c:pt>
                <c:pt idx="839">
                  <c:v>2.380298679267939</c:v>
                </c:pt>
                <c:pt idx="840">
                  <c:v>2.38052821558705</c:v>
                </c:pt>
                <c:pt idx="841">
                  <c:v>2.38052821558705</c:v>
                </c:pt>
                <c:pt idx="842">
                  <c:v>2.380642794283423</c:v>
                </c:pt>
                <c:pt idx="843">
                  <c:v>2.3818565558213036</c:v>
                </c:pt>
                <c:pt idx="844">
                  <c:v>2.3820826377708468</c:v>
                </c:pt>
                <c:pt idx="845">
                  <c:v>2.3846073547523181</c:v>
                </c:pt>
                <c:pt idx="846">
                  <c:v>2.3846801574915935</c:v>
                </c:pt>
                <c:pt idx="847">
                  <c:v>2.3850454533404957</c:v>
                </c:pt>
                <c:pt idx="848">
                  <c:v>2.3856625420020379</c:v>
                </c:pt>
                <c:pt idx="849">
                  <c:v>2.3856625420020379</c:v>
                </c:pt>
                <c:pt idx="850">
                  <c:v>2.3860601628407161</c:v>
                </c:pt>
                <c:pt idx="851">
                  <c:v>2.3867064262392268</c:v>
                </c:pt>
                <c:pt idx="852">
                  <c:v>2.3870633180298744</c:v>
                </c:pt>
                <c:pt idx="853">
                  <c:v>2.3875249674543233</c:v>
                </c:pt>
                <c:pt idx="854">
                  <c:v>2.3876315205105501</c:v>
                </c:pt>
                <c:pt idx="855">
                  <c:v>2.3890349772992687</c:v>
                </c:pt>
                <c:pt idx="856">
                  <c:v>2.3890699016077437</c:v>
                </c:pt>
                <c:pt idx="857">
                  <c:v>2.3893825733307961</c:v>
                </c:pt>
                <c:pt idx="858">
                  <c:v>2.3902099456050263</c:v>
                </c:pt>
                <c:pt idx="859">
                  <c:v>2.3906888729892013</c:v>
                </c:pt>
                <c:pt idx="860">
                  <c:v>2.3907568530121734</c:v>
                </c:pt>
                <c:pt idx="861">
                  <c:v>2.390858965616987</c:v>
                </c:pt>
                <c:pt idx="862">
                  <c:v>2.3909950834010347</c:v>
                </c:pt>
                <c:pt idx="863">
                  <c:v>2.3917389559391911</c:v>
                </c:pt>
                <c:pt idx="864">
                  <c:v>2.3920744236047922</c:v>
                </c:pt>
                <c:pt idx="865">
                  <c:v>2.3930396041883677</c:v>
                </c:pt>
                <c:pt idx="866">
                  <c:v>2.3931060965935744</c:v>
                </c:pt>
                <c:pt idx="867">
                  <c:v>2.3938947868562961</c:v>
                </c:pt>
                <c:pt idx="868">
                  <c:v>2.3940909278520448</c:v>
                </c:pt>
                <c:pt idx="869">
                  <c:v>2.3966210144812403</c:v>
                </c:pt>
                <c:pt idx="870">
                  <c:v>2.3969348498510485</c:v>
                </c:pt>
                <c:pt idx="871">
                  <c:v>2.3971539219051738</c:v>
                </c:pt>
                <c:pt idx="872">
                  <c:v>2.3971539219051738</c:v>
                </c:pt>
                <c:pt idx="873">
                  <c:v>2.3977749213691877</c:v>
                </c:pt>
                <c:pt idx="874">
                  <c:v>2.3978060713401086</c:v>
                </c:pt>
                <c:pt idx="875">
                  <c:v>2.3984819308421659</c:v>
                </c:pt>
                <c:pt idx="876">
                  <c:v>2.3988783937779123</c:v>
                </c:pt>
                <c:pt idx="877">
                  <c:v>2.399723787680625</c:v>
                </c:pt>
                <c:pt idx="878">
                  <c:v>2.400409549431179</c:v>
                </c:pt>
                <c:pt idx="879">
                  <c:v>2.4008231005064209</c:v>
                </c:pt>
                <c:pt idx="880">
                  <c:v>2.4012633906971117</c:v>
                </c:pt>
                <c:pt idx="881">
                  <c:v>2.4013800072057863</c:v>
                </c:pt>
                <c:pt idx="882">
                  <c:v>2.4014674280303523</c:v>
                </c:pt>
                <c:pt idx="883">
                  <c:v>2.4014674280303523</c:v>
                </c:pt>
                <c:pt idx="884">
                  <c:v>2.4016418878844106</c:v>
                </c:pt>
                <c:pt idx="885">
                  <c:v>2.4019026229664844</c:v>
                </c:pt>
                <c:pt idx="886">
                  <c:v>2.4025065475993772</c:v>
                </c:pt>
                <c:pt idx="887">
                  <c:v>2.402649140612982</c:v>
                </c:pt>
                <c:pt idx="888">
                  <c:v>2.4031605484526555</c:v>
                </c:pt>
                <c:pt idx="889">
                  <c:v>2.4037505688100316</c:v>
                </c:pt>
                <c:pt idx="890">
                  <c:v>2.404029591485521</c:v>
                </c:pt>
                <c:pt idx="891">
                  <c:v>2.4045555472272517</c:v>
                </c:pt>
                <c:pt idx="892">
                  <c:v>2.4051578443739068</c:v>
                </c:pt>
                <c:pt idx="893">
                  <c:v>2.4051853668324421</c:v>
                </c:pt>
                <c:pt idx="894">
                  <c:v>2.4053482097770607</c:v>
                </c:pt>
                <c:pt idx="895">
                  <c:v>2.4054835894522011</c:v>
                </c:pt>
                <c:pt idx="896">
                  <c:v>2.4055374837983603</c:v>
                </c:pt>
                <c:pt idx="897">
                  <c:v>2.4056454988342093</c:v>
                </c:pt>
                <c:pt idx="898">
                  <c:v>2.4056996186851189</c:v>
                </c:pt>
                <c:pt idx="899">
                  <c:v>2.40687039226682</c:v>
                </c:pt>
                <c:pt idx="900">
                  <c:v>2.4069228174468558</c:v>
                </c:pt>
                <c:pt idx="901">
                  <c:v>2.4070278830500276</c:v>
                </c:pt>
                <c:pt idx="902">
                  <c:v>2.4077819581775159</c:v>
                </c:pt>
                <c:pt idx="903">
                  <c:v>2.4081670962180359</c:v>
                </c:pt>
                <c:pt idx="904">
                  <c:v>2.4085996306089275</c:v>
                </c:pt>
                <c:pt idx="905">
                  <c:v>2.4086754039358693</c:v>
                </c:pt>
                <c:pt idx="906">
                  <c:v>2.4093026332721443</c:v>
                </c:pt>
                <c:pt idx="907">
                  <c:v>2.409576215168622</c:v>
                </c:pt>
                <c:pt idx="908">
                  <c:v>2.4096996720855763</c:v>
                </c:pt>
                <c:pt idx="909">
                  <c:v>2.4097243210237638</c:v>
                </c:pt>
                <c:pt idx="910">
                  <c:v>2.409822775277854</c:v>
                </c:pt>
                <c:pt idx="911">
                  <c:v>2.4099700321147868</c:v>
                </c:pt>
                <c:pt idx="912">
                  <c:v>2.4099948854747164</c:v>
                </c:pt>
                <c:pt idx="913">
                  <c:v>2.410141546593612</c:v>
                </c:pt>
                <c:pt idx="914">
                  <c:v>2.4113212402252313</c:v>
                </c:pt>
                <c:pt idx="915">
                  <c:v>2.4113922950908417</c:v>
                </c:pt>
                <c:pt idx="916">
                  <c:v>2.4129228619742888</c:v>
                </c:pt>
                <c:pt idx="917">
                  <c:v>2.4139746918777027</c:v>
                </c:pt>
                <c:pt idx="918">
                  <c:v>2.4140848112295337</c:v>
                </c:pt>
                <c:pt idx="919">
                  <c:v>2.4158170124087581</c:v>
                </c:pt>
                <c:pt idx="920">
                  <c:v>2.4161682570126626</c:v>
                </c:pt>
                <c:pt idx="921">
                  <c:v>2.4162094170663662</c:v>
                </c:pt>
                <c:pt idx="922">
                  <c:v>2.4164749670084587</c:v>
                </c:pt>
                <c:pt idx="923">
                  <c:v>2.4166979939370181</c:v>
                </c:pt>
                <c:pt idx="924">
                  <c:v>2.4171183763613109</c:v>
                </c:pt>
                <c:pt idx="925">
                  <c:v>2.4173163297364559</c:v>
                </c:pt>
                <c:pt idx="926">
                  <c:v>2.4173953455427712</c:v>
                </c:pt>
                <c:pt idx="927">
                  <c:v>2.4176108847805393</c:v>
                </c:pt>
                <c:pt idx="928">
                  <c:v>2.4180942213086305</c:v>
                </c:pt>
                <c:pt idx="929">
                  <c:v>2.4182850686287147</c:v>
                </c:pt>
                <c:pt idx="930">
                  <c:v>2.4183419336618766</c:v>
                </c:pt>
                <c:pt idx="931">
                  <c:v>2.4187372454541971</c:v>
                </c:pt>
                <c:pt idx="932">
                  <c:v>2.4189232576410338</c:v>
                </c:pt>
                <c:pt idx="933">
                  <c:v>2.4190339643193668</c:v>
                </c:pt>
                <c:pt idx="934">
                  <c:v>2.4200615161398531</c:v>
                </c:pt>
                <c:pt idx="935">
                  <c:v>2.420114508749859</c:v>
                </c:pt>
                <c:pt idx="936">
                  <c:v>2.4207886543845474</c:v>
                </c:pt>
                <c:pt idx="937">
                  <c:v>2.4209243835790586</c:v>
                </c:pt>
                <c:pt idx="938">
                  <c:v>2.4217191304340724</c:v>
                </c:pt>
                <c:pt idx="939">
                  <c:v>2.4219445357608618</c:v>
                </c:pt>
                <c:pt idx="940">
                  <c:v>2.4221039675296865</c:v>
                </c:pt>
                <c:pt idx="941">
                  <c:v>2.4224650019919092</c:v>
                </c:pt>
                <c:pt idx="942">
                  <c:v>2.4229997738932343</c:v>
                </c:pt>
                <c:pt idx="943">
                  <c:v>2.4230897496456061</c:v>
                </c:pt>
                <c:pt idx="944">
                  <c:v>2.4232976256564047</c:v>
                </c:pt>
                <c:pt idx="945">
                  <c:v>2.4235171143722529</c:v>
                </c:pt>
                <c:pt idx="946">
                  <c:v>2.4236616618762126</c:v>
                </c:pt>
                <c:pt idx="947">
                  <c:v>2.4236616618762126</c:v>
                </c:pt>
                <c:pt idx="948">
                  <c:v>2.4243492902872976</c:v>
                </c:pt>
                <c:pt idx="949">
                  <c:v>2.4244449051804451</c:v>
                </c:pt>
                <c:pt idx="950">
                  <c:v>2.4245800558058335</c:v>
                </c:pt>
                <c:pt idx="951">
                  <c:v>2.4248195807962118</c:v>
                </c:pt>
                <c:pt idx="952">
                  <c:v>2.4248326442940629</c:v>
                </c:pt>
                <c:pt idx="953">
                  <c:v>2.4250414799774678</c:v>
                </c:pt>
                <c:pt idx="954">
                  <c:v>2.4255846281488473</c:v>
                </c:pt>
                <c:pt idx="955">
                  <c:v>2.4258401861440206</c:v>
                </c:pt>
                <c:pt idx="956">
                  <c:v>2.4260896397224321</c:v>
                </c:pt>
                <c:pt idx="957">
                  <c:v>2.426332466199649</c:v>
                </c:pt>
                <c:pt idx="958">
                  <c:v>2.4264686220960447</c:v>
                </c:pt>
                <c:pt idx="959">
                  <c:v>2.4265691844271706</c:v>
                </c:pt>
                <c:pt idx="960">
                  <c:v>2.4268534594121061</c:v>
                </c:pt>
                <c:pt idx="961">
                  <c:v>2.4268963394889771</c:v>
                </c:pt>
                <c:pt idx="962">
                  <c:v>2.427322642803583</c:v>
                </c:pt>
                <c:pt idx="963">
                  <c:v>2.4276771325571733</c:v>
                </c:pt>
                <c:pt idx="964">
                  <c:v>2.4276962930132848</c:v>
                </c:pt>
                <c:pt idx="965">
                  <c:v>2.4277057810997968</c:v>
                </c:pt>
                <c:pt idx="966">
                  <c:v>2.4279307813637958</c:v>
                </c:pt>
                <c:pt idx="967">
                  <c:v>2.4281386359092356</c:v>
                </c:pt>
                <c:pt idx="968">
                  <c:v>2.4281475764660652</c:v>
                </c:pt>
                <c:pt idx="969">
                  <c:v>2.4283304603153462</c:v>
                </c:pt>
                <c:pt idx="970">
                  <c:v>2.4283475684107541</c:v>
                </c:pt>
                <c:pt idx="971">
                  <c:v>2.4287641305446916</c:v>
                </c:pt>
                <c:pt idx="972">
                  <c:v>2.4287952665451429</c:v>
                </c:pt>
                <c:pt idx="973">
                  <c:v>2.4290863892421029</c:v>
                </c:pt>
                <c:pt idx="974">
                  <c:v>2.4291363828960004</c:v>
                </c:pt>
                <c:pt idx="975">
                  <c:v>2.4291646669277234</c:v>
                </c:pt>
                <c:pt idx="976">
                  <c:v>2.4291856781158296</c:v>
                </c:pt>
                <c:pt idx="977">
                  <c:v>2.4294345521340635</c:v>
                </c:pt>
                <c:pt idx="978">
                  <c:v>2.4294794575154626</c:v>
                </c:pt>
                <c:pt idx="979">
                  <c:v>2.4295047371962677</c:v>
                </c:pt>
                <c:pt idx="980">
                  <c:v>2.4295670806101666</c:v>
                </c:pt>
                <c:pt idx="981">
                  <c:v>2.4296038568035594</c:v>
                </c:pt>
                <c:pt idx="982">
                  <c:v>2.4296579239608311</c:v>
                </c:pt>
                <c:pt idx="983">
                  <c:v>2.4296992375875432</c:v>
                </c:pt>
                <c:pt idx="984">
                  <c:v>2.4297512553586915</c:v>
                </c:pt>
                <c:pt idx="985">
                  <c:v>2.4297852937827082</c:v>
                </c:pt>
                <c:pt idx="986">
                  <c:v>2.4298244128017847</c:v>
                </c:pt>
                <c:pt idx="987">
                  <c:v>2.4298409408224</c:v>
                </c:pt>
                <c:pt idx="988">
                  <c:v>2.4301493524720561</c:v>
                </c:pt>
                <c:pt idx="989">
                  <c:v>2.4302899165929324</c:v>
                </c:pt>
                <c:pt idx="990">
                  <c:v>2.4303508367161024</c:v>
                </c:pt>
                <c:pt idx="991">
                  <c:v>2.430437949969126</c:v>
                </c:pt>
                <c:pt idx="992">
                  <c:v>2.4305591512152867</c:v>
                </c:pt>
                <c:pt idx="993">
                  <c:v>2.4306156650237569</c:v>
                </c:pt>
                <c:pt idx="994">
                  <c:v>2.4307063527861783</c:v>
                </c:pt>
                <c:pt idx="995">
                  <c:v>2.4307623977890374</c:v>
                </c:pt>
                <c:pt idx="996">
                  <c:v>2.4307903654169083</c:v>
                </c:pt>
                <c:pt idx="997">
                  <c:v>2.4308072221888373</c:v>
                </c:pt>
                <c:pt idx="998">
                  <c:v>2.430850447875494</c:v>
                </c:pt>
                <c:pt idx="999">
                  <c:v>2.4308692699030221</c:v>
                </c:pt>
                <c:pt idx="1000">
                  <c:v>2.4308761459247981</c:v>
                </c:pt>
                <c:pt idx="1001">
                  <c:v>2.4308799789310105</c:v>
                </c:pt>
                <c:pt idx="1002">
                  <c:v>2.4308934585637818</c:v>
                </c:pt>
                <c:pt idx="1003">
                  <c:v>2.4308985115768635</c:v>
                </c:pt>
                <c:pt idx="1004">
                  <c:v>2.430874417502896</c:v>
                </c:pt>
                <c:pt idx="1005">
                  <c:v>2.430867301204878</c:v>
                </c:pt>
                <c:pt idx="1006">
                  <c:v>2.4308623955172668</c:v>
                </c:pt>
                <c:pt idx="1007">
                  <c:v>2.4308549051066248</c:v>
                </c:pt>
                <c:pt idx="1008">
                  <c:v>2.4308467328700365</c:v>
                </c:pt>
                <c:pt idx="1009">
                  <c:v>2.4308311106936396</c:v>
                </c:pt>
                <c:pt idx="1010">
                  <c:v>2.4307902047366388</c:v>
                </c:pt>
                <c:pt idx="1011">
                  <c:v>2.4307396781319919</c:v>
                </c:pt>
                <c:pt idx="1012">
                  <c:v>2.4305074717781965</c:v>
                </c:pt>
                <c:pt idx="1013">
                  <c:v>2.4305007494058386</c:v>
                </c:pt>
                <c:pt idx="1014">
                  <c:v>2.4303704214655104</c:v>
                </c:pt>
                <c:pt idx="1015">
                  <c:v>2.4301121864723512</c:v>
                </c:pt>
                <c:pt idx="1016">
                  <c:v>2.4299587345669509</c:v>
                </c:pt>
                <c:pt idx="1017">
                  <c:v>2.42971168939218</c:v>
                </c:pt>
                <c:pt idx="1018">
                  <c:v>2.4296883511736223</c:v>
                </c:pt>
                <c:pt idx="1019">
                  <c:v>2.4296289678334051</c:v>
                </c:pt>
                <c:pt idx="1020">
                  <c:v>2.4295743718657796</c:v>
                </c:pt>
                <c:pt idx="1021">
                  <c:v>2.4295247647419664</c:v>
                </c:pt>
                <c:pt idx="1022">
                  <c:v>2.429518534688885</c:v>
                </c:pt>
                <c:pt idx="1023">
                  <c:v>2.4292360986630164</c:v>
                </c:pt>
                <c:pt idx="1024">
                  <c:v>2.4292360986630164</c:v>
                </c:pt>
                <c:pt idx="1025">
                  <c:v>2.4291736119977672</c:v>
                </c:pt>
                <c:pt idx="1026">
                  <c:v>2.428994033633042</c:v>
                </c:pt>
                <c:pt idx="1027">
                  <c:v>2.428859325594166</c:v>
                </c:pt>
                <c:pt idx="1028">
                  <c:v>2.4287980055622196</c:v>
                </c:pt>
                <c:pt idx="1029">
                  <c:v>2.4287901905063771</c:v>
                </c:pt>
                <c:pt idx="1030">
                  <c:v>2.4286724080707596</c:v>
                </c:pt>
                <c:pt idx="1031">
                  <c:v>2.4283937693879656</c:v>
                </c:pt>
                <c:pt idx="1032">
                  <c:v>2.4283086886130318</c:v>
                </c:pt>
                <c:pt idx="1033">
                  <c:v>2.4278618724165062</c:v>
                </c:pt>
                <c:pt idx="1034">
                  <c:v>2.4276924437836347</c:v>
                </c:pt>
                <c:pt idx="1035">
                  <c:v>2.427644478458598</c:v>
                </c:pt>
                <c:pt idx="1036">
                  <c:v>2.4275768454268367</c:v>
                </c:pt>
                <c:pt idx="1037">
                  <c:v>2.42749859627519</c:v>
                </c:pt>
                <c:pt idx="1038">
                  <c:v>2.4274194381757122</c:v>
                </c:pt>
                <c:pt idx="1039">
                  <c:v>2.4272789129304266</c:v>
                </c:pt>
                <c:pt idx="1040">
                  <c:v>2.4268831578173971</c:v>
                </c:pt>
                <c:pt idx="1041">
                  <c:v>2.4268725210485709</c:v>
                </c:pt>
                <c:pt idx="1042">
                  <c:v>2.4265118121592542</c:v>
                </c:pt>
                <c:pt idx="1043">
                  <c:v>2.4263312561594796</c:v>
                </c:pt>
                <c:pt idx="1044">
                  <c:v>2.4263312561594796</c:v>
                </c:pt>
                <c:pt idx="1045">
                  <c:v>2.4262626542273442</c:v>
                </c:pt>
                <c:pt idx="1046">
                  <c:v>2.4258641619732124</c:v>
                </c:pt>
                <c:pt idx="1047">
                  <c:v>2.4248094024343181</c:v>
                </c:pt>
                <c:pt idx="1048">
                  <c:v>2.4246237021695447</c:v>
                </c:pt>
                <c:pt idx="1049">
                  <c:v>2.4244488934194117</c:v>
                </c:pt>
                <c:pt idx="1050">
                  <c:v>2.4242716928560486</c:v>
                </c:pt>
                <c:pt idx="1051">
                  <c:v>2.4242443759482426</c:v>
                </c:pt>
                <c:pt idx="1052">
                  <c:v>2.4239522944828167</c:v>
                </c:pt>
                <c:pt idx="1053">
                  <c:v>2.4235822612955542</c:v>
                </c:pt>
                <c:pt idx="1054">
                  <c:v>2.4234228814551253</c:v>
                </c:pt>
                <c:pt idx="1055">
                  <c:v>2.4232617923792623</c:v>
                </c:pt>
                <c:pt idx="1056">
                  <c:v>2.4228738976228441</c:v>
                </c:pt>
                <c:pt idx="1057">
                  <c:v>2.4228588825163331</c:v>
                </c:pt>
                <c:pt idx="1058">
                  <c:v>2.4223989409740652</c:v>
                </c:pt>
                <c:pt idx="1059">
                  <c:v>2.4221955956941916</c:v>
                </c:pt>
                <c:pt idx="1060">
                  <c:v>2.4221799624640683</c:v>
                </c:pt>
                <c:pt idx="1061">
                  <c:v>2.42129277789964</c:v>
                </c:pt>
                <c:pt idx="1062">
                  <c:v>2.4211600482021201</c:v>
                </c:pt>
                <c:pt idx="1063">
                  <c:v>2.4211267243390711</c:v>
                </c:pt>
                <c:pt idx="1064">
                  <c:v>2.4210264133346788</c:v>
                </c:pt>
                <c:pt idx="1065">
                  <c:v>2.4210264133346788</c:v>
                </c:pt>
                <c:pt idx="1066">
                  <c:v>2.4206716953463494</c:v>
                </c:pt>
                <c:pt idx="1067">
                  <c:v>2.4203626271998822</c:v>
                </c:pt>
                <c:pt idx="1068">
                  <c:v>2.4201362520719814</c:v>
                </c:pt>
                <c:pt idx="1069">
                  <c:v>2.4193892573619511</c:v>
                </c:pt>
                <c:pt idx="1070">
                  <c:v>2.4191711829080584</c:v>
                </c:pt>
                <c:pt idx="1071">
                  <c:v>2.418392206498424</c:v>
                </c:pt>
                <c:pt idx="1072">
                  <c:v>2.4183732101405306</c:v>
                </c:pt>
                <c:pt idx="1073">
                  <c:v>2.4180121130186363</c:v>
                </c:pt>
                <c:pt idx="1074">
                  <c:v>2.4179931161823367</c:v>
                </c:pt>
                <c:pt idx="1075">
                  <c:v>2.417645926222395</c:v>
                </c:pt>
                <c:pt idx="1076">
                  <c:v>2.4170969332532888</c:v>
                </c:pt>
                <c:pt idx="1077">
                  <c:v>2.4156550573031983</c:v>
                </c:pt>
                <c:pt idx="1078">
                  <c:v>2.4154668901480334</c:v>
                </c:pt>
                <c:pt idx="1079">
                  <c:v>2.4149601530941327</c:v>
                </c:pt>
                <c:pt idx="1080">
                  <c:v>2.4141193434237147</c:v>
                </c:pt>
                <c:pt idx="1081">
                  <c:v>2.4139662066898899</c:v>
                </c:pt>
                <c:pt idx="1082">
                  <c:v>2.4137020386546575</c:v>
                </c:pt>
                <c:pt idx="1083">
                  <c:v>2.413368571625663</c:v>
                </c:pt>
                <c:pt idx="1084">
                  <c:v>2.4126695965448754</c:v>
                </c:pt>
                <c:pt idx="1085">
                  <c:v>2.4123036597494267</c:v>
                </c:pt>
                <c:pt idx="1086">
                  <c:v>2.4123036597494267</c:v>
                </c:pt>
                <c:pt idx="1087">
                  <c:v>2.4118179567370448</c:v>
                </c:pt>
                <c:pt idx="1088">
                  <c:v>2.4117711140157652</c:v>
                </c:pt>
                <c:pt idx="1089">
                  <c:v>2.4113727492578163</c:v>
                </c:pt>
                <c:pt idx="1090">
                  <c:v>2.4100552820349059</c:v>
                </c:pt>
                <c:pt idx="1091">
                  <c:v>2.4100067116210662</c:v>
                </c:pt>
                <c:pt idx="1092">
                  <c:v>2.4098603044348619</c:v>
                </c:pt>
                <c:pt idx="1093">
                  <c:v>2.4093435415051792</c:v>
                </c:pt>
                <c:pt idx="1094">
                  <c:v>2.4077554042318252</c:v>
                </c:pt>
                <c:pt idx="1095">
                  <c:v>2.4070574170482768</c:v>
                </c:pt>
                <c:pt idx="1096">
                  <c:v>2.4066654909010574</c:v>
                </c:pt>
                <c:pt idx="1097">
                  <c:v>2.4062961779215875</c:v>
                </c:pt>
                <c:pt idx="1098">
                  <c:v>2.4062434734344222</c:v>
                </c:pt>
                <c:pt idx="1099">
                  <c:v>2.406057590370938</c:v>
                </c:pt>
                <c:pt idx="1100">
                  <c:v>2.4059779402025585</c:v>
                </c:pt>
                <c:pt idx="1101">
                  <c:v>2.4057642690007066</c:v>
                </c:pt>
                <c:pt idx="1102">
                  <c:v>2.4042998369711079</c:v>
                </c:pt>
                <c:pt idx="1103">
                  <c:v>2.4042446652755176</c:v>
                </c:pt>
                <c:pt idx="1104">
                  <c:v>2.4038577073623046</c:v>
                </c:pt>
                <c:pt idx="1105">
                  <c:v>2.3998647079636388</c:v>
                </c:pt>
                <c:pt idx="1106">
                  <c:v>2.3994474099565757</c:v>
                </c:pt>
                <c:pt idx="1107">
                  <c:v>2.3993575390392481</c:v>
                </c:pt>
                <c:pt idx="1108">
                  <c:v>2.3987253694292772</c:v>
                </c:pt>
                <c:pt idx="1109">
                  <c:v>2.3985131315702919</c:v>
                </c:pt>
                <c:pt idx="1110">
                  <c:v>2.3983306693521826</c:v>
                </c:pt>
                <c:pt idx="1111">
                  <c:v>2.3982697370337447</c:v>
                </c:pt>
                <c:pt idx="1112">
                  <c:v>2.3978723174637429</c:v>
                </c:pt>
                <c:pt idx="1113">
                  <c:v>2.3973181556208627</c:v>
                </c:pt>
                <c:pt idx="1114">
                  <c:v>2.3972563034508139</c:v>
                </c:pt>
                <c:pt idx="1115">
                  <c:v>2.3969462070340271</c:v>
                </c:pt>
                <c:pt idx="1116">
                  <c:v>2.3962272410050196</c:v>
                </c:pt>
                <c:pt idx="1117">
                  <c:v>2.3961958345236236</c:v>
                </c:pt>
                <c:pt idx="1118">
                  <c:v>2.3961010690518343</c:v>
                </c:pt>
                <c:pt idx="1119">
                  <c:v>2.3959120865603305</c:v>
                </c:pt>
                <c:pt idx="1120">
                  <c:v>2.395564318750345</c:v>
                </c:pt>
                <c:pt idx="1121">
                  <c:v>2.3955326200984746</c:v>
                </c:pt>
                <c:pt idx="1122">
                  <c:v>2.3952144010359966</c:v>
                </c:pt>
                <c:pt idx="1123">
                  <c:v>2.3951825493442191</c:v>
                </c:pt>
                <c:pt idx="1124">
                  <c:v>2.394958728651821</c:v>
                </c:pt>
                <c:pt idx="1125">
                  <c:v>2.3940575660363188</c:v>
                </c:pt>
                <c:pt idx="1126">
                  <c:v>2.3923208909150961</c:v>
                </c:pt>
                <c:pt idx="1127">
                  <c:v>2.3918221456099742</c:v>
                </c:pt>
                <c:pt idx="1128">
                  <c:v>2.3916550392861153</c:v>
                </c:pt>
                <c:pt idx="1129">
                  <c:v>2.3904422104916483</c:v>
                </c:pt>
                <c:pt idx="1130">
                  <c:v>2.3901359427639437</c:v>
                </c:pt>
                <c:pt idx="1131">
                  <c:v>2.3900679527260951</c:v>
                </c:pt>
                <c:pt idx="1132">
                  <c:v>2.389003506429062</c:v>
                </c:pt>
                <c:pt idx="1133">
                  <c:v>2.389003506429062</c:v>
                </c:pt>
                <c:pt idx="1134">
                  <c:v>2.3889690617907702</c:v>
                </c:pt>
                <c:pt idx="1135">
                  <c:v>2.3889001311731617</c:v>
                </c:pt>
                <c:pt idx="1136">
                  <c:v>2.3884838617329551</c:v>
                </c:pt>
                <c:pt idx="1137">
                  <c:v>2.3883446612512609</c:v>
                </c:pt>
                <c:pt idx="1138">
                  <c:v>2.3882752331344901</c:v>
                </c:pt>
                <c:pt idx="1139">
                  <c:v>2.3881003984717974</c:v>
                </c:pt>
                <c:pt idx="1140">
                  <c:v>2.3879605875626164</c:v>
                </c:pt>
                <c:pt idx="1141">
                  <c:v>2.3871170651855889</c:v>
                </c:pt>
                <c:pt idx="1142">
                  <c:v>2.3866923120691963</c:v>
                </c:pt>
                <c:pt idx="1143">
                  <c:v>2.3866210659499032</c:v>
                </c:pt>
                <c:pt idx="1144">
                  <c:v>2.3861579143084226</c:v>
                </c:pt>
                <c:pt idx="1145">
                  <c:v>2.3851162534125132</c:v>
                </c:pt>
                <c:pt idx="1146">
                  <c:v>2.3834762925575426</c:v>
                </c:pt>
                <c:pt idx="1147">
                  <c:v>2.3834391722360104</c:v>
                </c:pt>
                <c:pt idx="1148">
                  <c:v>2.3832921667463287</c:v>
                </c:pt>
                <c:pt idx="1149">
                  <c:v>2.3829969538286488</c:v>
                </c:pt>
                <c:pt idx="1150">
                  <c:v>2.3826634426685205</c:v>
                </c:pt>
                <c:pt idx="1151">
                  <c:v>2.3816200207451628</c:v>
                </c:pt>
                <c:pt idx="1152">
                  <c:v>2.3810182144492207</c:v>
                </c:pt>
                <c:pt idx="1153">
                  <c:v>2.3808670721275162</c:v>
                </c:pt>
                <c:pt idx="1154">
                  <c:v>2.3807157083911554</c:v>
                </c:pt>
                <c:pt idx="1155">
                  <c:v>2.380526469340257</c:v>
                </c:pt>
                <c:pt idx="1156">
                  <c:v>2.380526469340257</c:v>
                </c:pt>
                <c:pt idx="1157">
                  <c:v>2.3797275662723578</c:v>
                </c:pt>
                <c:pt idx="1158">
                  <c:v>2.3779158980190034</c:v>
                </c:pt>
                <c:pt idx="1159">
                  <c:v>2.377487140146656</c:v>
                </c:pt>
                <c:pt idx="1160">
                  <c:v>2.3773702793770579</c:v>
                </c:pt>
                <c:pt idx="1161">
                  <c:v>2.3753978725423237</c:v>
                </c:pt>
                <c:pt idx="1162">
                  <c:v>2.3751189410001019</c:v>
                </c:pt>
                <c:pt idx="1163">
                  <c:v>2.3746794243228506</c:v>
                </c:pt>
                <c:pt idx="1164">
                  <c:v>2.3741573179704045</c:v>
                </c:pt>
                <c:pt idx="1165">
                  <c:v>2.3733497174682268</c:v>
                </c:pt>
                <c:pt idx="1166">
                  <c:v>2.3731463664954329</c:v>
                </c:pt>
                <c:pt idx="1167">
                  <c:v>2.3725360248376299</c:v>
                </c:pt>
                <c:pt idx="1168">
                  <c:v>2.3721268174628443</c:v>
                </c:pt>
                <c:pt idx="1169">
                  <c:v>2.3715107261171404</c:v>
                </c:pt>
                <c:pt idx="1170">
                  <c:v>2.3715107261171404</c:v>
                </c:pt>
                <c:pt idx="1171">
                  <c:v>2.3712225595905805</c:v>
                </c:pt>
                <c:pt idx="1172">
                  <c:v>2.3710571618270171</c:v>
                </c:pt>
                <c:pt idx="1173">
                  <c:v>2.3708505571052876</c:v>
                </c:pt>
                <c:pt idx="1174">
                  <c:v>2.3704768382085319</c:v>
                </c:pt>
                <c:pt idx="1175">
                  <c:v>2.3694758214755627</c:v>
                </c:pt>
                <c:pt idx="1176">
                  <c:v>2.3693081151898117</c:v>
                </c:pt>
                <c:pt idx="1177">
                  <c:v>2.3692244849772073</c:v>
                </c:pt>
                <c:pt idx="1178">
                  <c:v>2.3685927596592111</c:v>
                </c:pt>
                <c:pt idx="1179">
                  <c:v>2.367916005789978</c:v>
                </c:pt>
                <c:pt idx="1180">
                  <c:v>2.3674061376128508</c:v>
                </c:pt>
                <c:pt idx="1181">
                  <c:v>2.366979430156134</c:v>
                </c:pt>
                <c:pt idx="1182">
                  <c:v>2.3659498656408586</c:v>
                </c:pt>
                <c:pt idx="1183">
                  <c:v>2.3643023883430661</c:v>
                </c:pt>
                <c:pt idx="1184">
                  <c:v>2.3639090344425182</c:v>
                </c:pt>
                <c:pt idx="1185">
                  <c:v>2.3637774580674056</c:v>
                </c:pt>
                <c:pt idx="1186">
                  <c:v>2.3632505553264145</c:v>
                </c:pt>
                <c:pt idx="1187">
                  <c:v>2.3631190007881431</c:v>
                </c:pt>
                <c:pt idx="1188">
                  <c:v>2.3621471017787723</c:v>
                </c:pt>
                <c:pt idx="1189">
                  <c:v>2.3613465801919511</c:v>
                </c:pt>
                <c:pt idx="1190">
                  <c:v>2.3613465801919511</c:v>
                </c:pt>
                <c:pt idx="1191">
                  <c:v>2.3609890832128007</c:v>
                </c:pt>
                <c:pt idx="1192">
                  <c:v>2.3605416312210217</c:v>
                </c:pt>
                <c:pt idx="1193">
                  <c:v>2.3602271473788403</c:v>
                </c:pt>
                <c:pt idx="1194">
                  <c:v>2.3601371718414295</c:v>
                </c:pt>
                <c:pt idx="1195">
                  <c:v>2.3595961709925009</c:v>
                </c:pt>
                <c:pt idx="1196">
                  <c:v>2.3585082716971524</c:v>
                </c:pt>
                <c:pt idx="1197">
                  <c:v>2.355426997873252</c:v>
                </c:pt>
                <c:pt idx="1198">
                  <c:v>2.3553799129995152</c:v>
                </c:pt>
                <c:pt idx="1199">
                  <c:v>2.3553341600257918</c:v>
                </c:pt>
                <c:pt idx="1200">
                  <c:v>2.3550081255816235</c:v>
                </c:pt>
                <c:pt idx="1201">
                  <c:v>2.3512811850081978</c:v>
                </c:pt>
                <c:pt idx="1202">
                  <c:v>2.3512328883788727</c:v>
                </c:pt>
                <c:pt idx="1203">
                  <c:v>2.3507546940275792</c:v>
                </c:pt>
                <c:pt idx="1204">
                  <c:v>2.3502265571757484</c:v>
                </c:pt>
                <c:pt idx="1205">
                  <c:v>2.3493105744504486</c:v>
                </c:pt>
                <c:pt idx="1206">
                  <c:v>2.348389692152943</c:v>
                </c:pt>
                <c:pt idx="1207">
                  <c:v>2.348341273743638</c:v>
                </c:pt>
                <c:pt idx="1208">
                  <c:v>2.3452481214197709</c:v>
                </c:pt>
                <c:pt idx="1209">
                  <c:v>2.3432050383649345</c:v>
                </c:pt>
                <c:pt idx="1210">
                  <c:v>2.3371351231968571</c:v>
                </c:pt>
                <c:pt idx="1211">
                  <c:v>2.3369800518900647</c:v>
                </c:pt>
                <c:pt idx="1212">
                  <c:v>2.3363031932528893</c:v>
                </c:pt>
                <c:pt idx="1213">
                  <c:v>2.3351007805081316</c:v>
                </c:pt>
                <c:pt idx="1214">
                  <c:v>2.3345761638108558</c:v>
                </c:pt>
                <c:pt idx="1215">
                  <c:v>2.3342604465128463</c:v>
                </c:pt>
                <c:pt idx="1216">
                  <c:v>2.3336798682678026</c:v>
                </c:pt>
                <c:pt idx="1217">
                  <c:v>2.3330976604645772</c:v>
                </c:pt>
                <c:pt idx="1218">
                  <c:v>2.3328862364963849</c:v>
                </c:pt>
                <c:pt idx="1219">
                  <c:v>2.3325145866488186</c:v>
                </c:pt>
                <c:pt idx="1220">
                  <c:v>2.3299995387479639</c:v>
                </c:pt>
                <c:pt idx="1221">
                  <c:v>2.3294063615074547</c:v>
                </c:pt>
                <c:pt idx="1222">
                  <c:v>2.3290828297352033</c:v>
                </c:pt>
                <c:pt idx="1223">
                  <c:v>2.3283239795475383</c:v>
                </c:pt>
                <c:pt idx="1224">
                  <c:v>2.3276716657758585</c:v>
                </c:pt>
                <c:pt idx="1225">
                  <c:v>2.327617089223875</c:v>
                </c:pt>
                <c:pt idx="1226">
                  <c:v>2.3274532788057831</c:v>
                </c:pt>
                <c:pt idx="1227">
                  <c:v>2.3274532788057831</c:v>
                </c:pt>
                <c:pt idx="1228">
                  <c:v>2.3270166408201121</c:v>
                </c:pt>
                <c:pt idx="1229">
                  <c:v>2.3264145691968809</c:v>
                </c:pt>
                <c:pt idx="1230">
                  <c:v>2.3255363630606216</c:v>
                </c:pt>
                <c:pt idx="1231">
                  <c:v>2.3250951871781211</c:v>
                </c:pt>
                <c:pt idx="1232">
                  <c:v>2.3247084540009753</c:v>
                </c:pt>
                <c:pt idx="1233">
                  <c:v>2.3231565457266532</c:v>
                </c:pt>
                <c:pt idx="1234">
                  <c:v>2.3223200038630125</c:v>
                </c:pt>
                <c:pt idx="1235">
                  <c:v>2.3212552664786124</c:v>
                </c:pt>
                <c:pt idx="1236">
                  <c:v>2.3196769636615104</c:v>
                </c:pt>
                <c:pt idx="1237">
                  <c:v>2.3194500603689296</c:v>
                </c:pt>
                <c:pt idx="1238">
                  <c:v>2.3189972291541054</c:v>
                </c:pt>
                <c:pt idx="1239">
                  <c:v>2.3174023602710756</c:v>
                </c:pt>
                <c:pt idx="1240">
                  <c:v>2.3171162290582972</c:v>
                </c:pt>
                <c:pt idx="1241">
                  <c:v>2.3168297642575868</c:v>
                </c:pt>
                <c:pt idx="1242">
                  <c:v>2.3161412160470958</c:v>
                </c:pt>
                <c:pt idx="1243">
                  <c:v>2.3148736256331515</c:v>
                </c:pt>
                <c:pt idx="1244">
                  <c:v>2.3147575468774018</c:v>
                </c:pt>
                <c:pt idx="1245">
                  <c:v>2.3147575468774018</c:v>
                </c:pt>
                <c:pt idx="1246">
                  <c:v>2.3128996316744881</c:v>
                </c:pt>
                <c:pt idx="1247">
                  <c:v>2.3117898476652781</c:v>
                </c:pt>
                <c:pt idx="1248">
                  <c:v>2.310908602603361</c:v>
                </c:pt>
                <c:pt idx="1249">
                  <c:v>2.3106150257268969</c:v>
                </c:pt>
                <c:pt idx="1250">
                  <c:v>2.3106150257268969</c:v>
                </c:pt>
                <c:pt idx="1251">
                  <c:v>2.3084857848116598</c:v>
                </c:pt>
                <c:pt idx="1252">
                  <c:v>2.3077719358571813</c:v>
                </c:pt>
                <c:pt idx="1253">
                  <c:v>2.307474006030608</c:v>
                </c:pt>
                <c:pt idx="1254">
                  <c:v>2.3045330313231807</c:v>
                </c:pt>
                <c:pt idx="1255">
                  <c:v>2.3043523412678706</c:v>
                </c:pt>
                <c:pt idx="1256">
                  <c:v>2.3043523412678706</c:v>
                </c:pt>
                <c:pt idx="1257">
                  <c:v>2.3040497846116335</c:v>
                </c:pt>
                <c:pt idx="1258">
                  <c:v>2.3039288407661056</c:v>
                </c:pt>
                <c:pt idx="1259">
                  <c:v>2.3036867945367963</c:v>
                </c:pt>
                <c:pt idx="1260">
                  <c:v>2.3032622751763916</c:v>
                </c:pt>
                <c:pt idx="1261">
                  <c:v>2.3025941103405945</c:v>
                </c:pt>
                <c:pt idx="1262">
                  <c:v>2.3009461949769925</c:v>
                </c:pt>
                <c:pt idx="1263">
                  <c:v>2.3000873209480259</c:v>
                </c:pt>
                <c:pt idx="1264">
                  <c:v>2.2994098674704881</c:v>
                </c:pt>
                <c:pt idx="1265">
                  <c:v>2.2989168842514047</c:v>
                </c:pt>
                <c:pt idx="1266">
                  <c:v>2.2987316890472522</c:v>
                </c:pt>
                <c:pt idx="1267">
                  <c:v>2.2986696396123083</c:v>
                </c:pt>
                <c:pt idx="1268">
                  <c:v>2.2981132234119377</c:v>
                </c:pt>
                <c:pt idx="1269">
                  <c:v>2.2981132234119377</c:v>
                </c:pt>
                <c:pt idx="1270">
                  <c:v>2.2959368996802212</c:v>
                </c:pt>
                <c:pt idx="1271">
                  <c:v>2.2943712472986255</c:v>
                </c:pt>
                <c:pt idx="1272">
                  <c:v>2.2938057778412713</c:v>
                </c:pt>
                <c:pt idx="1273">
                  <c:v>2.2912135197333257</c:v>
                </c:pt>
                <c:pt idx="1274">
                  <c:v>2.290258549074037</c:v>
                </c:pt>
                <c:pt idx="1275">
                  <c:v>2.2898753741050006</c:v>
                </c:pt>
                <c:pt idx="1276">
                  <c:v>2.2887239162040505</c:v>
                </c:pt>
                <c:pt idx="1277">
                  <c:v>2.2884030624006426</c:v>
                </c:pt>
                <c:pt idx="1278">
                  <c:v>2.2870518995850935</c:v>
                </c:pt>
                <c:pt idx="1279">
                  <c:v>2.2850449564982602</c:v>
                </c:pt>
                <c:pt idx="1280">
                  <c:v>2.2849800660676021</c:v>
                </c:pt>
                <c:pt idx="1281">
                  <c:v>2.284394549651442</c:v>
                </c:pt>
                <c:pt idx="1282">
                  <c:v>2.2840033113849523</c:v>
                </c:pt>
                <c:pt idx="1283">
                  <c:v>2.2837428358045537</c:v>
                </c:pt>
                <c:pt idx="1284">
                  <c:v>2.2827623569440698</c:v>
                </c:pt>
                <c:pt idx="1285">
                  <c:v>2.2825662769820658</c:v>
                </c:pt>
                <c:pt idx="1286">
                  <c:v>2.281778941480741</c:v>
                </c:pt>
                <c:pt idx="1287">
                  <c:v>2.2817124760124079</c:v>
                </c:pt>
                <c:pt idx="1288">
                  <c:v>2.2816469206011112</c:v>
                </c:pt>
                <c:pt idx="1289">
                  <c:v>2.2803951951114563</c:v>
                </c:pt>
                <c:pt idx="1290">
                  <c:v>2.2799991795309174</c:v>
                </c:pt>
                <c:pt idx="1291">
                  <c:v>2.2789396074139305</c:v>
                </c:pt>
                <c:pt idx="1292">
                  <c:v>2.2755369418432352</c:v>
                </c:pt>
                <c:pt idx="1293">
                  <c:v>2.274864975162791</c:v>
                </c:pt>
                <c:pt idx="1294">
                  <c:v>2.2735842797595507</c:v>
                </c:pt>
                <c:pt idx="1295">
                  <c:v>2.2729757986915979</c:v>
                </c:pt>
                <c:pt idx="1296">
                  <c:v>2.2725019140505598</c:v>
                </c:pt>
                <c:pt idx="1297">
                  <c:v>2.2683408441888777</c:v>
                </c:pt>
                <c:pt idx="1298">
                  <c:v>2.2683408441888777</c:v>
                </c:pt>
                <c:pt idx="1299">
                  <c:v>2.2675147778725626</c:v>
                </c:pt>
                <c:pt idx="1300">
                  <c:v>2.2673772393462115</c:v>
                </c:pt>
                <c:pt idx="1301">
                  <c:v>2.2655120411108109</c:v>
                </c:pt>
                <c:pt idx="1302">
                  <c:v>2.2634265122427943</c:v>
                </c:pt>
                <c:pt idx="1303">
                  <c:v>2.2633565028545006</c:v>
                </c:pt>
                <c:pt idx="1304">
                  <c:v>2.2608363282867918</c:v>
                </c:pt>
                <c:pt idx="1305">
                  <c:v>2.2577295388792447</c:v>
                </c:pt>
                <c:pt idx="1306">
                  <c:v>2.2573030151032496</c:v>
                </c:pt>
                <c:pt idx="1307">
                  <c:v>2.2557371123931382</c:v>
                </c:pt>
                <c:pt idx="1308">
                  <c:v>2.2552369366891014</c:v>
                </c:pt>
                <c:pt idx="1309">
                  <c:v>2.2499793789587983</c:v>
                </c:pt>
                <c:pt idx="1310">
                  <c:v>2.2497620217740923</c:v>
                </c:pt>
                <c:pt idx="1311">
                  <c:v>2.248451433315481</c:v>
                </c:pt>
                <c:pt idx="1312">
                  <c:v>2.2477955955766955</c:v>
                </c:pt>
                <c:pt idx="1313">
                  <c:v>2.2474303454042497</c:v>
                </c:pt>
                <c:pt idx="1314">
                  <c:v>2.2466988878272796</c:v>
                </c:pt>
                <c:pt idx="1315">
                  <c:v>2.2459651393596438</c:v>
                </c:pt>
                <c:pt idx="1316">
                  <c:v>2.2453043857717088</c:v>
                </c:pt>
                <c:pt idx="1317">
                  <c:v>2.2445682129367852</c:v>
                </c:pt>
                <c:pt idx="1318">
                  <c:v>2.2430173869342962</c:v>
                </c:pt>
                <c:pt idx="1319">
                  <c:v>2.2408651746168289</c:v>
                </c:pt>
                <c:pt idx="1320">
                  <c:v>2.24004619930699</c:v>
                </c:pt>
                <c:pt idx="1321">
                  <c:v>2.2395227344326494</c:v>
                </c:pt>
                <c:pt idx="1322">
                  <c:v>2.2377260699012278</c:v>
                </c:pt>
                <c:pt idx="1323">
                  <c:v>2.2366740387624295</c:v>
                </c:pt>
                <c:pt idx="1324">
                  <c:v>2.2350137503336365</c:v>
                </c:pt>
                <c:pt idx="1325">
                  <c:v>2.2348627002870121</c:v>
                </c:pt>
                <c:pt idx="1326">
                  <c:v>2.2339532515583898</c:v>
                </c:pt>
                <c:pt idx="1327">
                  <c:v>2.2335751691162189</c:v>
                </c:pt>
                <c:pt idx="1328">
                  <c:v>2.2323583752904224</c:v>
                </c:pt>
                <c:pt idx="1329">
                  <c:v>2.230067770723402</c:v>
                </c:pt>
                <c:pt idx="1330">
                  <c:v>2.2298381909215848</c:v>
                </c:pt>
                <c:pt idx="1331">
                  <c:v>2.2293776369935343</c:v>
                </c:pt>
                <c:pt idx="1332">
                  <c:v>2.2291466619060389</c:v>
                </c:pt>
                <c:pt idx="1333">
                  <c:v>2.2283019467557832</c:v>
                </c:pt>
                <c:pt idx="1334">
                  <c:v>2.2267606597609793</c:v>
                </c:pt>
                <c:pt idx="1335">
                  <c:v>2.2266058299044866</c:v>
                </c:pt>
                <c:pt idx="1336">
                  <c:v>2.2264509494742346</c:v>
                </c:pt>
                <c:pt idx="1337">
                  <c:v>2.2252898626071378</c:v>
                </c:pt>
                <c:pt idx="1338">
                  <c:v>2.225056879990666</c:v>
                </c:pt>
                <c:pt idx="1339">
                  <c:v>2.2246693883529827</c:v>
                </c:pt>
                <c:pt idx="1340">
                  <c:v>2.2182511690489939</c:v>
                </c:pt>
                <c:pt idx="1341">
                  <c:v>2.2180925218572374</c:v>
                </c:pt>
                <c:pt idx="1342">
                  <c:v>2.2154008110181267</c:v>
                </c:pt>
                <c:pt idx="1343">
                  <c:v>2.2147655608315095</c:v>
                </c:pt>
                <c:pt idx="1344">
                  <c:v>2.2143677168051026</c:v>
                </c:pt>
                <c:pt idx="1345">
                  <c:v>2.2121314115396258</c:v>
                </c:pt>
                <c:pt idx="1346">
                  <c:v>2.2101244187253832</c:v>
                </c:pt>
                <c:pt idx="1347">
                  <c:v>2.2089169274104767</c:v>
                </c:pt>
                <c:pt idx="1348">
                  <c:v>2.2081096474741533</c:v>
                </c:pt>
                <c:pt idx="1349">
                  <c:v>2.2076229205474114</c:v>
                </c:pt>
                <c:pt idx="1350">
                  <c:v>2.2067319942829569</c:v>
                </c:pt>
                <c:pt idx="1351">
                  <c:v>2.2049456386100328</c:v>
                </c:pt>
                <c:pt idx="1352">
                  <c:v>2.2043750888041651</c:v>
                </c:pt>
                <c:pt idx="1353">
                  <c:v>2.2016759030778421</c:v>
                </c:pt>
                <c:pt idx="1354">
                  <c:v>2.200279377062814</c:v>
                </c:pt>
                <c:pt idx="1355">
                  <c:v>2.1998682175278579</c:v>
                </c:pt>
                <c:pt idx="1356">
                  <c:v>2.1978033142265101</c:v>
                </c:pt>
                <c:pt idx="1357">
                  <c:v>2.1966443178001449</c:v>
                </c:pt>
                <c:pt idx="1358">
                  <c:v>2.1953139008365112</c:v>
                </c:pt>
                <c:pt idx="1359">
                  <c:v>2.194147479181852</c:v>
                </c:pt>
                <c:pt idx="1360">
                  <c:v>2.1936470074397674</c:v>
                </c:pt>
                <c:pt idx="1361">
                  <c:v>2.1920568094546811</c:v>
                </c:pt>
                <c:pt idx="1362">
                  <c:v>2.1913865816059768</c:v>
                </c:pt>
                <c:pt idx="1363">
                  <c:v>2.1892823722366743</c:v>
                </c:pt>
                <c:pt idx="1364">
                  <c:v>2.1886077700313979</c:v>
                </c:pt>
                <c:pt idx="1365">
                  <c:v>2.1886077700313979</c:v>
                </c:pt>
                <c:pt idx="1366">
                  <c:v>2.1843669054885519</c:v>
                </c:pt>
                <c:pt idx="1367">
                  <c:v>2.1826601700289832</c:v>
                </c:pt>
                <c:pt idx="1368">
                  <c:v>2.181631942339668</c:v>
                </c:pt>
                <c:pt idx="1369">
                  <c:v>2.181631942339668</c:v>
                </c:pt>
                <c:pt idx="1370">
                  <c:v>2.1779334305378288</c:v>
                </c:pt>
                <c:pt idx="1371">
                  <c:v>2.1777604546748695</c:v>
                </c:pt>
                <c:pt idx="1372">
                  <c:v>2.1774143567253326</c:v>
                </c:pt>
                <c:pt idx="1373">
                  <c:v>2.1754222633842035</c:v>
                </c:pt>
                <c:pt idx="1374">
                  <c:v>2.1718491899292252</c:v>
                </c:pt>
                <c:pt idx="1375">
                  <c:v>2.1712370329759905</c:v>
                </c:pt>
                <c:pt idx="1376">
                  <c:v>2.1700097684149493</c:v>
                </c:pt>
                <c:pt idx="1377">
                  <c:v>2.1698345875054597</c:v>
                </c:pt>
                <c:pt idx="1378">
                  <c:v>2.1686917944991317</c:v>
                </c:pt>
                <c:pt idx="1379">
                  <c:v>2.1639163572094162</c:v>
                </c:pt>
                <c:pt idx="1380">
                  <c:v>2.1628498564778407</c:v>
                </c:pt>
                <c:pt idx="1381">
                  <c:v>2.1626715420146039</c:v>
                </c:pt>
                <c:pt idx="1382">
                  <c:v>2.1595444461973972</c:v>
                </c:pt>
                <c:pt idx="1383">
                  <c:v>2.1578388844601508</c:v>
                </c:pt>
                <c:pt idx="1384">
                  <c:v>2.1575705772445524</c:v>
                </c:pt>
                <c:pt idx="1385">
                  <c:v>2.1563090672184435</c:v>
                </c:pt>
                <c:pt idx="1386">
                  <c:v>2.15603895299519</c:v>
                </c:pt>
                <c:pt idx="1387">
                  <c:v>2.1559488910920956</c:v>
                </c:pt>
                <c:pt idx="1388">
                  <c:v>2.1549550191033466</c:v>
                </c:pt>
                <c:pt idx="1389">
                  <c:v>2.1542318420791173</c:v>
                </c:pt>
                <c:pt idx="1390">
                  <c:v>2.1538693652330765</c:v>
                </c:pt>
                <c:pt idx="1391">
                  <c:v>2.1537790173243412</c:v>
                </c:pt>
                <c:pt idx="1392">
                  <c:v>2.1512360001509649</c:v>
                </c:pt>
                <c:pt idx="1393">
                  <c:v>2.1500512325412848</c:v>
                </c:pt>
                <c:pt idx="1394">
                  <c:v>2.1495035522572374</c:v>
                </c:pt>
                <c:pt idx="1395">
                  <c:v>2.1414983653256869</c:v>
                </c:pt>
                <c:pt idx="1396">
                  <c:v>2.1393623189165853</c:v>
                </c:pt>
                <c:pt idx="1397">
                  <c:v>2.1374974088680281</c:v>
                </c:pt>
                <c:pt idx="1398">
                  <c:v>2.1359082229412576</c:v>
                </c:pt>
                <c:pt idx="1399">
                  <c:v>2.1343144044885656</c:v>
                </c:pt>
                <c:pt idx="1400">
                  <c:v>2.1343144044885656</c:v>
                </c:pt>
                <c:pt idx="1401">
                  <c:v>2.1313962375856037</c:v>
                </c:pt>
                <c:pt idx="1402">
                  <c:v>2.1292211050913981</c:v>
                </c:pt>
                <c:pt idx="1403">
                  <c:v>2.127322162675847</c:v>
                </c:pt>
                <c:pt idx="1404">
                  <c:v>2.1262771287760165</c:v>
                </c:pt>
                <c:pt idx="1405">
                  <c:v>2.1249412929107678</c:v>
                </c:pt>
                <c:pt idx="1406">
                  <c:v>2.1214941863105978</c:v>
                </c:pt>
                <c:pt idx="1407">
                  <c:v>2.1212071917208117</c:v>
                </c:pt>
                <c:pt idx="1408">
                  <c:v>2.1208218518369155</c:v>
                </c:pt>
                <c:pt idx="1409">
                  <c:v>2.1175452647400128</c:v>
                </c:pt>
                <c:pt idx="1410">
                  <c:v>2.1167708701749</c:v>
                </c:pt>
                <c:pt idx="1411">
                  <c:v>2.1131777636416875</c:v>
                </c:pt>
                <c:pt idx="1412">
                  <c:v>2.1119103330657247</c:v>
                </c:pt>
                <c:pt idx="1413">
                  <c:v>2.1106409565036808</c:v>
                </c:pt>
                <c:pt idx="1414">
                  <c:v>2.1106409565036808</c:v>
                </c:pt>
                <c:pt idx="1415">
                  <c:v>2.109857461523744</c:v>
                </c:pt>
                <c:pt idx="1416">
                  <c:v>2.1026674028842796</c:v>
                </c:pt>
                <c:pt idx="1417">
                  <c:v>2.0972932994289075</c:v>
                </c:pt>
                <c:pt idx="1418">
                  <c:v>2.0909654201919241</c:v>
                </c:pt>
                <c:pt idx="1419">
                  <c:v>2.090761852585588</c:v>
                </c:pt>
                <c:pt idx="1420">
                  <c:v>2.0899549603987086</c:v>
                </c:pt>
                <c:pt idx="1421">
                  <c:v>2.0818149968516906</c:v>
                </c:pt>
                <c:pt idx="1422">
                  <c:v>2.0814037407685779</c:v>
                </c:pt>
                <c:pt idx="1423">
                  <c:v>2.0778081503672956</c:v>
                </c:pt>
                <c:pt idx="1424">
                  <c:v>2.0748137836203826</c:v>
                </c:pt>
                <c:pt idx="1425">
                  <c:v>2.0699331907376481</c:v>
                </c:pt>
                <c:pt idx="1426">
                  <c:v>2.0695141347264032</c:v>
                </c:pt>
                <c:pt idx="1427">
                  <c:v>2.0657493398765117</c:v>
                </c:pt>
                <c:pt idx="1428">
                  <c:v>2.0651207074182154</c:v>
                </c:pt>
                <c:pt idx="1429">
                  <c:v>2.0642783370393989</c:v>
                </c:pt>
                <c:pt idx="1430">
                  <c:v>2.0641736619534852</c:v>
                </c:pt>
                <c:pt idx="1431">
                  <c:v>2.0609071707870652</c:v>
                </c:pt>
                <c:pt idx="1432">
                  <c:v>2.060695762868316</c:v>
                </c:pt>
                <c:pt idx="1433">
                  <c:v>2.0556047670400588</c:v>
                </c:pt>
                <c:pt idx="1434">
                  <c:v>2.0531522631639429</c:v>
                </c:pt>
                <c:pt idx="1435">
                  <c:v>2.0531522631639429</c:v>
                </c:pt>
                <c:pt idx="1436">
                  <c:v>2.0527248572605368</c:v>
                </c:pt>
                <c:pt idx="1437">
                  <c:v>2.0521913732543058</c:v>
                </c:pt>
                <c:pt idx="1438">
                  <c:v>2.05133424586744</c:v>
                </c:pt>
                <c:pt idx="1439">
                  <c:v>2.0501554078151671</c:v>
                </c:pt>
                <c:pt idx="1440">
                  <c:v>2.0477910682177662</c:v>
                </c:pt>
                <c:pt idx="1441">
                  <c:v>2.0475756200763295</c:v>
                </c:pt>
                <c:pt idx="1442">
                  <c:v>2.0437969015900572</c:v>
                </c:pt>
                <c:pt idx="1443">
                  <c:v>2.0415200373367868</c:v>
                </c:pt>
                <c:pt idx="1444">
                  <c:v>2.0403249111902979</c:v>
                </c:pt>
                <c:pt idx="1445">
                  <c:v>2.0373816608062341</c:v>
                </c:pt>
                <c:pt idx="1446">
                  <c:v>2.0371641469973181</c:v>
                </c:pt>
                <c:pt idx="1447">
                  <c:v>2.0347576560609357</c:v>
                </c:pt>
                <c:pt idx="1448">
                  <c:v>2.0339902424702503</c:v>
                </c:pt>
                <c:pt idx="1449">
                  <c:v>2.0337693070954619</c:v>
                </c:pt>
                <c:pt idx="1450">
                  <c:v>2.0296991623951732</c:v>
                </c:pt>
                <c:pt idx="1451">
                  <c:v>2.0271559303342856</c:v>
                </c:pt>
                <c:pt idx="1452">
                  <c:v>2.0271559303342856</c:v>
                </c:pt>
                <c:pt idx="1453">
                  <c:v>2.0264904073638159</c:v>
                </c:pt>
                <c:pt idx="1454">
                  <c:v>2.0198114441117796</c:v>
                </c:pt>
                <c:pt idx="1455">
                  <c:v>2.0190284582586751</c:v>
                </c:pt>
                <c:pt idx="1456">
                  <c:v>2.0158885735210244</c:v>
                </c:pt>
                <c:pt idx="1457">
                  <c:v>2.0135247676290025</c:v>
                </c:pt>
                <c:pt idx="1458">
                  <c:v>2.0083206529662343</c:v>
                </c:pt>
                <c:pt idx="1459">
                  <c:v>2.0082077666044524</c:v>
                </c:pt>
                <c:pt idx="1460">
                  <c:v>2.0080934587045935</c:v>
                </c:pt>
                <c:pt idx="1461">
                  <c:v>2.0053624767542431</c:v>
                </c:pt>
                <c:pt idx="1462">
                  <c:v>2.0033099748288872</c:v>
                </c:pt>
                <c:pt idx="1463">
                  <c:v>2.0033099748288872</c:v>
                </c:pt>
                <c:pt idx="1464">
                  <c:v>2.0018244327063548</c:v>
                </c:pt>
                <c:pt idx="1465">
                  <c:v>1.9983817582900429</c:v>
                </c:pt>
                <c:pt idx="1466">
                  <c:v>1.9982679809693689</c:v>
                </c:pt>
                <c:pt idx="1467">
                  <c:v>1.9945790242535613</c:v>
                </c:pt>
                <c:pt idx="1468">
                  <c:v>1.9922663278440769</c:v>
                </c:pt>
                <c:pt idx="1469">
                  <c:v>1.9914544921969604</c:v>
                </c:pt>
                <c:pt idx="1470">
                  <c:v>1.9908753255634264</c:v>
                </c:pt>
                <c:pt idx="1471">
                  <c:v>1.9908753255634264</c:v>
                </c:pt>
                <c:pt idx="1472">
                  <c:v>1.9897148005092995</c:v>
                </c:pt>
                <c:pt idx="1473">
                  <c:v>1.9851688894020325</c:v>
                </c:pt>
                <c:pt idx="1474">
                  <c:v>1.9827117394755118</c:v>
                </c:pt>
                <c:pt idx="1475">
                  <c:v>1.9824771508776042</c:v>
                </c:pt>
                <c:pt idx="1476">
                  <c:v>1.9821259122433066</c:v>
                </c:pt>
                <c:pt idx="1477">
                  <c:v>1.9796589492176855</c:v>
                </c:pt>
                <c:pt idx="1478">
                  <c:v>1.978244795236535</c:v>
                </c:pt>
                <c:pt idx="1479">
                  <c:v>1.977184676978482</c:v>
                </c:pt>
                <c:pt idx="1480">
                  <c:v>1.9752935274734769</c:v>
                </c:pt>
                <c:pt idx="1481">
                  <c:v>1.9718575017873732</c:v>
                </c:pt>
                <c:pt idx="1482">
                  <c:v>1.9657792836270638</c:v>
                </c:pt>
                <c:pt idx="1483">
                  <c:v>1.9651805412068388</c:v>
                </c:pt>
                <c:pt idx="1484">
                  <c:v>1.9650610545687384</c:v>
                </c:pt>
                <c:pt idx="1485">
                  <c:v>1.9644620164477384</c:v>
                </c:pt>
                <c:pt idx="1486">
                  <c:v>1.9641033503062246</c:v>
                </c:pt>
                <c:pt idx="1487">
                  <c:v>1.9635024601000981</c:v>
                </c:pt>
                <c:pt idx="1488">
                  <c:v>1.9603802924327873</c:v>
                </c:pt>
                <c:pt idx="1489">
                  <c:v>1.9560351293591147</c:v>
                </c:pt>
                <c:pt idx="1490">
                  <c:v>1.9556714847404235</c:v>
                </c:pt>
                <c:pt idx="1491">
                  <c:v>1.9544596805686301</c:v>
                </c:pt>
                <c:pt idx="1492">
                  <c:v>1.9522756926751785</c:v>
                </c:pt>
                <c:pt idx="1493">
                  <c:v>1.9521536963898125</c:v>
                </c:pt>
                <c:pt idx="1494">
                  <c:v>1.9519111446785307</c:v>
                </c:pt>
                <c:pt idx="1495">
                  <c:v>1.9511803167490462</c:v>
                </c:pt>
                <c:pt idx="1496">
                  <c:v>1.949598358902628</c:v>
                </c:pt>
                <c:pt idx="1497">
                  <c:v>1.9485010704960228</c:v>
                </c:pt>
                <c:pt idx="1498">
                  <c:v>1.9470358240596035</c:v>
                </c:pt>
                <c:pt idx="1499">
                  <c:v>1.9453211777399526</c:v>
                </c:pt>
                <c:pt idx="1500">
                  <c:v>1.9447098245751109</c:v>
                </c:pt>
                <c:pt idx="1501">
                  <c:v>1.9420075725922143</c:v>
                </c:pt>
                <c:pt idx="1502">
                  <c:v>1.9380641992946077</c:v>
                </c:pt>
                <c:pt idx="1503">
                  <c:v>1.9378179714907398</c:v>
                </c:pt>
                <c:pt idx="1504">
                  <c:v>1.9362106326711372</c:v>
                </c:pt>
                <c:pt idx="1505">
                  <c:v>1.9318689502983131</c:v>
                </c:pt>
                <c:pt idx="1506">
                  <c:v>1.9303749511139239</c:v>
                </c:pt>
                <c:pt idx="1507">
                  <c:v>1.9282545215602516</c:v>
                </c:pt>
                <c:pt idx="1508">
                  <c:v>1.9266303123138755</c:v>
                </c:pt>
                <c:pt idx="1509">
                  <c:v>1.9239995787747224</c:v>
                </c:pt>
                <c:pt idx="1510">
                  <c:v>1.9226197948817896</c:v>
                </c:pt>
                <c:pt idx="1511">
                  <c:v>1.9204805640187286</c:v>
                </c:pt>
                <c:pt idx="1512">
                  <c:v>1.9185907848776911</c:v>
                </c:pt>
                <c:pt idx="1513">
                  <c:v>1.9172006248459283</c:v>
                </c:pt>
                <c:pt idx="1514">
                  <c:v>1.9170744643512774</c:v>
                </c:pt>
                <c:pt idx="1515">
                  <c:v>1.9142905986247016</c:v>
                </c:pt>
                <c:pt idx="1516">
                  <c:v>1.9122600348554664</c:v>
                </c:pt>
                <c:pt idx="1517">
                  <c:v>1.9081858640485108</c:v>
                </c:pt>
                <c:pt idx="1518">
                  <c:v>1.9080575468737877</c:v>
                </c:pt>
                <c:pt idx="1519">
                  <c:v>1.9057583623858596</c:v>
                </c:pt>
                <c:pt idx="1520">
                  <c:v>1.9040933282727384</c:v>
                </c:pt>
                <c:pt idx="1521">
                  <c:v>1.8997261765518041</c:v>
                </c:pt>
                <c:pt idx="1522">
                  <c:v>1.8989525512901619</c:v>
                </c:pt>
                <c:pt idx="1523">
                  <c:v>1.8968894918255441</c:v>
                </c:pt>
                <c:pt idx="1524">
                  <c:v>1.895468769106633</c:v>
                </c:pt>
                <c:pt idx="1525">
                  <c:v>1.8946903342702637</c:v>
                </c:pt>
                <c:pt idx="1526">
                  <c:v>1.889239936898331</c:v>
                </c:pt>
                <c:pt idx="1527">
                  <c:v>1.8800848170860114</c:v>
                </c:pt>
                <c:pt idx="1528">
                  <c:v>1.8778495837932563</c:v>
                </c:pt>
                <c:pt idx="1529">
                  <c:v>1.8721690895569301</c:v>
                </c:pt>
                <c:pt idx="1530">
                  <c:v>1.8715075363823024</c:v>
                </c:pt>
                <c:pt idx="1531">
                  <c:v>1.8715075363823024</c:v>
                </c:pt>
                <c:pt idx="1532">
                  <c:v>1.8644573313699864</c:v>
                </c:pt>
                <c:pt idx="1533">
                  <c:v>1.864324545808608</c:v>
                </c:pt>
                <c:pt idx="1534">
                  <c:v>1.8619175204852976</c:v>
                </c:pt>
                <c:pt idx="1535">
                  <c:v>1.858298779976316</c:v>
                </c:pt>
                <c:pt idx="1536">
                  <c:v>1.8577614058247158</c:v>
                </c:pt>
                <c:pt idx="1537">
                  <c:v>1.8550709839226887</c:v>
                </c:pt>
                <c:pt idx="1538">
                  <c:v>1.8527777891109878</c:v>
                </c:pt>
                <c:pt idx="1539">
                  <c:v>1.851830644386091</c:v>
                </c:pt>
                <c:pt idx="1540">
                  <c:v>1.8504790965254034</c:v>
                </c:pt>
                <c:pt idx="1541">
                  <c:v>1.8492604452722927</c:v>
                </c:pt>
                <c:pt idx="1542">
                  <c:v>1.8477688688882552</c:v>
                </c:pt>
                <c:pt idx="1543">
                  <c:v>1.8443698590726312</c:v>
                </c:pt>
                <c:pt idx="1544">
                  <c:v>1.8431447806144883</c:v>
                </c:pt>
                <c:pt idx="1545">
                  <c:v>1.8425990506558458</c:v>
                </c:pt>
                <c:pt idx="1546">
                  <c:v>1.8421904476669073</c:v>
                </c:pt>
                <c:pt idx="1547">
                  <c:v>1.8400058413554081</c:v>
                </c:pt>
                <c:pt idx="1548">
                  <c:v>1.8341096489902182</c:v>
                </c:pt>
                <c:pt idx="1549">
                  <c:v>1.8336964236008519</c:v>
                </c:pt>
                <c:pt idx="1550">
                  <c:v>1.8305291105075481</c:v>
                </c:pt>
                <c:pt idx="1551">
                  <c:v>1.8299772997325729</c:v>
                </c:pt>
                <c:pt idx="1552">
                  <c:v>1.8272132115458322</c:v>
                </c:pt>
                <c:pt idx="1553">
                  <c:v>1.8243029763834056</c:v>
                </c:pt>
                <c:pt idx="1554">
                  <c:v>1.8241631101167499</c:v>
                </c:pt>
                <c:pt idx="1555">
                  <c:v>1.8218014739246473</c:v>
                </c:pt>
                <c:pt idx="1556">
                  <c:v>1.8213861466885022</c:v>
                </c:pt>
                <c:pt idx="1557">
                  <c:v>1.8194344409144381</c:v>
                </c:pt>
                <c:pt idx="1558">
                  <c:v>1.8184580172403337</c:v>
                </c:pt>
                <c:pt idx="1559">
                  <c:v>1.8179003407866952</c:v>
                </c:pt>
                <c:pt idx="1560">
                  <c:v>1.8142645586570294</c:v>
                </c:pt>
                <c:pt idx="1561">
                  <c:v>1.8092106842944236</c:v>
                </c:pt>
                <c:pt idx="1562">
                  <c:v>1.8054043397586996</c:v>
                </c:pt>
                <c:pt idx="1563">
                  <c:v>1.8052618512077285</c:v>
                </c:pt>
                <c:pt idx="1564">
                  <c:v>1.8035672353708436</c:v>
                </c:pt>
                <c:pt idx="1565">
                  <c:v>1.797467282945898</c:v>
                </c:pt>
                <c:pt idx="1566">
                  <c:v>1.7970385344017523</c:v>
                </c:pt>
                <c:pt idx="1567">
                  <c:v>1.7953308164473301</c:v>
                </c:pt>
                <c:pt idx="1568">
                  <c:v>1.7867462223624806</c:v>
                </c:pt>
                <c:pt idx="1569">
                  <c:v>1.7866027655073131</c:v>
                </c:pt>
                <c:pt idx="1570">
                  <c:v>1.7851662076047703</c:v>
                </c:pt>
                <c:pt idx="1571">
                  <c:v>1.7843016953506809</c:v>
                </c:pt>
                <c:pt idx="1572">
                  <c:v>1.7819971965369314</c:v>
                </c:pt>
                <c:pt idx="1573">
                  <c:v>1.7814191900411103</c:v>
                </c:pt>
                <c:pt idx="1574">
                  <c:v>1.7812754690433692</c:v>
                </c:pt>
                <c:pt idx="1575">
                  <c:v>1.7806973200663252</c:v>
                </c:pt>
                <c:pt idx="1576">
                  <c:v>1.7795406807972065</c:v>
                </c:pt>
                <c:pt idx="1577">
                  <c:v>1.7760680492304084</c:v>
                </c:pt>
                <c:pt idx="1578">
                  <c:v>1.7743270171267793</c:v>
                </c:pt>
                <c:pt idx="1579">
                  <c:v>1.7734529214217907</c:v>
                </c:pt>
                <c:pt idx="1580">
                  <c:v>1.7709797563653249</c:v>
                </c:pt>
                <c:pt idx="1581">
                  <c:v>1.7696686797946493</c:v>
                </c:pt>
                <c:pt idx="1582">
                  <c:v>1.7696686797946493</c:v>
                </c:pt>
                <c:pt idx="1583">
                  <c:v>1.7676256224199385</c:v>
                </c:pt>
                <c:pt idx="1584">
                  <c:v>1.7651397487293981</c:v>
                </c:pt>
                <c:pt idx="1585">
                  <c:v>1.7648459352933601</c:v>
                </c:pt>
                <c:pt idx="1586">
                  <c:v>1.762941102768866</c:v>
                </c:pt>
                <c:pt idx="1587">
                  <c:v>1.7608872270861475</c:v>
                </c:pt>
                <c:pt idx="1588">
                  <c:v>1.7567658678455438</c:v>
                </c:pt>
                <c:pt idx="1589">
                  <c:v>1.7526296157742396</c:v>
                </c:pt>
                <c:pt idx="1590">
                  <c:v>1.747736133489016</c:v>
                </c:pt>
                <c:pt idx="1591">
                  <c:v>1.7458019463435615</c:v>
                </c:pt>
                <c:pt idx="1592">
                  <c:v>1.7413288020138071</c:v>
                </c:pt>
                <c:pt idx="1593">
                  <c:v>1.7404295992950591</c:v>
                </c:pt>
                <c:pt idx="1594">
                  <c:v>1.7360856140583236</c:v>
                </c:pt>
                <c:pt idx="1595">
                  <c:v>1.7351850788192746</c:v>
                </c:pt>
                <c:pt idx="1596">
                  <c:v>1.7336815246413708</c:v>
                </c:pt>
                <c:pt idx="1597">
                  <c:v>1.7299166681799509</c:v>
                </c:pt>
                <c:pt idx="1598">
                  <c:v>1.7273494262263616</c:v>
                </c:pt>
                <c:pt idx="1599">
                  <c:v>1.726592871364476</c:v>
                </c:pt>
                <c:pt idx="1600">
                  <c:v>1.7234123756001603</c:v>
                </c:pt>
                <c:pt idx="1601">
                  <c:v>1.7130534737132241</c:v>
                </c:pt>
                <c:pt idx="1602">
                  <c:v>1.710758664223599</c:v>
                </c:pt>
                <c:pt idx="1603">
                  <c:v>1.704457586057734</c:v>
                </c:pt>
                <c:pt idx="1604">
                  <c:v>1.7033797966284008</c:v>
                </c:pt>
                <c:pt idx="1605">
                  <c:v>1.702452022792772</c:v>
                </c:pt>
                <c:pt idx="1606">
                  <c:v>1.6996740183845895</c:v>
                </c:pt>
                <c:pt idx="1607">
                  <c:v>1.6978166501056431</c:v>
                </c:pt>
                <c:pt idx="1608">
                  <c:v>1.6961122697401347</c:v>
                </c:pt>
                <c:pt idx="1609">
                  <c:v>1.6959552106634841</c:v>
                </c:pt>
                <c:pt idx="1610">
                  <c:v>1.6847373298261112</c:v>
                </c:pt>
                <c:pt idx="1611">
                  <c:v>1.6822305038486955</c:v>
                </c:pt>
                <c:pt idx="1612">
                  <c:v>1.6805038209350385</c:v>
                </c:pt>
                <c:pt idx="1613">
                  <c:v>1.6801886168526674</c:v>
                </c:pt>
                <c:pt idx="1614">
                  <c:v>1.677360699196994</c:v>
                </c:pt>
                <c:pt idx="1615">
                  <c:v>1.675152390649608</c:v>
                </c:pt>
                <c:pt idx="1616">
                  <c:v>1.6724695320206018</c:v>
                </c:pt>
                <c:pt idx="1617">
                  <c:v>1.6707295001525662</c:v>
                </c:pt>
                <c:pt idx="1618">
                  <c:v>1.6672443371302859</c:v>
                </c:pt>
                <c:pt idx="1619">
                  <c:v>1.6662895323923552</c:v>
                </c:pt>
                <c:pt idx="1620">
                  <c:v>1.6546467209104392</c:v>
                </c:pt>
                <c:pt idx="1621">
                  <c:v>1.6530427163709374</c:v>
                </c:pt>
                <c:pt idx="1622">
                  <c:v>1.6509561605064116</c:v>
                </c:pt>
                <c:pt idx="1623">
                  <c:v>1.6451579922102513</c:v>
                </c:pt>
                <c:pt idx="1624">
                  <c:v>1.639168794715923</c:v>
                </c:pt>
                <c:pt idx="1625">
                  <c:v>1.630874796731411</c:v>
                </c:pt>
                <c:pt idx="1626">
                  <c:v>1.6241655560415142</c:v>
                </c:pt>
                <c:pt idx="1627">
                  <c:v>1.6169317648667796</c:v>
                </c:pt>
                <c:pt idx="1628">
                  <c:v>1.6147867479210305</c:v>
                </c:pt>
                <c:pt idx="1629">
                  <c:v>1.6126377753914982</c:v>
                </c:pt>
                <c:pt idx="1630">
                  <c:v>1.6088265513143987</c:v>
                </c:pt>
                <c:pt idx="1631">
                  <c:v>1.6055055404256606</c:v>
                </c:pt>
                <c:pt idx="1632">
                  <c:v>1.6018404875754668</c:v>
                </c:pt>
                <c:pt idx="1633">
                  <c:v>1.5951546614304239</c:v>
                </c:pt>
                <c:pt idx="1634">
                  <c:v>1.5882703491447152</c:v>
                </c:pt>
                <c:pt idx="1635">
                  <c:v>1.5869208418086018</c:v>
                </c:pt>
                <c:pt idx="1636">
                  <c:v>1.5842212358643009</c:v>
                </c:pt>
                <c:pt idx="1637">
                  <c:v>1.5752404385887835</c:v>
                </c:pt>
                <c:pt idx="1638">
                  <c:v>1.5653468874790206</c:v>
                </c:pt>
                <c:pt idx="1639">
                  <c:v>1.5650029247248998</c:v>
                </c:pt>
                <c:pt idx="1640">
                  <c:v>1.5639743149949856</c:v>
                </c:pt>
                <c:pt idx="1641">
                  <c:v>1.5636336515207945</c:v>
                </c:pt>
                <c:pt idx="1642">
                  <c:v>1.5620905231921036</c:v>
                </c:pt>
                <c:pt idx="1643">
                  <c:v>1.5598556411976203</c:v>
                </c:pt>
                <c:pt idx="1644">
                  <c:v>1.5595148608611042</c:v>
                </c:pt>
                <c:pt idx="1645">
                  <c:v>1.555555115246618</c:v>
                </c:pt>
                <c:pt idx="1646">
                  <c:v>1.5527942695110586</c:v>
                </c:pt>
                <c:pt idx="1647">
                  <c:v>1.5522761292896285</c:v>
                </c:pt>
                <c:pt idx="1648">
                  <c:v>1.5515841304583418</c:v>
                </c:pt>
                <c:pt idx="1649">
                  <c:v>1.5409993921463332</c:v>
                </c:pt>
                <c:pt idx="1650">
                  <c:v>1.5397782441768562</c:v>
                </c:pt>
                <c:pt idx="1651">
                  <c:v>1.5357628720739835</c:v>
                </c:pt>
                <c:pt idx="1652">
                  <c:v>1.5284023281872023</c:v>
                </c:pt>
                <c:pt idx="1653">
                  <c:v>1.5213571926156322</c:v>
                </c:pt>
                <c:pt idx="1654">
                  <c:v>1.5195922054495772</c:v>
                </c:pt>
                <c:pt idx="1655">
                  <c:v>1.5171169838203065</c:v>
                </c:pt>
                <c:pt idx="1656">
                  <c:v>1.5057394289120904</c:v>
                </c:pt>
                <c:pt idx="1657">
                  <c:v>1.5034171750659151</c:v>
                </c:pt>
                <c:pt idx="1658">
                  <c:v>1.5021671852773903</c:v>
                </c:pt>
                <c:pt idx="1659">
                  <c:v>1.5001966108731355</c:v>
                </c:pt>
                <c:pt idx="1660">
                  <c:v>1.4989431694844058</c:v>
                </c:pt>
                <c:pt idx="1661">
                  <c:v>1.496070847025937</c:v>
                </c:pt>
                <c:pt idx="1662">
                  <c:v>1.4948139430660696</c:v>
                </c:pt>
                <c:pt idx="1663">
                  <c:v>1.488689913942971</c:v>
                </c:pt>
                <c:pt idx="1664">
                  <c:v>1.4885088995722253</c:v>
                </c:pt>
                <c:pt idx="1665">
                  <c:v>1.4872451395048867</c:v>
                </c:pt>
                <c:pt idx="1666">
                  <c:v>1.4809059783515706</c:v>
                </c:pt>
                <c:pt idx="1667">
                  <c:v>1.4800008376804101</c:v>
                </c:pt>
                <c:pt idx="1668">
                  <c:v>1.4798164566338288</c:v>
                </c:pt>
                <c:pt idx="1669">
                  <c:v>1.4701614963017982</c:v>
                </c:pt>
                <c:pt idx="1670">
                  <c:v>1.4661386561799503</c:v>
                </c:pt>
                <c:pt idx="1671">
                  <c:v>1.4628366640722876</c:v>
                </c:pt>
                <c:pt idx="1672">
                  <c:v>1.4620991779395103</c:v>
                </c:pt>
                <c:pt idx="1673">
                  <c:v>1.46007782804696</c:v>
                </c:pt>
                <c:pt idx="1674">
                  <c:v>1.4597090964825536</c:v>
                </c:pt>
                <c:pt idx="1675">
                  <c:v>1.4582375410147888</c:v>
                </c:pt>
                <c:pt idx="1676">
                  <c:v>1.4563939521883886</c:v>
                </c:pt>
                <c:pt idx="1677">
                  <c:v>1.4538096714395645</c:v>
                </c:pt>
                <c:pt idx="1678">
                  <c:v>1.4517785343638168</c:v>
                </c:pt>
                <c:pt idx="1679">
                  <c:v>1.4510378269794642</c:v>
                </c:pt>
                <c:pt idx="1680">
                  <c:v>1.4502971313063966</c:v>
                </c:pt>
                <c:pt idx="1681">
                  <c:v>1.4471468004315871</c:v>
                </c:pt>
                <c:pt idx="1682">
                  <c:v>1.4417549606850102</c:v>
                </c:pt>
                <c:pt idx="1683">
                  <c:v>1.441011092225492</c:v>
                </c:pt>
                <c:pt idx="1684">
                  <c:v>1.4400796050457991</c:v>
                </c:pt>
                <c:pt idx="1685">
                  <c:v>1.4237769167180085</c:v>
                </c:pt>
                <c:pt idx="1686">
                  <c:v>1.4211384467057409</c:v>
                </c:pt>
                <c:pt idx="1687">
                  <c:v>1.4143295714231674</c:v>
                </c:pt>
                <c:pt idx="1688">
                  <c:v>1.4131916493279575</c:v>
                </c:pt>
                <c:pt idx="1689">
                  <c:v>1.412435305371929</c:v>
                </c:pt>
                <c:pt idx="1690">
                  <c:v>1.4092061487160779</c:v>
                </c:pt>
                <c:pt idx="1691">
                  <c:v>1.406158253685458</c:v>
                </c:pt>
                <c:pt idx="1692">
                  <c:v>1.4057768883517046</c:v>
                </c:pt>
                <c:pt idx="1693">
                  <c:v>1.4052082024028449</c:v>
                </c:pt>
                <c:pt idx="1694">
                  <c:v>1.403107585890581</c:v>
                </c:pt>
                <c:pt idx="1695">
                  <c:v>1.4000508281853568</c:v>
                </c:pt>
                <c:pt idx="1696">
                  <c:v>1.3994790090014602</c:v>
                </c:pt>
                <c:pt idx="1697">
                  <c:v>1.3987132740491992</c:v>
                </c:pt>
                <c:pt idx="1698">
                  <c:v>1.392384988833882</c:v>
                </c:pt>
                <c:pt idx="1699">
                  <c:v>1.3839051464668113</c:v>
                </c:pt>
                <c:pt idx="1700">
                  <c:v>1.3746067783674505</c:v>
                </c:pt>
                <c:pt idx="1701">
                  <c:v>1.3670101958541696</c:v>
                </c:pt>
                <c:pt idx="1702">
                  <c:v>1.3597690766219863</c:v>
                </c:pt>
                <c:pt idx="1703">
                  <c:v>1.3578063515511691</c:v>
                </c:pt>
                <c:pt idx="1704">
                  <c:v>1.3542684667149016</c:v>
                </c:pt>
                <c:pt idx="1705">
                  <c:v>1.3540719565690456</c:v>
                </c:pt>
                <c:pt idx="1706">
                  <c:v>1.3443982634421547</c:v>
                </c:pt>
                <c:pt idx="1707">
                  <c:v>1.3434068601246985</c:v>
                </c:pt>
                <c:pt idx="1708">
                  <c:v>1.3432105891614872</c:v>
                </c:pt>
                <c:pt idx="1709">
                  <c:v>1.3318779761303092</c:v>
                </c:pt>
                <c:pt idx="1710">
                  <c:v>1.3298817110030341</c:v>
                </c:pt>
                <c:pt idx="1711">
                  <c:v>1.3296824446695779</c:v>
                </c:pt>
                <c:pt idx="1712">
                  <c:v>1.3278826380099233</c:v>
                </c:pt>
                <c:pt idx="1713">
                  <c:v>1.3274808936289293</c:v>
                </c:pt>
                <c:pt idx="1714">
                  <c:v>1.3264816046092964</c:v>
                </c:pt>
                <c:pt idx="1715">
                  <c:v>1.3236769964157415</c:v>
                </c:pt>
                <c:pt idx="1716">
                  <c:v>1.3230763824481715</c:v>
                </c:pt>
                <c:pt idx="1717">
                  <c:v>1.3208668077914489</c:v>
                </c:pt>
                <c:pt idx="1718">
                  <c:v>1.3178521138921899</c:v>
                </c:pt>
                <c:pt idx="1719">
                  <c:v>1.3120054435165811</c:v>
                </c:pt>
                <c:pt idx="1720">
                  <c:v>1.3081633688824994</c:v>
                </c:pt>
                <c:pt idx="1721">
                  <c:v>1.2982173444046134</c:v>
                </c:pt>
                <c:pt idx="1722">
                  <c:v>1.2953647319386448</c:v>
                </c:pt>
                <c:pt idx="1723">
                  <c:v>1.2931179275297182</c:v>
                </c:pt>
                <c:pt idx="1724">
                  <c:v>1.2929131120447475</c:v>
                </c:pt>
                <c:pt idx="1725">
                  <c:v>1.2824634384558642</c:v>
                </c:pt>
                <c:pt idx="1726">
                  <c:v>1.2812302233525357</c:v>
                </c:pt>
                <c:pt idx="1727">
                  <c:v>1.2799972684879437</c:v>
                </c:pt>
                <c:pt idx="1728">
                  <c:v>1.2696726470073507</c:v>
                </c:pt>
                <c:pt idx="1729">
                  <c:v>1.2673929342211847</c:v>
                </c:pt>
                <c:pt idx="1730">
                  <c:v>1.2630302622664</c:v>
                </c:pt>
                <c:pt idx="1731">
                  <c:v>1.2597022946657073</c:v>
                </c:pt>
                <c:pt idx="1732">
                  <c:v>1.258034173077996</c:v>
                </c:pt>
                <c:pt idx="1733">
                  <c:v>1.2540663247326493</c:v>
                </c:pt>
                <c:pt idx="1734">
                  <c:v>1.2536496973436475</c:v>
                </c:pt>
                <c:pt idx="1735">
                  <c:v>1.2515572330783979</c:v>
                </c:pt>
                <c:pt idx="1736">
                  <c:v>1.2448462264998346</c:v>
                </c:pt>
                <c:pt idx="1737">
                  <c:v>1.238317676821769</c:v>
                </c:pt>
                <c:pt idx="1738">
                  <c:v>1.233248230510523</c:v>
                </c:pt>
                <c:pt idx="1739">
                  <c:v>1.2330358967859989</c:v>
                </c:pt>
                <c:pt idx="1740">
                  <c:v>1.2294342312302149</c:v>
                </c:pt>
                <c:pt idx="1741">
                  <c:v>1.2292220717127009</c:v>
                </c:pt>
                <c:pt idx="1742">
                  <c:v>1.2281614207782678</c:v>
                </c:pt>
                <c:pt idx="1743">
                  <c:v>1.2266736593726077</c:v>
                </c:pt>
                <c:pt idx="1744">
                  <c:v>1.2264616275656015</c:v>
                </c:pt>
                <c:pt idx="1745">
                  <c:v>1.2230606869511953</c:v>
                </c:pt>
                <c:pt idx="1746">
                  <c:v>1.2016429236626269</c:v>
                </c:pt>
                <c:pt idx="1747">
                  <c:v>1.1988383855838136</c:v>
                </c:pt>
                <c:pt idx="1748">
                  <c:v>1.1938662815379193</c:v>
                </c:pt>
                <c:pt idx="1749">
                  <c:v>1.1934357614545392</c:v>
                </c:pt>
                <c:pt idx="1750">
                  <c:v>1.1934357614545392</c:v>
                </c:pt>
                <c:pt idx="1751">
                  <c:v>1.1904007759427759</c:v>
                </c:pt>
                <c:pt idx="1752">
                  <c:v>1.1851871962302079</c:v>
                </c:pt>
                <c:pt idx="1753">
                  <c:v>1.1849707869639698</c:v>
                </c:pt>
                <c:pt idx="1754">
                  <c:v>1.1849707869639698</c:v>
                </c:pt>
                <c:pt idx="1755">
                  <c:v>1.1838792340989388</c:v>
                </c:pt>
                <c:pt idx="1756">
                  <c:v>1.1812646335091705</c:v>
                </c:pt>
                <c:pt idx="1757">
                  <c:v>1.175370578146506</c:v>
                </c:pt>
                <c:pt idx="1758">
                  <c:v>1.1714259288998872</c:v>
                </c:pt>
                <c:pt idx="1759">
                  <c:v>1.168353610528051</c:v>
                </c:pt>
                <c:pt idx="1760">
                  <c:v>1.1564523566379683</c:v>
                </c:pt>
                <c:pt idx="1761">
                  <c:v>1.1562312078291657</c:v>
                </c:pt>
                <c:pt idx="1762">
                  <c:v>1.1319593014787934</c:v>
                </c:pt>
                <c:pt idx="1763">
                  <c:v>1.1315074671567671</c:v>
                </c:pt>
                <c:pt idx="1764">
                  <c:v>1.1312847549028717</c:v>
                </c:pt>
                <c:pt idx="1765">
                  <c:v>1.1281429539090029</c:v>
                </c:pt>
                <c:pt idx="1766">
                  <c:v>1.1245438118605762</c:v>
                </c:pt>
                <c:pt idx="1767">
                  <c:v>1.1227409952517189</c:v>
                </c:pt>
                <c:pt idx="1768">
                  <c:v>1.1213863805658426</c:v>
                </c:pt>
                <c:pt idx="1769">
                  <c:v>1.1198072565547452</c:v>
                </c:pt>
                <c:pt idx="1770">
                  <c:v>1.1155114855934778</c:v>
                </c:pt>
                <c:pt idx="1771">
                  <c:v>1.1137011759182163</c:v>
                </c:pt>
                <c:pt idx="1772">
                  <c:v>1.1034796686780197</c:v>
                </c:pt>
                <c:pt idx="1773">
                  <c:v>1.1032526341383937</c:v>
                </c:pt>
                <c:pt idx="1774">
                  <c:v>1.1023383631960384</c:v>
                </c:pt>
                <c:pt idx="1775">
                  <c:v>1.1009706303999889</c:v>
                </c:pt>
                <c:pt idx="1776">
                  <c:v>1.0970883058767216</c:v>
                </c:pt>
                <c:pt idx="1777">
                  <c:v>1.0943425867053949</c:v>
                </c:pt>
                <c:pt idx="1778">
                  <c:v>1.093424774814707</c:v>
                </c:pt>
                <c:pt idx="1779">
                  <c:v>1.083545293439975</c:v>
                </c:pt>
                <c:pt idx="1780">
                  <c:v>1.0719902717555521</c:v>
                </c:pt>
                <c:pt idx="1781">
                  <c:v>1.0671133263051638</c:v>
                </c:pt>
                <c:pt idx="1782">
                  <c:v>1.0626926879690761</c:v>
                </c:pt>
                <c:pt idx="1783">
                  <c:v>1.058257592291753</c:v>
                </c:pt>
                <c:pt idx="1784">
                  <c:v>1.0559187932185492</c:v>
                </c:pt>
                <c:pt idx="1785">
                  <c:v>1.0552181770927511</c:v>
                </c:pt>
                <c:pt idx="1786">
                  <c:v>1.0519376888862861</c:v>
                </c:pt>
                <c:pt idx="1787">
                  <c:v>1.0505294885080965</c:v>
                </c:pt>
                <c:pt idx="1788">
                  <c:v>1.0481821218780381</c:v>
                </c:pt>
                <c:pt idx="1789">
                  <c:v>1.0465349803519093</c:v>
                </c:pt>
                <c:pt idx="1790">
                  <c:v>1.0389957758126847</c:v>
                </c:pt>
                <c:pt idx="1791">
                  <c:v>1.0323728398283829</c:v>
                </c:pt>
                <c:pt idx="1792">
                  <c:v>1.0116357877281581</c:v>
                </c:pt>
                <c:pt idx="1793">
                  <c:v>1.0068344181958997</c:v>
                </c:pt>
                <c:pt idx="1794">
                  <c:v>1.0027437306735003</c:v>
                </c:pt>
                <c:pt idx="1795">
                  <c:v>1.0000903368180805</c:v>
                </c:pt>
                <c:pt idx="1796">
                  <c:v>0.99526149468173419</c:v>
                </c:pt>
                <c:pt idx="1797">
                  <c:v>0.99187383372643312</c:v>
                </c:pt>
                <c:pt idx="1798">
                  <c:v>0.99162924939976904</c:v>
                </c:pt>
                <c:pt idx="1799">
                  <c:v>0.98968862008871883</c:v>
                </c:pt>
                <c:pt idx="1800">
                  <c:v>0.98847620600524233</c:v>
                </c:pt>
                <c:pt idx="1801">
                  <c:v>0.98799082232901125</c:v>
                </c:pt>
                <c:pt idx="1802">
                  <c:v>0.98774666316676962</c:v>
                </c:pt>
                <c:pt idx="1803">
                  <c:v>0.98628829655371331</c:v>
                </c:pt>
                <c:pt idx="1804">
                  <c:v>0.98483089045409866</c:v>
                </c:pt>
                <c:pt idx="1805">
                  <c:v>0.98410254825587906</c:v>
                </c:pt>
                <c:pt idx="1806">
                  <c:v>0.98312778966579195</c:v>
                </c:pt>
                <c:pt idx="1807">
                  <c:v>0.9789838937498575</c:v>
                </c:pt>
                <c:pt idx="1808">
                  <c:v>0.97703037434139395</c:v>
                </c:pt>
                <c:pt idx="1809">
                  <c:v>0.97262568981366893</c:v>
                </c:pt>
                <c:pt idx="1810">
                  <c:v>0.97213783498037187</c:v>
                </c:pt>
                <c:pt idx="1811">
                  <c:v>0.97091419834413695</c:v>
                </c:pt>
                <c:pt idx="1812">
                  <c:v>0.9558995526472962</c:v>
                </c:pt>
                <c:pt idx="1813">
                  <c:v>0.95565012440748109</c:v>
                </c:pt>
                <c:pt idx="1814">
                  <c:v>0.95515729561330998</c:v>
                </c:pt>
                <c:pt idx="1815">
                  <c:v>0.94896845624303128</c:v>
                </c:pt>
                <c:pt idx="1816">
                  <c:v>0.94797430768289326</c:v>
                </c:pt>
                <c:pt idx="1817">
                  <c:v>0.94350079401838394</c:v>
                </c:pt>
                <c:pt idx="1818">
                  <c:v>0.94200790590217942</c:v>
                </c:pt>
                <c:pt idx="1819">
                  <c:v>0.94001519829326885</c:v>
                </c:pt>
                <c:pt idx="1820">
                  <c:v>0.93876635425941923</c:v>
                </c:pt>
                <c:pt idx="1821">
                  <c:v>0.93076782832123828</c:v>
                </c:pt>
                <c:pt idx="1822">
                  <c:v>0.92599964725316108</c:v>
                </c:pt>
                <c:pt idx="1823">
                  <c:v>0.91945831263196509</c:v>
                </c:pt>
                <c:pt idx="1824">
                  <c:v>0.91844991403876919</c:v>
                </c:pt>
                <c:pt idx="1825">
                  <c:v>0.91642891077294708</c:v>
                </c:pt>
                <c:pt idx="1826">
                  <c:v>0.91491603635219076</c:v>
                </c:pt>
                <c:pt idx="1827">
                  <c:v>0.91491603635219076</c:v>
                </c:pt>
                <c:pt idx="1828">
                  <c:v>0.91264030008457786</c:v>
                </c:pt>
                <c:pt idx="1829">
                  <c:v>0.89637364722475721</c:v>
                </c:pt>
                <c:pt idx="1830">
                  <c:v>0.89612031690079508</c:v>
                </c:pt>
                <c:pt idx="1831">
                  <c:v>0.89381895401997258</c:v>
                </c:pt>
                <c:pt idx="1832">
                  <c:v>0.88253950544928694</c:v>
                </c:pt>
                <c:pt idx="1833">
                  <c:v>0.87066864670336586</c:v>
                </c:pt>
                <c:pt idx="1834">
                  <c:v>0.86367039813484936</c:v>
                </c:pt>
                <c:pt idx="1835">
                  <c:v>0.8555960911824958</c:v>
                </c:pt>
                <c:pt idx="1836">
                  <c:v>0.85036686192013966</c:v>
                </c:pt>
                <c:pt idx="1837">
                  <c:v>0.85010906285141219</c:v>
                </c:pt>
                <c:pt idx="1838">
                  <c:v>0.84958238346331483</c:v>
                </c:pt>
                <c:pt idx="1839">
                  <c:v>0.84460423217984826</c:v>
                </c:pt>
                <c:pt idx="1840">
                  <c:v>0.84171392895665464</c:v>
                </c:pt>
                <c:pt idx="1841">
                  <c:v>0.83671018439867006</c:v>
                </c:pt>
                <c:pt idx="1842">
                  <c:v>0.83010560945103928</c:v>
                </c:pt>
                <c:pt idx="1843">
                  <c:v>0.82878362313429843</c:v>
                </c:pt>
                <c:pt idx="1844">
                  <c:v>0.82692700619255255</c:v>
                </c:pt>
                <c:pt idx="1845">
                  <c:v>0.82454045188395131</c:v>
                </c:pt>
                <c:pt idx="1846">
                  <c:v>0.82427305775938886</c:v>
                </c:pt>
                <c:pt idx="1847">
                  <c:v>0.82268068676100792</c:v>
                </c:pt>
                <c:pt idx="1848">
                  <c:v>0.82188237079326842</c:v>
                </c:pt>
                <c:pt idx="1849">
                  <c:v>0.81869328656216578</c:v>
                </c:pt>
                <c:pt idx="1850">
                  <c:v>0.81309021855586572</c:v>
                </c:pt>
                <c:pt idx="1851">
                  <c:v>0.80399043134691228</c:v>
                </c:pt>
                <c:pt idx="1852">
                  <c:v>0.80049749944887838</c:v>
                </c:pt>
                <c:pt idx="1853">
                  <c:v>0.79753805802482325</c:v>
                </c:pt>
                <c:pt idx="1854">
                  <c:v>0.79268384640292633</c:v>
                </c:pt>
                <c:pt idx="1855">
                  <c:v>0.7880827001415045</c:v>
                </c:pt>
                <c:pt idx="1856">
                  <c:v>0.78754489714662002</c:v>
                </c:pt>
                <c:pt idx="1857">
                  <c:v>0.78564808626805904</c:v>
                </c:pt>
                <c:pt idx="1858">
                  <c:v>0.78157295672529803</c:v>
                </c:pt>
                <c:pt idx="1859">
                  <c:v>0.77776595461553533</c:v>
                </c:pt>
                <c:pt idx="1860">
                  <c:v>0.76437571023239326</c:v>
                </c:pt>
                <c:pt idx="1861">
                  <c:v>0.76218318674617969</c:v>
                </c:pt>
                <c:pt idx="1862">
                  <c:v>0.75392628095775782</c:v>
                </c:pt>
                <c:pt idx="1863">
                  <c:v>0.7517142687908337</c:v>
                </c:pt>
                <c:pt idx="1864">
                  <c:v>0.73924668104914404</c:v>
                </c:pt>
                <c:pt idx="1865">
                  <c:v>0.73618484012330576</c:v>
                </c:pt>
                <c:pt idx="1866">
                  <c:v>0.73032538009965098</c:v>
                </c:pt>
                <c:pt idx="1867">
                  <c:v>0.72948613199363577</c:v>
                </c:pt>
                <c:pt idx="1868">
                  <c:v>0.72388849326251647</c:v>
                </c:pt>
                <c:pt idx="1869">
                  <c:v>0.7230433474731498</c:v>
                </c:pt>
                <c:pt idx="1870">
                  <c:v>0.72023549472704074</c:v>
                </c:pt>
                <c:pt idx="1871">
                  <c:v>0.71150562779755455</c:v>
                </c:pt>
                <c:pt idx="1872">
                  <c:v>0.71122163258270832</c:v>
                </c:pt>
                <c:pt idx="1873">
                  <c:v>0.70980773021687638</c:v>
                </c:pt>
                <c:pt idx="1874">
                  <c:v>0.70272805743564559</c:v>
                </c:pt>
                <c:pt idx="1875">
                  <c:v>0.70187751509869256</c:v>
                </c:pt>
                <c:pt idx="1876">
                  <c:v>0.69704268562973404</c:v>
                </c:pt>
                <c:pt idx="1877">
                  <c:v>0.69277185590833057</c:v>
                </c:pt>
                <c:pt idx="1878">
                  <c:v>0.69134510447462538</c:v>
                </c:pt>
                <c:pt idx="1879">
                  <c:v>0.69077190998225335</c:v>
                </c:pt>
                <c:pt idx="1880">
                  <c:v>0.68590884991595025</c:v>
                </c:pt>
                <c:pt idx="1881">
                  <c:v>0.6798863748199957</c:v>
                </c:pt>
                <c:pt idx="1882">
                  <c:v>0.66574828481336779</c:v>
                </c:pt>
                <c:pt idx="1883">
                  <c:v>0.66371837674888945</c:v>
                </c:pt>
                <c:pt idx="1884">
                  <c:v>0.65674276680698318</c:v>
                </c:pt>
                <c:pt idx="1885">
                  <c:v>0.65645290145366597</c:v>
                </c:pt>
                <c:pt idx="1886">
                  <c:v>0.65441159541684812</c:v>
                </c:pt>
                <c:pt idx="1887">
                  <c:v>0.65061937067067477</c:v>
                </c:pt>
                <c:pt idx="1888">
                  <c:v>0.63771998304414701</c:v>
                </c:pt>
                <c:pt idx="1889">
                  <c:v>0.63182589235738995</c:v>
                </c:pt>
                <c:pt idx="1890">
                  <c:v>0.62827585613829173</c:v>
                </c:pt>
                <c:pt idx="1891">
                  <c:v>0.61818974696937168</c:v>
                </c:pt>
                <c:pt idx="1892">
                  <c:v>0.61640035849030939</c:v>
                </c:pt>
                <c:pt idx="1893">
                  <c:v>0.60804130407591639</c:v>
                </c:pt>
                <c:pt idx="1894">
                  <c:v>0.59723517097619749</c:v>
                </c:pt>
                <c:pt idx="1895">
                  <c:v>0.5966301390688894</c:v>
                </c:pt>
                <c:pt idx="1896">
                  <c:v>0.59391918444960889</c:v>
                </c:pt>
                <c:pt idx="1897">
                  <c:v>0.58241595870996266</c:v>
                </c:pt>
                <c:pt idx="1898">
                  <c:v>0.5821115592623245</c:v>
                </c:pt>
                <c:pt idx="1899">
                  <c:v>0.58150307075314611</c:v>
                </c:pt>
                <c:pt idx="1900">
                  <c:v>0.57083316185251309</c:v>
                </c:pt>
                <c:pt idx="1901">
                  <c:v>0.5622501192341276</c:v>
                </c:pt>
                <c:pt idx="1902">
                  <c:v>0.55917555219660664</c:v>
                </c:pt>
                <c:pt idx="1903">
                  <c:v>0.55207360037270947</c:v>
                </c:pt>
                <c:pt idx="1904">
                  <c:v>0.54898429647181357</c:v>
                </c:pt>
                <c:pt idx="1905">
                  <c:v>0.54215228216313904</c:v>
                </c:pt>
                <c:pt idx="1906">
                  <c:v>0.53810504607106913</c:v>
                </c:pt>
                <c:pt idx="1907">
                  <c:v>0.53717067851756262</c:v>
                </c:pt>
                <c:pt idx="1908">
                  <c:v>0.53591948058450234</c:v>
                </c:pt>
                <c:pt idx="1909">
                  <c:v>0.53436140067090465</c:v>
                </c:pt>
                <c:pt idx="1910">
                  <c:v>0.53436140067090465</c:v>
                </c:pt>
                <c:pt idx="1911">
                  <c:v>0.50504562600581993</c:v>
                </c:pt>
                <c:pt idx="1912">
                  <c:v>0.50058860586174092</c:v>
                </c:pt>
                <c:pt idx="1913">
                  <c:v>0.49739447509214141</c:v>
                </c:pt>
                <c:pt idx="1914">
                  <c:v>0.48842500927497273</c:v>
                </c:pt>
                <c:pt idx="1915">
                  <c:v>0.48681922744951012</c:v>
                </c:pt>
                <c:pt idx="1916">
                  <c:v>0.47163698359364409</c:v>
                </c:pt>
                <c:pt idx="1917">
                  <c:v>0.46740880988268918</c:v>
                </c:pt>
                <c:pt idx="1918">
                  <c:v>0.46578194152178887</c:v>
                </c:pt>
                <c:pt idx="1919">
                  <c:v>0.45302242806131188</c:v>
                </c:pt>
                <c:pt idx="1920">
                  <c:v>0.44973787869575216</c:v>
                </c:pt>
                <c:pt idx="1921">
                  <c:v>0.44743146718722476</c:v>
                </c:pt>
                <c:pt idx="1922">
                  <c:v>0.44413457818740121</c:v>
                </c:pt>
                <c:pt idx="1923">
                  <c:v>0.42719336955733805</c:v>
                </c:pt>
                <c:pt idx="1924">
                  <c:v>0.4228474984891018</c:v>
                </c:pt>
                <c:pt idx="1925">
                  <c:v>0.41680791718550658</c:v>
                </c:pt>
                <c:pt idx="1926">
                  <c:v>0.416139106422594</c:v>
                </c:pt>
                <c:pt idx="1927">
                  <c:v>0.39786840574203347</c:v>
                </c:pt>
                <c:pt idx="1928">
                  <c:v>0.39718724902429664</c:v>
                </c:pt>
                <c:pt idx="1929">
                  <c:v>0.3721160611392863</c:v>
                </c:pt>
                <c:pt idx="1930">
                  <c:v>0.37142149775543709</c:v>
                </c:pt>
                <c:pt idx="1931">
                  <c:v>0.3637795237912983</c:v>
                </c:pt>
                <c:pt idx="1932">
                  <c:v>0.36308355997046848</c:v>
                </c:pt>
                <c:pt idx="1933">
                  <c:v>0.36308355997046848</c:v>
                </c:pt>
                <c:pt idx="1934">
                  <c:v>0.36134152798076724</c:v>
                </c:pt>
                <c:pt idx="1935">
                  <c:v>0.36064259966427242</c:v>
                </c:pt>
                <c:pt idx="1936">
                  <c:v>0.35994466951272269</c:v>
                </c:pt>
                <c:pt idx="1937">
                  <c:v>0.35714383402910072</c:v>
                </c:pt>
                <c:pt idx="1938">
                  <c:v>0.35679407092816362</c:v>
                </c:pt>
                <c:pt idx="1939">
                  <c:v>0.35644456117187623</c:v>
                </c:pt>
                <c:pt idx="1940">
                  <c:v>0.35118200071606226</c:v>
                </c:pt>
                <c:pt idx="1941">
                  <c:v>0.34448841367244376</c:v>
                </c:pt>
                <c:pt idx="1942">
                  <c:v>0.33847057478865367</c:v>
                </c:pt>
                <c:pt idx="1943">
                  <c:v>0.32457469644173842</c:v>
                </c:pt>
                <c:pt idx="1944">
                  <c:v>0.32349789758018599</c:v>
                </c:pt>
                <c:pt idx="1945">
                  <c:v>0.32026602818739108</c:v>
                </c:pt>
                <c:pt idx="1946">
                  <c:v>0.31702944134944055</c:v>
                </c:pt>
                <c:pt idx="1947">
                  <c:v>0.30980599006314224</c:v>
                </c:pt>
                <c:pt idx="1948">
                  <c:v>0.30144545667196437</c:v>
                </c:pt>
                <c:pt idx="1949">
                  <c:v>0.29779321882717197</c:v>
                </c:pt>
                <c:pt idx="1950">
                  <c:v>0.29413630250637324</c:v>
                </c:pt>
                <c:pt idx="1951">
                  <c:v>0.2856759593392566</c:v>
                </c:pt>
                <c:pt idx="1952">
                  <c:v>0.28235198276893447</c:v>
                </c:pt>
                <c:pt idx="1953">
                  <c:v>0.27939062169609558</c:v>
                </c:pt>
                <c:pt idx="1954">
                  <c:v>0.27679414387904822</c:v>
                </c:pt>
                <c:pt idx="1955">
                  <c:v>0.27195192743965024</c:v>
                </c:pt>
                <c:pt idx="1956">
                  <c:v>0.27120207930585599</c:v>
                </c:pt>
                <c:pt idx="1957">
                  <c:v>0.26821864051493416</c:v>
                </c:pt>
                <c:pt idx="1958">
                  <c:v>0.26634399225437755</c:v>
                </c:pt>
                <c:pt idx="1959">
                  <c:v>0.26409465889293038</c:v>
                </c:pt>
                <c:pt idx="1960">
                  <c:v>0.25732082447595284</c:v>
                </c:pt>
                <c:pt idx="1961">
                  <c:v>0.25467302551155441</c:v>
                </c:pt>
                <c:pt idx="1962">
                  <c:v>0.24708255185677816</c:v>
                </c:pt>
                <c:pt idx="1963">
                  <c:v>0.24479870564244402</c:v>
                </c:pt>
                <c:pt idx="1964">
                  <c:v>0.23867688729354017</c:v>
                </c:pt>
                <c:pt idx="1965">
                  <c:v>0.23637528028795277</c:v>
                </c:pt>
                <c:pt idx="1966">
                  <c:v>0.23560579105130319</c:v>
                </c:pt>
                <c:pt idx="1967">
                  <c:v>0.22711330370025243</c:v>
                </c:pt>
                <c:pt idx="1968">
                  <c:v>0.20243822030030431</c:v>
                </c:pt>
                <c:pt idx="1969">
                  <c:v>0.19607476996246179</c:v>
                </c:pt>
                <c:pt idx="1970">
                  <c:v>0.19408218478453484</c:v>
                </c:pt>
                <c:pt idx="1971">
                  <c:v>0.18444551498649725</c:v>
                </c:pt>
                <c:pt idx="1972">
                  <c:v>0.18323726301777249</c:v>
                </c:pt>
                <c:pt idx="1973">
                  <c:v>0.1632494941425498</c:v>
                </c:pt>
                <c:pt idx="1974">
                  <c:v>0.16118974445169809</c:v>
                </c:pt>
                <c:pt idx="1975">
                  <c:v>0.15787783174969866</c:v>
                </c:pt>
                <c:pt idx="1976">
                  <c:v>0.14996634906926179</c:v>
                </c:pt>
                <c:pt idx="1977">
                  <c:v>0.14618788702034588</c:v>
                </c:pt>
                <c:pt idx="1978">
                  <c:v>0.14618788702034588</c:v>
                </c:pt>
                <c:pt idx="1979">
                  <c:v>0.14618788702034588</c:v>
                </c:pt>
                <c:pt idx="1980">
                  <c:v>0.13774527833498679</c:v>
                </c:pt>
                <c:pt idx="1981">
                  <c:v>0.13263245330163365</c:v>
                </c:pt>
                <c:pt idx="1982">
                  <c:v>0.13006971645775936</c:v>
                </c:pt>
                <c:pt idx="1983">
                  <c:v>0.10878772463080631</c:v>
                </c:pt>
                <c:pt idx="1984">
                  <c:v>0.10701927147388141</c:v>
                </c:pt>
                <c:pt idx="1985">
                  <c:v>0.10392442324174957</c:v>
                </c:pt>
                <c:pt idx="1986">
                  <c:v>8.9574221257763348E-2</c:v>
                </c:pt>
                <c:pt idx="1987">
                  <c:v>8.8209962538414496E-2</c:v>
                </c:pt>
                <c:pt idx="1988">
                  <c:v>7.2090778014175808E-2</c:v>
                </c:pt>
                <c:pt idx="1989">
                  <c:v>7.0212913181136413E-2</c:v>
                </c:pt>
                <c:pt idx="1990">
                  <c:v>5.7872728683278828E-2</c:v>
                </c:pt>
                <c:pt idx="1991">
                  <c:v>5.3520138288161018E-2</c:v>
                </c:pt>
                <c:pt idx="1992">
                  <c:v>2.4741481590884344E-2</c:v>
                </c:pt>
                <c:pt idx="1993">
                  <c:v>2.2076214182966358E-2</c:v>
                </c:pt>
                <c:pt idx="1994">
                  <c:v>2.1006655568257166E-2</c:v>
                </c:pt>
                <c:pt idx="1995">
                  <c:v>1.5544468148053088E-2</c:v>
                </c:pt>
                <c:pt idx="1996">
                  <c:v>9.9023711313841224E-3</c:v>
                </c:pt>
                <c:pt idx="1997">
                  <c:v>9.3254517283041689E-3</c:v>
                </c:pt>
                <c:pt idx="1998">
                  <c:v>5.1769274120021134E-3</c:v>
                </c:pt>
                <c:pt idx="1999">
                  <c:v>3.3255648031659656E-3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01-4FF4-AAB8-F1BB0E2EA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604496"/>
        <c:axId val="771259416"/>
      </c:scatterChart>
      <c:valAx>
        <c:axId val="770604496"/>
        <c:scaling>
          <c:orientation val="minMax"/>
          <c:max val="2.1"/>
          <c:min val="0.9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59416"/>
        <c:crosses val="autoZero"/>
        <c:crossBetween val="midCat"/>
      </c:valAx>
      <c:valAx>
        <c:axId val="77125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0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876299</xdr:colOff>
      <xdr:row>11</xdr:row>
      <xdr:rowOff>169124</xdr:rowOff>
    </xdr:from>
    <xdr:to>
      <xdr:col>18</xdr:col>
      <xdr:colOff>800100</xdr:colOff>
      <xdr:row>11</xdr:row>
      <xdr:rowOff>640923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5F7CEA0D-4C93-4770-8DFD-5F79595335D5}"/>
            </a:ext>
          </a:extLst>
        </xdr:cNvPr>
        <xdr:cNvSpPr/>
      </xdr:nvSpPr>
      <xdr:spPr>
        <a:xfrm flipV="1">
          <a:off x="5981699" y="4731599"/>
          <a:ext cx="9191626" cy="471799"/>
        </a:xfrm>
        <a:prstGeom prst="rightArrow">
          <a:avLst>
            <a:gd name="adj1" fmla="val 30439"/>
            <a:gd name="adj2" fmla="val 100301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0</xdr:colOff>
      <xdr:row>7</xdr:row>
      <xdr:rowOff>152398</xdr:rowOff>
    </xdr:from>
    <xdr:to>
      <xdr:col>15</xdr:col>
      <xdr:colOff>819150</xdr:colOff>
      <xdr:row>7</xdr:row>
      <xdr:rowOff>666749</xdr:rowOff>
    </xdr:to>
    <xdr:sp macro="" textlink="">
      <xdr:nvSpPr>
        <xdr:cNvPr id="4" name="Right Arrow 5">
          <a:extLst>
            <a:ext uri="{FF2B5EF4-FFF2-40B4-BE49-F238E27FC236}">
              <a16:creationId xmlns:a16="http://schemas.microsoft.com/office/drawing/2014/main" id="{F99EAB65-268E-4873-817E-51F479890CF6}"/>
            </a:ext>
          </a:extLst>
        </xdr:cNvPr>
        <xdr:cNvSpPr/>
      </xdr:nvSpPr>
      <xdr:spPr>
        <a:xfrm flipV="1">
          <a:off x="5981700" y="2057398"/>
          <a:ext cx="6619875" cy="514351"/>
        </a:xfrm>
        <a:prstGeom prst="rightArrow">
          <a:avLst>
            <a:gd name="adj1" fmla="val 30439"/>
            <a:gd name="adj2" fmla="val 100301"/>
          </a:avLst>
        </a:prstGeom>
        <a:solidFill>
          <a:schemeClr val="accent6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0</xdr:colOff>
      <xdr:row>7</xdr:row>
      <xdr:rowOff>142872</xdr:rowOff>
    </xdr:from>
    <xdr:to>
      <xdr:col>27</xdr:col>
      <xdr:colOff>819150</xdr:colOff>
      <xdr:row>7</xdr:row>
      <xdr:rowOff>657223</xdr:rowOff>
    </xdr:to>
    <xdr:sp macro="" textlink="">
      <xdr:nvSpPr>
        <xdr:cNvPr id="14" name="Right Arrow 5">
          <a:extLst>
            <a:ext uri="{FF2B5EF4-FFF2-40B4-BE49-F238E27FC236}">
              <a16:creationId xmlns:a16="http://schemas.microsoft.com/office/drawing/2014/main" id="{48E7A46A-3313-49E7-A759-6987C040F3F9}"/>
            </a:ext>
          </a:extLst>
        </xdr:cNvPr>
        <xdr:cNvSpPr/>
      </xdr:nvSpPr>
      <xdr:spPr>
        <a:xfrm flipV="1">
          <a:off x="13439775" y="2047872"/>
          <a:ext cx="9105900" cy="514351"/>
        </a:xfrm>
        <a:prstGeom prst="rightArrow">
          <a:avLst>
            <a:gd name="adj1" fmla="val 30439"/>
            <a:gd name="adj2" fmla="val 100301"/>
          </a:avLst>
        </a:prstGeom>
        <a:solidFill>
          <a:schemeClr val="accent6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29</xdr:col>
      <xdr:colOff>9525</xdr:colOff>
      <xdr:row>7</xdr:row>
      <xdr:rowOff>152397</xdr:rowOff>
    </xdr:from>
    <xdr:to>
      <xdr:col>40</xdr:col>
      <xdr:colOff>0</xdr:colOff>
      <xdr:row>7</xdr:row>
      <xdr:rowOff>666748</xdr:rowOff>
    </xdr:to>
    <xdr:sp macro="" textlink="">
      <xdr:nvSpPr>
        <xdr:cNvPr id="15" name="Right Arrow 5">
          <a:extLst>
            <a:ext uri="{FF2B5EF4-FFF2-40B4-BE49-F238E27FC236}">
              <a16:creationId xmlns:a16="http://schemas.microsoft.com/office/drawing/2014/main" id="{BB2A00C4-2F3E-42BE-B703-89A6604AA0B2}"/>
            </a:ext>
          </a:extLst>
        </xdr:cNvPr>
        <xdr:cNvSpPr/>
      </xdr:nvSpPr>
      <xdr:spPr>
        <a:xfrm flipV="1">
          <a:off x="23498175" y="2933697"/>
          <a:ext cx="9105900" cy="514351"/>
        </a:xfrm>
        <a:prstGeom prst="rightArrow">
          <a:avLst>
            <a:gd name="adj1" fmla="val 30439"/>
            <a:gd name="adj2" fmla="val 100301"/>
          </a:avLst>
        </a:prstGeom>
        <a:solidFill>
          <a:schemeClr val="accent6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40</xdr:col>
      <xdr:colOff>914400</xdr:colOff>
      <xdr:row>7</xdr:row>
      <xdr:rowOff>152396</xdr:rowOff>
    </xdr:from>
    <xdr:to>
      <xdr:col>51</xdr:col>
      <xdr:colOff>809625</xdr:colOff>
      <xdr:row>7</xdr:row>
      <xdr:rowOff>666747</xdr:rowOff>
    </xdr:to>
    <xdr:sp macro="" textlink="">
      <xdr:nvSpPr>
        <xdr:cNvPr id="16" name="Right Arrow 5">
          <a:extLst>
            <a:ext uri="{FF2B5EF4-FFF2-40B4-BE49-F238E27FC236}">
              <a16:creationId xmlns:a16="http://schemas.microsoft.com/office/drawing/2014/main" id="{27B068B6-36E5-4950-878D-8EB11321EB9C}"/>
            </a:ext>
          </a:extLst>
        </xdr:cNvPr>
        <xdr:cNvSpPr/>
      </xdr:nvSpPr>
      <xdr:spPr>
        <a:xfrm flipV="1">
          <a:off x="33575625" y="2933696"/>
          <a:ext cx="9286875" cy="514351"/>
        </a:xfrm>
        <a:prstGeom prst="rightArrow">
          <a:avLst>
            <a:gd name="adj1" fmla="val 30439"/>
            <a:gd name="adj2" fmla="val 100301"/>
          </a:avLst>
        </a:prstGeom>
        <a:solidFill>
          <a:schemeClr val="accent6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53</xdr:col>
      <xdr:colOff>1</xdr:colOff>
      <xdr:row>7</xdr:row>
      <xdr:rowOff>152395</xdr:rowOff>
    </xdr:from>
    <xdr:to>
      <xdr:col>57</xdr:col>
      <xdr:colOff>781051</xdr:colOff>
      <xdr:row>7</xdr:row>
      <xdr:rowOff>666746</xdr:rowOff>
    </xdr:to>
    <xdr:sp macro="" textlink="">
      <xdr:nvSpPr>
        <xdr:cNvPr id="17" name="Right Arrow 5">
          <a:extLst>
            <a:ext uri="{FF2B5EF4-FFF2-40B4-BE49-F238E27FC236}">
              <a16:creationId xmlns:a16="http://schemas.microsoft.com/office/drawing/2014/main" id="{90967ADB-0943-4F92-A41D-FC2F5EC906F0}"/>
            </a:ext>
          </a:extLst>
        </xdr:cNvPr>
        <xdr:cNvSpPr/>
      </xdr:nvSpPr>
      <xdr:spPr>
        <a:xfrm flipV="1">
          <a:off x="43272076" y="2057395"/>
          <a:ext cx="4095750" cy="514351"/>
        </a:xfrm>
        <a:prstGeom prst="rightArrow">
          <a:avLst>
            <a:gd name="adj1" fmla="val 30439"/>
            <a:gd name="adj2" fmla="val 100301"/>
          </a:avLst>
        </a:prstGeom>
        <a:solidFill>
          <a:schemeClr val="accent6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11</xdr:col>
      <xdr:colOff>9525</xdr:colOff>
      <xdr:row>11</xdr:row>
      <xdr:rowOff>142875</xdr:rowOff>
    </xdr:from>
    <xdr:ext cx="838200" cy="552450"/>
    <xdr:pic>
      <xdr:nvPicPr>
        <xdr:cNvPr id="19" name="Picture 18">
          <a:extLst>
            <a:ext uri="{FF2B5EF4-FFF2-40B4-BE49-F238E27FC236}">
              <a16:creationId xmlns:a16="http://schemas.microsoft.com/office/drawing/2014/main" id="{FC546DFA-BA3B-4F7E-A477-BADBD2136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0" y="3829050"/>
          <a:ext cx="8382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771525</xdr:colOff>
      <xdr:row>11</xdr:row>
      <xdr:rowOff>169122</xdr:rowOff>
    </xdr:from>
    <xdr:to>
      <xdr:col>24</xdr:col>
      <xdr:colOff>809625</xdr:colOff>
      <xdr:row>11</xdr:row>
      <xdr:rowOff>640921</xdr:rowOff>
    </xdr:to>
    <xdr:sp macro="" textlink="">
      <xdr:nvSpPr>
        <xdr:cNvPr id="9" name="Right Arrow 1">
          <a:extLst>
            <a:ext uri="{FF2B5EF4-FFF2-40B4-BE49-F238E27FC236}">
              <a16:creationId xmlns:a16="http://schemas.microsoft.com/office/drawing/2014/main" id="{E50BB007-C088-4F91-AFC6-464CBE777654}"/>
            </a:ext>
          </a:extLst>
        </xdr:cNvPr>
        <xdr:cNvSpPr/>
      </xdr:nvSpPr>
      <xdr:spPr>
        <a:xfrm flipV="1">
          <a:off x="15973425" y="4731597"/>
          <a:ext cx="4181475" cy="471799"/>
        </a:xfrm>
        <a:prstGeom prst="rightArrow">
          <a:avLst>
            <a:gd name="adj1" fmla="val 30439"/>
            <a:gd name="adj2" fmla="val 100301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25</xdr:col>
      <xdr:colOff>819150</xdr:colOff>
      <xdr:row>11</xdr:row>
      <xdr:rowOff>169120</xdr:rowOff>
    </xdr:from>
    <xdr:to>
      <xdr:col>36</xdr:col>
      <xdr:colOff>819150</xdr:colOff>
      <xdr:row>11</xdr:row>
      <xdr:rowOff>640919</xdr:rowOff>
    </xdr:to>
    <xdr:sp macro="" textlink="">
      <xdr:nvSpPr>
        <xdr:cNvPr id="10" name="Right Arrow 1">
          <a:extLst>
            <a:ext uri="{FF2B5EF4-FFF2-40B4-BE49-F238E27FC236}">
              <a16:creationId xmlns:a16="http://schemas.microsoft.com/office/drawing/2014/main" id="{6B975879-1AEE-4226-BDB3-3DFAA511499B}"/>
            </a:ext>
          </a:extLst>
        </xdr:cNvPr>
        <xdr:cNvSpPr/>
      </xdr:nvSpPr>
      <xdr:spPr>
        <a:xfrm flipV="1">
          <a:off x="20993100" y="4731595"/>
          <a:ext cx="9144000" cy="471799"/>
        </a:xfrm>
        <a:prstGeom prst="rightArrow">
          <a:avLst>
            <a:gd name="adj1" fmla="val 30439"/>
            <a:gd name="adj2" fmla="val 100301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1</xdr:row>
      <xdr:rowOff>9525</xdr:rowOff>
    </xdr:from>
    <xdr:to>
      <xdr:col>25</xdr:col>
      <xdr:colOff>314325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91331-87E7-44E1-B12B-29F95710C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</xdr:colOff>
      <xdr:row>11</xdr:row>
      <xdr:rowOff>85726</xdr:rowOff>
    </xdr:from>
    <xdr:to>
      <xdr:col>10</xdr:col>
      <xdr:colOff>33337</xdr:colOff>
      <xdr:row>30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47AB3E-064A-4FF4-823F-530EFB9D8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10701</xdr:colOff>
      <xdr:row>17</xdr:row>
      <xdr:rowOff>21404</xdr:rowOff>
    </xdr:from>
    <xdr:to>
      <xdr:col>3</xdr:col>
      <xdr:colOff>1670510</xdr:colOff>
      <xdr:row>33</xdr:row>
      <xdr:rowOff>121977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1C35D3-F905-437C-949F-7CA60AED8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010" y="2803988"/>
          <a:ext cx="2676524" cy="26238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0305%20Omlis%20Financial%20Model%20(with%20Actuals)%20%20v8.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183e9fd02d5089e/01.%20ARC%20Financial%20Ltd/07.%20Projects/1.%20Ongoing%20Projects/12.%20Trueco%20Ltd/DJ%20McGough/5.%20Cashflow%20Analysis/Post%20CVA/Cashflow%20Summary%2029-6-17%20post%20C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Balance Yr1 (2)"/>
      <sheetName val="Cash Balance Yr2 (2)"/>
      <sheetName val="Cash Balance Yr3 (2)"/>
      <sheetName val="Summary"/>
      <sheetName val="Balance Sheet Yr 1"/>
      <sheetName val="Graphs"/>
      <sheetName val="Quarterly Insights"/>
      <sheetName val="Investment Forecast 4 Years"/>
      <sheetName val="Cash Flow Forecast Summary"/>
      <sheetName val="Cash Flow Forecast Yr1 &gt;4"/>
      <sheetName val="Sales Pipeline NEW"/>
      <sheetName val="Charge Card"/>
      <sheetName val="Menu-Dropdowns"/>
      <sheetName val="Costs Forecast"/>
      <sheetName val="Xero P&amp;L Costs"/>
      <sheetName val="Cost Budget Summary"/>
      <sheetName val="Assumptions"/>
      <sheetName val="Staffing"/>
      <sheetName val="Executive Team"/>
      <sheetName val="Staff Risk Analysis"/>
      <sheetName val="Staff Analysis"/>
      <sheetName val="Technology Estimations"/>
      <sheetName val="Staff Estimation &amp; Availability"/>
      <sheetName val="Requirement Statements"/>
      <sheetName val="Resillience Analysis"/>
      <sheetName val="Model Analysis"/>
      <sheetName val="Graphs_Info_Pull_Shee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R3">
            <v>42737</v>
          </cell>
        </row>
        <row r="4">
          <cell r="R4">
            <v>42839</v>
          </cell>
        </row>
        <row r="5">
          <cell r="R5">
            <v>42842</v>
          </cell>
        </row>
        <row r="6">
          <cell r="R6">
            <v>42856</v>
          </cell>
        </row>
        <row r="7">
          <cell r="R7">
            <v>42884</v>
          </cell>
        </row>
        <row r="8">
          <cell r="R8">
            <v>42975</v>
          </cell>
        </row>
        <row r="9">
          <cell r="R9">
            <v>43094</v>
          </cell>
        </row>
        <row r="10">
          <cell r="R10">
            <v>43095</v>
          </cell>
        </row>
        <row r="11">
          <cell r="R11">
            <v>43101</v>
          </cell>
        </row>
        <row r="12">
          <cell r="R12">
            <v>43189</v>
          </cell>
        </row>
        <row r="13">
          <cell r="R13">
            <v>43192</v>
          </cell>
        </row>
        <row r="14">
          <cell r="R14">
            <v>43227</v>
          </cell>
        </row>
        <row r="15">
          <cell r="R15">
            <v>43248</v>
          </cell>
        </row>
        <row r="16">
          <cell r="R16">
            <v>43339</v>
          </cell>
        </row>
        <row r="17">
          <cell r="R17">
            <v>43459</v>
          </cell>
        </row>
        <row r="18">
          <cell r="R18">
            <v>43460</v>
          </cell>
        </row>
        <row r="19">
          <cell r="R19">
            <v>43466</v>
          </cell>
        </row>
        <row r="20">
          <cell r="R20">
            <v>43574</v>
          </cell>
        </row>
        <row r="21">
          <cell r="R21">
            <v>43577</v>
          </cell>
        </row>
        <row r="22">
          <cell r="R22">
            <v>43591</v>
          </cell>
        </row>
        <row r="23">
          <cell r="R23">
            <v>43612</v>
          </cell>
        </row>
        <row r="24">
          <cell r="R24">
            <v>43705</v>
          </cell>
        </row>
        <row r="25">
          <cell r="R25">
            <v>43824</v>
          </cell>
        </row>
        <row r="26">
          <cell r="R26">
            <v>43825</v>
          </cell>
        </row>
        <row r="27">
          <cell r="R27">
            <v>43831</v>
          </cell>
        </row>
        <row r="28">
          <cell r="R28">
            <v>43931</v>
          </cell>
        </row>
        <row r="29">
          <cell r="R29">
            <v>43934</v>
          </cell>
        </row>
        <row r="30">
          <cell r="R30">
            <v>43955</v>
          </cell>
        </row>
        <row r="31">
          <cell r="R31">
            <v>43976</v>
          </cell>
        </row>
        <row r="32">
          <cell r="R32">
            <v>44074</v>
          </cell>
        </row>
        <row r="33">
          <cell r="R33">
            <v>44190</v>
          </cell>
        </row>
        <row r="34">
          <cell r="R34">
            <v>44193</v>
          </cell>
        </row>
        <row r="35">
          <cell r="R35">
            <v>44193</v>
          </cell>
        </row>
        <row r="36">
          <cell r="R36">
            <v>44193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 Week"/>
      <sheetName val="Summary"/>
      <sheetName val="DJM Creditors Ledger"/>
      <sheetName val="Sheet1"/>
      <sheetName val="Sales"/>
      <sheetName val="Subcontractor - Renew"/>
      <sheetName val="Loan &amp; Overdraft Balances"/>
      <sheetName val="DJM Debtors"/>
      <sheetName val="Trueco Debtors"/>
      <sheetName val="Trueco Creditors"/>
      <sheetName val="CID Debtors"/>
      <sheetName val="DJM Sage Creditor Ledger"/>
    </sheetNames>
    <sheetDataSet>
      <sheetData sheetId="0"/>
      <sheetData sheetId="1"/>
      <sheetData sheetId="2">
        <row r="8">
          <cell r="B8" t="str">
            <v>ABACUSDI</v>
          </cell>
        </row>
      </sheetData>
      <sheetData sheetId="3"/>
      <sheetData sheetId="4">
        <row r="79">
          <cell r="B79">
            <v>0</v>
          </cell>
          <cell r="C79">
            <v>0</v>
          </cell>
          <cell r="D79">
            <v>42855</v>
          </cell>
          <cell r="E79">
            <v>42886</v>
          </cell>
          <cell r="F79">
            <v>42916</v>
          </cell>
          <cell r="G79">
            <v>42947</v>
          </cell>
          <cell r="H79">
            <v>42978</v>
          </cell>
          <cell r="I79">
            <v>43008</v>
          </cell>
          <cell r="J79">
            <v>43039</v>
          </cell>
          <cell r="K79">
            <v>43069</v>
          </cell>
          <cell r="L79">
            <v>43100</v>
          </cell>
          <cell r="M79">
            <v>43131</v>
          </cell>
          <cell r="N79">
            <v>43159</v>
          </cell>
          <cell r="O79">
            <v>43190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B81" t="str">
            <v>Total</v>
          </cell>
          <cell r="C81">
            <v>0</v>
          </cell>
          <cell r="D81">
            <v>0</v>
          </cell>
          <cell r="E81">
            <v>0</v>
          </cell>
          <cell r="F81">
            <v>412736</v>
          </cell>
          <cell r="G81">
            <v>600000</v>
          </cell>
          <cell r="H81">
            <v>600000</v>
          </cell>
          <cell r="I81">
            <v>600000</v>
          </cell>
          <cell r="J81">
            <v>600000</v>
          </cell>
          <cell r="K81">
            <v>600000</v>
          </cell>
          <cell r="L81">
            <v>405000</v>
          </cell>
          <cell r="M81">
            <v>600000</v>
          </cell>
          <cell r="N81">
            <v>600000</v>
          </cell>
          <cell r="O81">
            <v>600000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B83" t="str">
            <v>Trueco (EDF)</v>
          </cell>
          <cell r="C83">
            <v>0</v>
          </cell>
          <cell r="D83">
            <v>0</v>
          </cell>
          <cell r="E83">
            <v>0</v>
          </cell>
          <cell r="F83">
            <v>169140</v>
          </cell>
          <cell r="G83">
            <v>300000</v>
          </cell>
          <cell r="H83">
            <v>300000</v>
          </cell>
          <cell r="I83">
            <v>300000</v>
          </cell>
          <cell r="J83">
            <v>300000</v>
          </cell>
          <cell r="K83">
            <v>300000</v>
          </cell>
          <cell r="L83">
            <v>175000</v>
          </cell>
          <cell r="M83">
            <v>300000</v>
          </cell>
          <cell r="N83">
            <v>300000</v>
          </cell>
          <cell r="O83">
            <v>300000</v>
          </cell>
        </row>
        <row r="84">
          <cell r="B84" t="str">
            <v>Trueco (SP)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B85" t="str">
            <v>Commercial</v>
          </cell>
          <cell r="C85">
            <v>0.3</v>
          </cell>
          <cell r="D85">
            <v>0</v>
          </cell>
          <cell r="E85">
            <v>0</v>
          </cell>
          <cell r="F85">
            <v>29000</v>
          </cell>
          <cell r="G85">
            <v>50000</v>
          </cell>
          <cell r="H85">
            <v>50000</v>
          </cell>
          <cell r="I85">
            <v>50000</v>
          </cell>
          <cell r="J85">
            <v>50000</v>
          </cell>
          <cell r="K85">
            <v>50000</v>
          </cell>
          <cell r="L85">
            <v>30000</v>
          </cell>
          <cell r="M85">
            <v>50000</v>
          </cell>
          <cell r="N85">
            <v>50000</v>
          </cell>
          <cell r="O85">
            <v>50000</v>
          </cell>
        </row>
        <row r="86">
          <cell r="B86" t="str">
            <v>DJM</v>
          </cell>
          <cell r="C86">
            <v>0</v>
          </cell>
          <cell r="D86">
            <v>0</v>
          </cell>
          <cell r="E86">
            <v>0</v>
          </cell>
          <cell r="F86">
            <v>214596</v>
          </cell>
          <cell r="G86">
            <v>250000</v>
          </cell>
          <cell r="H86">
            <v>250000</v>
          </cell>
          <cell r="I86">
            <v>250000</v>
          </cell>
          <cell r="J86">
            <v>250000</v>
          </cell>
          <cell r="K86">
            <v>250000</v>
          </cell>
          <cell r="L86">
            <v>200000</v>
          </cell>
          <cell r="M86">
            <v>250000</v>
          </cell>
          <cell r="N86">
            <v>250000</v>
          </cell>
          <cell r="O86">
            <v>250000</v>
          </cell>
        </row>
        <row r="87">
          <cell r="B87" t="str">
            <v>Rebates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B88" t="str">
            <v>TBN</v>
          </cell>
          <cell r="C88">
            <v>0</v>
          </cell>
          <cell r="D88">
            <v>0</v>
          </cell>
          <cell r="E88">
            <v>0</v>
          </cell>
          <cell r="F88">
            <v>177500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590236</v>
          </cell>
          <cell r="G90">
            <v>600000</v>
          </cell>
          <cell r="H90">
            <v>600000</v>
          </cell>
          <cell r="I90">
            <v>600000</v>
          </cell>
          <cell r="J90">
            <v>600000</v>
          </cell>
          <cell r="K90">
            <v>600000</v>
          </cell>
          <cell r="L90">
            <v>405000</v>
          </cell>
          <cell r="M90">
            <v>600000</v>
          </cell>
          <cell r="N90">
            <v>600000</v>
          </cell>
          <cell r="O90">
            <v>600000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policyadvice.net/health-insurance/insights/mental-health-statistics/" TargetMode="External"/><Relationship Id="rId2" Type="http://schemas.openxmlformats.org/officeDocument/2006/relationships/hyperlink" Target="https://ourworldindata.org/global-mental-health" TargetMode="External"/><Relationship Id="rId1" Type="http://schemas.openxmlformats.org/officeDocument/2006/relationships/hyperlink" Target="https://www.statista.com/statistics/330695/number-of-smartphone-users-worldwide/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B039-9459-D543-9E14-ACE0AAC27E6E}">
  <dimension ref="A1:E42"/>
  <sheetViews>
    <sheetView workbookViewId="0">
      <selection activeCell="C14" sqref="C14"/>
    </sheetView>
  </sheetViews>
  <sheetFormatPr defaultColWidth="0.140625" defaultRowHeight="12.75"/>
  <cols>
    <col min="1" max="1" width="12.28515625" customWidth="1"/>
    <col min="2" max="2" width="10.42578125" customWidth="1"/>
    <col min="3" max="3" width="51" bestFit="1" customWidth="1"/>
    <col min="4" max="4" width="1.28515625" hidden="1" customWidth="1"/>
    <col min="5" max="5" width="0.140625" hidden="1" customWidth="1"/>
  </cols>
  <sheetData>
    <row r="1" spans="1:3">
      <c r="A1" s="1" t="s">
        <v>0</v>
      </c>
      <c r="B1" s="2"/>
      <c r="C1" s="2"/>
    </row>
    <row r="2" spans="1:3">
      <c r="A2" s="2"/>
      <c r="B2" s="2"/>
      <c r="C2" s="2"/>
    </row>
    <row r="3" spans="1:3">
      <c r="A3" s="2" t="s">
        <v>1</v>
      </c>
      <c r="B3" s="2" t="s">
        <v>2</v>
      </c>
      <c r="C3" s="2" t="s">
        <v>3</v>
      </c>
    </row>
    <row r="4" spans="1:3">
      <c r="A4" s="3"/>
    </row>
    <row r="5" spans="1:3">
      <c r="A5" s="3">
        <v>44070</v>
      </c>
      <c r="B5" t="s">
        <v>4</v>
      </c>
      <c r="C5" t="s">
        <v>5</v>
      </c>
    </row>
    <row r="6" spans="1:3">
      <c r="A6" s="3">
        <v>44070</v>
      </c>
      <c r="B6" t="s">
        <v>4</v>
      </c>
      <c r="C6" t="s">
        <v>6</v>
      </c>
    </row>
    <row r="7" spans="1:3">
      <c r="A7" s="3">
        <v>44071</v>
      </c>
      <c r="B7" t="s">
        <v>4</v>
      </c>
      <c r="C7" t="s">
        <v>7</v>
      </c>
    </row>
    <row r="9" spans="1:3">
      <c r="A9" s="3"/>
    </row>
    <row r="10" spans="1:3">
      <c r="A10" s="3"/>
    </row>
    <row r="11" spans="1:3">
      <c r="A11" s="3"/>
    </row>
    <row r="12" spans="1:3">
      <c r="A12" s="3"/>
    </row>
    <row r="13" spans="1:3">
      <c r="A13" s="3"/>
    </row>
    <row r="14" spans="1:3">
      <c r="A14" s="3"/>
    </row>
    <row r="15" spans="1:3">
      <c r="A15" s="3"/>
    </row>
    <row r="16" spans="1:3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07C7-E015-4E58-9C57-D7B349D5BAAE}">
  <dimension ref="A1:A4"/>
  <sheetViews>
    <sheetView workbookViewId="0">
      <selection activeCell="C12" sqref="C12"/>
    </sheetView>
  </sheetViews>
  <sheetFormatPr defaultRowHeight="12.75"/>
  <cols>
    <col min="1" max="1" width="10.85546875" bestFit="1" customWidth="1"/>
  </cols>
  <sheetData>
    <row r="1" spans="1:1">
      <c r="A1" s="338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9A01-F1A7-4002-A711-D4E3DEE7486E}">
  <dimension ref="A1:BL349"/>
  <sheetViews>
    <sheetView workbookViewId="0">
      <pane ySplit="2" topLeftCell="A5" activePane="bottomLeft" state="frozen"/>
      <selection pane="bottomLeft" activeCell="E16" sqref="E16"/>
      <selection activeCell="AS1" sqref="AS1"/>
    </sheetView>
  </sheetViews>
  <sheetFormatPr defaultColWidth="12.42578125" defaultRowHeight="15.75"/>
  <cols>
    <col min="1" max="1" width="2.28515625" style="258" customWidth="1"/>
    <col min="2" max="2" width="2.28515625" style="273" customWidth="1"/>
    <col min="3" max="3" width="31.42578125" style="250" customWidth="1"/>
    <col min="4" max="4" width="1.42578125" style="277" customWidth="1"/>
    <col min="5" max="5" width="14.28515625" style="262" customWidth="1"/>
    <col min="6" max="7" width="12.42578125" style="262"/>
    <col min="8" max="8" width="13.140625" style="262" customWidth="1"/>
    <col min="9" max="10" width="12.42578125" style="262"/>
    <col min="11" max="11" width="14" style="262" bestFit="1" customWidth="1"/>
    <col min="12" max="16" width="12.42578125" style="262"/>
    <col min="17" max="17" width="12.85546875" style="262" customWidth="1"/>
    <col min="18" max="34" width="12.42578125" style="262"/>
    <col min="35" max="35" width="13.5703125" style="262" customWidth="1"/>
    <col min="36" max="36" width="11.7109375" style="262" bestFit="1" customWidth="1"/>
    <col min="37" max="38" width="12.42578125" style="262"/>
    <col min="39" max="39" width="12.42578125" style="262" customWidth="1"/>
    <col min="40" max="40" width="13.28515625" style="262" customWidth="1"/>
    <col min="41" max="41" width="14" style="262" customWidth="1"/>
    <col min="42" max="42" width="12.42578125" style="262"/>
    <col min="43" max="43" width="12.42578125" style="264"/>
    <col min="44" max="44" width="13.7109375" style="264" customWidth="1"/>
    <col min="45" max="45" width="11.7109375" style="264" bestFit="1" customWidth="1"/>
    <col min="46" max="46" width="12.42578125" style="264"/>
    <col min="47" max="47" width="13.42578125" style="264" customWidth="1"/>
    <col min="48" max="49" width="12.42578125" style="264"/>
    <col min="50" max="50" width="13.42578125" style="264" customWidth="1"/>
    <col min="51" max="52" width="12.42578125" style="264"/>
    <col min="53" max="53" width="13.7109375" style="264" customWidth="1"/>
    <col min="54" max="55" width="12.42578125" style="264"/>
    <col min="56" max="56" width="14.28515625" style="264" customWidth="1"/>
    <col min="57" max="58" width="12.42578125" style="264"/>
    <col min="59" max="59" width="14.5703125" style="264" customWidth="1"/>
    <col min="60" max="16384" width="12.42578125" style="264"/>
  </cols>
  <sheetData>
    <row r="1" spans="1:64" s="265" customFormat="1" ht="31.5" customHeight="1">
      <c r="B1" s="272"/>
      <c r="C1" s="257" t="s">
        <v>12</v>
      </c>
      <c r="D1" s="274"/>
      <c r="E1" s="398" t="s">
        <v>13</v>
      </c>
      <c r="F1" s="398"/>
      <c r="G1" s="398"/>
      <c r="H1" s="398"/>
      <c r="I1" s="398"/>
      <c r="J1" s="398"/>
      <c r="K1" s="399" t="s">
        <v>14</v>
      </c>
      <c r="L1" s="399"/>
      <c r="M1" s="399"/>
      <c r="N1" s="399"/>
      <c r="O1" s="399"/>
      <c r="P1" s="399"/>
      <c r="Q1" s="400" t="s">
        <v>15</v>
      </c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1" t="s">
        <v>16</v>
      </c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398" t="s">
        <v>17</v>
      </c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4" t="s">
        <v>18</v>
      </c>
      <c r="BB1" s="394"/>
      <c r="BC1" s="394"/>
      <c r="BD1" s="394"/>
      <c r="BE1" s="394"/>
      <c r="BF1" s="394"/>
      <c r="BG1" s="394"/>
      <c r="BH1" s="394"/>
      <c r="BI1" s="394"/>
      <c r="BJ1" s="394"/>
      <c r="BK1" s="394"/>
      <c r="BL1" s="394"/>
    </row>
    <row r="2" spans="1:64" s="265" customFormat="1" ht="33.75" customHeight="1">
      <c r="B2" s="272"/>
      <c r="C2" s="257"/>
      <c r="D2" s="274"/>
      <c r="E2" s="266" t="s">
        <v>19</v>
      </c>
      <c r="F2" s="266" t="s">
        <v>20</v>
      </c>
      <c r="G2" s="266" t="s">
        <v>21</v>
      </c>
      <c r="H2" s="265" t="s">
        <v>22</v>
      </c>
      <c r="I2" s="265" t="s">
        <v>23</v>
      </c>
      <c r="J2" s="265" t="s">
        <v>24</v>
      </c>
      <c r="K2" s="266" t="s">
        <v>25</v>
      </c>
      <c r="L2" s="266" t="s">
        <v>26</v>
      </c>
      <c r="M2" s="266" t="s">
        <v>27</v>
      </c>
      <c r="N2" s="265" t="s">
        <v>28</v>
      </c>
      <c r="O2" s="265" t="s">
        <v>29</v>
      </c>
      <c r="P2" s="265" t="s">
        <v>30</v>
      </c>
      <c r="Q2" s="266" t="s">
        <v>31</v>
      </c>
      <c r="R2" s="266" t="s">
        <v>32</v>
      </c>
      <c r="S2" s="266" t="s">
        <v>33</v>
      </c>
      <c r="T2" s="265" t="s">
        <v>34</v>
      </c>
      <c r="U2" s="265" t="s">
        <v>35</v>
      </c>
      <c r="V2" s="265" t="s">
        <v>36</v>
      </c>
      <c r="W2" s="266" t="s">
        <v>37</v>
      </c>
      <c r="X2" s="266" t="s">
        <v>38</v>
      </c>
      <c r="Y2" s="266" t="s">
        <v>39</v>
      </c>
      <c r="Z2" s="265" t="s">
        <v>40</v>
      </c>
      <c r="AA2" s="265" t="s">
        <v>41</v>
      </c>
      <c r="AB2" s="265" t="s">
        <v>42</v>
      </c>
      <c r="AC2" s="266" t="s">
        <v>43</v>
      </c>
      <c r="AD2" s="266" t="s">
        <v>44</v>
      </c>
      <c r="AE2" s="266" t="s">
        <v>45</v>
      </c>
      <c r="AF2" s="265" t="s">
        <v>46</v>
      </c>
      <c r="AG2" s="265" t="s">
        <v>47</v>
      </c>
      <c r="AH2" s="265" t="s">
        <v>48</v>
      </c>
      <c r="AI2" s="266" t="s">
        <v>49</v>
      </c>
      <c r="AJ2" s="266" t="s">
        <v>50</v>
      </c>
      <c r="AK2" s="266" t="s">
        <v>51</v>
      </c>
      <c r="AL2" s="265" t="s">
        <v>52</v>
      </c>
      <c r="AM2" s="265" t="s">
        <v>53</v>
      </c>
      <c r="AN2" s="265" t="s">
        <v>54</v>
      </c>
      <c r="AO2" s="266" t="s">
        <v>55</v>
      </c>
      <c r="AP2" s="266" t="s">
        <v>56</v>
      </c>
      <c r="AQ2" s="266" t="s">
        <v>57</v>
      </c>
      <c r="AR2" s="265" t="s">
        <v>58</v>
      </c>
      <c r="AS2" s="265" t="s">
        <v>59</v>
      </c>
      <c r="AT2" s="265" t="s">
        <v>60</v>
      </c>
      <c r="AU2" s="266" t="s">
        <v>61</v>
      </c>
      <c r="AV2" s="266" t="s">
        <v>62</v>
      </c>
      <c r="AW2" s="266" t="s">
        <v>63</v>
      </c>
      <c r="AX2" s="265" t="s">
        <v>64</v>
      </c>
      <c r="AY2" s="265" t="s">
        <v>65</v>
      </c>
      <c r="AZ2" s="265" t="s">
        <v>66</v>
      </c>
      <c r="BA2" s="266" t="s">
        <v>67</v>
      </c>
      <c r="BB2" s="266" t="s">
        <v>68</v>
      </c>
      <c r="BC2" s="266" t="s">
        <v>69</v>
      </c>
      <c r="BD2" s="265" t="s">
        <v>70</v>
      </c>
      <c r="BE2" s="265" t="s">
        <v>71</v>
      </c>
      <c r="BF2" s="265" t="s">
        <v>72</v>
      </c>
      <c r="BG2" s="266" t="s">
        <v>73</v>
      </c>
      <c r="BH2" s="266" t="s">
        <v>74</v>
      </c>
      <c r="BI2" s="266" t="s">
        <v>75</v>
      </c>
      <c r="BJ2" s="265" t="s">
        <v>76</v>
      </c>
      <c r="BK2" s="265" t="s">
        <v>77</v>
      </c>
      <c r="BL2" s="265" t="s">
        <v>78</v>
      </c>
    </row>
    <row r="3" spans="1:64">
      <c r="C3" s="249"/>
      <c r="D3" s="275"/>
      <c r="E3" s="261"/>
      <c r="F3" s="261"/>
      <c r="G3" s="301"/>
      <c r="H3" s="301"/>
      <c r="I3" s="301"/>
      <c r="J3" s="30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  <c r="AM3" s="261"/>
      <c r="AN3" s="261"/>
      <c r="AO3" s="261"/>
      <c r="AP3" s="264"/>
      <c r="AQ3" s="267"/>
    </row>
    <row r="4" spans="1:64" ht="63" customHeight="1">
      <c r="C4" s="253" t="s">
        <v>79</v>
      </c>
      <c r="D4" s="275"/>
      <c r="E4" s="268" t="s">
        <v>80</v>
      </c>
      <c r="F4" s="298"/>
      <c r="G4" s="288"/>
      <c r="H4" s="288"/>
      <c r="I4" s="288"/>
      <c r="J4" s="288"/>
      <c r="K4" s="299"/>
      <c r="L4" s="261"/>
      <c r="M4" s="261"/>
      <c r="N4" s="261"/>
      <c r="O4" s="261"/>
      <c r="P4" s="261"/>
      <c r="Q4" s="268" t="s">
        <v>81</v>
      </c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8" t="s">
        <v>81</v>
      </c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8" t="s">
        <v>82</v>
      </c>
      <c r="AO4" s="268" t="s">
        <v>81</v>
      </c>
      <c r="AP4" s="264"/>
      <c r="AQ4" s="267"/>
    </row>
    <row r="5" spans="1:64" ht="6" customHeight="1">
      <c r="E5" s="259"/>
      <c r="F5" s="295"/>
      <c r="G5" s="290"/>
      <c r="H5" s="290"/>
      <c r="I5" s="290"/>
      <c r="J5" s="290"/>
      <c r="K5" s="296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61"/>
      <c r="AP5" s="264"/>
      <c r="AQ5" s="270"/>
      <c r="AR5" s="263"/>
      <c r="AS5" s="263"/>
      <c r="AT5" s="263"/>
      <c r="AU5" s="263"/>
      <c r="AV5" s="263"/>
      <c r="AW5" s="263"/>
      <c r="AX5" s="263"/>
      <c r="AY5" s="263"/>
    </row>
    <row r="6" spans="1:64" s="286" customFormat="1" ht="63" customHeight="1">
      <c r="A6" s="258"/>
      <c r="B6" s="273"/>
      <c r="C6" s="280" t="s">
        <v>83</v>
      </c>
      <c r="D6" s="281"/>
      <c r="E6" s="287" t="s">
        <v>84</v>
      </c>
      <c r="F6" s="304"/>
      <c r="G6" s="291"/>
      <c r="H6" s="292"/>
      <c r="I6" s="291"/>
      <c r="J6" s="291"/>
      <c r="K6" s="303"/>
      <c r="L6" s="282"/>
      <c r="M6" s="282"/>
      <c r="N6" s="282"/>
      <c r="O6" s="282"/>
      <c r="P6" s="282"/>
      <c r="Q6" s="287" t="s">
        <v>85</v>
      </c>
      <c r="R6" s="282"/>
      <c r="S6" s="282"/>
      <c r="T6" s="282"/>
      <c r="U6" s="282"/>
      <c r="V6" s="282"/>
      <c r="W6" s="287" t="s">
        <v>86</v>
      </c>
      <c r="X6" s="304"/>
      <c r="Y6" s="282"/>
      <c r="Z6" s="282"/>
      <c r="AA6" s="282"/>
      <c r="AB6" s="282"/>
      <c r="AC6" s="283"/>
      <c r="AD6" s="282"/>
      <c r="AE6" s="282"/>
      <c r="AF6" s="282"/>
      <c r="AG6" s="282"/>
      <c r="AH6" s="282"/>
      <c r="AI6" s="283"/>
      <c r="AJ6" s="282"/>
      <c r="AK6" s="282"/>
      <c r="AL6" s="282"/>
      <c r="AM6" s="282"/>
      <c r="AN6" s="282"/>
      <c r="AO6" s="287" t="s">
        <v>87</v>
      </c>
      <c r="AP6" s="260"/>
      <c r="AQ6" s="284"/>
      <c r="AR6" s="283"/>
      <c r="AS6" s="285"/>
      <c r="AT6" s="285"/>
      <c r="AU6" s="287" t="s">
        <v>88</v>
      </c>
      <c r="AV6" s="285"/>
      <c r="AW6" s="285"/>
      <c r="AX6" s="283"/>
      <c r="AY6" s="285"/>
      <c r="AZ6" s="285"/>
      <c r="BA6" s="287" t="s">
        <v>89</v>
      </c>
      <c r="BD6" s="283"/>
      <c r="BG6" s="283"/>
    </row>
    <row r="7" spans="1:64" ht="6" customHeight="1">
      <c r="C7" s="249"/>
      <c r="D7" s="275"/>
      <c r="F7" s="297"/>
      <c r="G7" s="293"/>
      <c r="H7" s="293"/>
      <c r="I7" s="293"/>
      <c r="J7" s="293"/>
      <c r="K7" s="300"/>
      <c r="S7" s="261"/>
      <c r="T7" s="261"/>
      <c r="U7" s="261"/>
      <c r="V7" s="261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4"/>
      <c r="AQ7" s="267"/>
    </row>
    <row r="8" spans="1:64" ht="63" customHeight="1">
      <c r="C8" s="255" t="s">
        <v>90</v>
      </c>
      <c r="D8" s="275"/>
      <c r="E8" s="261"/>
      <c r="F8" s="298"/>
      <c r="G8" s="289"/>
      <c r="H8" s="294" t="s">
        <v>91</v>
      </c>
      <c r="I8" s="288"/>
      <c r="J8" s="288"/>
      <c r="K8" s="299"/>
      <c r="L8" s="261"/>
      <c r="M8" s="261"/>
      <c r="N8" s="261"/>
      <c r="O8" s="261"/>
      <c r="P8" s="261"/>
      <c r="Q8" s="383" t="s">
        <v>92</v>
      </c>
      <c r="R8" s="261"/>
      <c r="S8" s="261"/>
      <c r="T8" s="261"/>
      <c r="U8" s="261"/>
      <c r="V8" s="261"/>
      <c r="W8" s="261"/>
      <c r="X8" s="261"/>
      <c r="Y8" s="264"/>
      <c r="Z8" s="261"/>
      <c r="AA8" s="261"/>
      <c r="AB8" s="261"/>
      <c r="AC8" s="383" t="s">
        <v>93</v>
      </c>
      <c r="AD8" s="261"/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383" t="s">
        <v>94</v>
      </c>
      <c r="AP8" s="264"/>
      <c r="AQ8" s="267"/>
      <c r="BA8" s="383" t="s">
        <v>95</v>
      </c>
      <c r="BG8" s="395" t="s">
        <v>96</v>
      </c>
      <c r="BH8" s="396"/>
      <c r="BI8" s="396"/>
      <c r="BJ8" s="396"/>
      <c r="BK8" s="396"/>
      <c r="BL8" s="396"/>
    </row>
    <row r="9" spans="1:64" ht="6.75" customHeight="1">
      <c r="C9" s="249"/>
      <c r="D9" s="275"/>
      <c r="E9" s="261"/>
      <c r="F9" s="298"/>
      <c r="G9" s="288"/>
      <c r="H9" s="288"/>
      <c r="I9" s="288"/>
      <c r="J9" s="288"/>
      <c r="K9" s="299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4"/>
      <c r="AQ9" s="267"/>
    </row>
    <row r="10" spans="1:64" ht="63" customHeight="1">
      <c r="C10" s="256" t="s">
        <v>97</v>
      </c>
      <c r="D10" s="275"/>
      <c r="E10" s="261"/>
      <c r="F10" s="298"/>
      <c r="G10" s="288"/>
      <c r="H10" s="288"/>
      <c r="I10" s="288"/>
      <c r="J10" s="288"/>
      <c r="K10" s="299"/>
      <c r="L10" s="261"/>
      <c r="M10" s="261"/>
      <c r="N10" s="261"/>
      <c r="O10" s="261"/>
      <c r="P10" s="384" t="s">
        <v>98</v>
      </c>
      <c r="Q10" s="261"/>
      <c r="R10" s="261"/>
      <c r="S10" s="260"/>
      <c r="T10" s="261"/>
      <c r="U10" s="261"/>
      <c r="V10" s="261"/>
      <c r="W10" s="261"/>
      <c r="X10" s="261"/>
      <c r="Y10" s="261"/>
      <c r="Z10" s="261"/>
      <c r="AA10" s="261"/>
      <c r="AB10" s="384" t="s">
        <v>98</v>
      </c>
      <c r="AC10" s="261"/>
      <c r="AD10" s="261"/>
      <c r="AE10" s="260"/>
      <c r="AF10" s="261"/>
      <c r="AG10" s="261"/>
      <c r="AH10" s="261"/>
      <c r="AI10" s="261"/>
      <c r="AJ10" s="261"/>
      <c r="AK10" s="261"/>
      <c r="AL10" s="261"/>
      <c r="AM10" s="261"/>
      <c r="AN10" s="384" t="s">
        <v>98</v>
      </c>
      <c r="AO10" s="261"/>
      <c r="AP10" s="264"/>
      <c r="AQ10" s="267"/>
      <c r="AZ10" s="384" t="s">
        <v>98</v>
      </c>
      <c r="BD10" s="397" t="s">
        <v>99</v>
      </c>
      <c r="BE10" s="397"/>
      <c r="BF10" s="397"/>
    </row>
    <row r="11" spans="1:64" ht="7.5" customHeight="1">
      <c r="C11" s="249"/>
      <c r="D11" s="275"/>
      <c r="E11" s="261"/>
      <c r="F11" s="298"/>
      <c r="G11" s="293"/>
      <c r="H11" s="293"/>
      <c r="I11" s="293"/>
      <c r="J11" s="293"/>
      <c r="K11" s="300"/>
      <c r="Z11" s="261"/>
      <c r="AA11" s="261"/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4"/>
      <c r="AQ11" s="267"/>
    </row>
    <row r="12" spans="1:64" ht="63" customHeight="1">
      <c r="C12" s="248" t="s">
        <v>100</v>
      </c>
      <c r="D12" s="275"/>
      <c r="E12" s="261"/>
      <c r="G12" s="305" t="s">
        <v>101</v>
      </c>
      <c r="H12" s="305" t="s">
        <v>102</v>
      </c>
      <c r="I12" s="302"/>
      <c r="J12" s="302"/>
      <c r="K12" s="261"/>
      <c r="L12" s="269" t="s">
        <v>103</v>
      </c>
      <c r="M12" s="261"/>
      <c r="N12" s="261"/>
      <c r="O12" s="261"/>
      <c r="P12" s="261"/>
      <c r="Q12" s="261"/>
      <c r="R12" s="261"/>
      <c r="S12" s="261"/>
      <c r="T12" s="269" t="s">
        <v>104</v>
      </c>
      <c r="U12" s="261"/>
      <c r="V12" s="261"/>
      <c r="W12" s="261"/>
      <c r="X12" s="261"/>
      <c r="Y12" s="261"/>
      <c r="Z12" s="269" t="s">
        <v>105</v>
      </c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9" t="s">
        <v>106</v>
      </c>
      <c r="AM12" s="261"/>
      <c r="AN12" s="261"/>
      <c r="AO12" s="261"/>
      <c r="AP12" s="264"/>
      <c r="AQ12" s="270"/>
      <c r="AR12" s="263"/>
      <c r="AS12" s="263"/>
      <c r="AT12" s="263"/>
      <c r="AU12" s="263"/>
      <c r="AV12" s="263"/>
      <c r="AW12" s="263"/>
      <c r="AX12" s="263"/>
      <c r="AY12" s="263"/>
    </row>
    <row r="13" spans="1:64" ht="7.5" customHeight="1">
      <c r="C13" s="251"/>
      <c r="D13" s="276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61"/>
      <c r="AP13" s="264"/>
      <c r="AQ13" s="270"/>
      <c r="AR13" s="263"/>
      <c r="AS13" s="263"/>
      <c r="AT13" s="263"/>
      <c r="AU13" s="263"/>
      <c r="AV13" s="263"/>
      <c r="AW13" s="263"/>
      <c r="AX13" s="263"/>
      <c r="AY13" s="263"/>
    </row>
    <row r="14" spans="1:64" ht="63" customHeight="1">
      <c r="C14" s="254" t="s">
        <v>107</v>
      </c>
      <c r="D14" s="276"/>
      <c r="E14" s="259"/>
      <c r="F14" s="259"/>
      <c r="G14" s="271" t="s">
        <v>108</v>
      </c>
      <c r="H14" s="259"/>
      <c r="I14" s="259"/>
      <c r="J14" s="271" t="s">
        <v>109</v>
      </c>
      <c r="K14" s="259"/>
      <c r="L14" s="259"/>
      <c r="M14" s="259"/>
      <c r="N14" s="259"/>
      <c r="O14" s="259"/>
      <c r="P14" s="271" t="s">
        <v>110</v>
      </c>
      <c r="Q14" s="259"/>
      <c r="R14" s="259"/>
      <c r="S14" s="259"/>
      <c r="T14" s="259"/>
      <c r="U14" s="259"/>
      <c r="V14" s="271" t="s">
        <v>111</v>
      </c>
      <c r="W14" s="259"/>
      <c r="X14" s="259"/>
      <c r="Y14" s="259"/>
      <c r="Z14" s="259"/>
      <c r="AA14" s="259"/>
      <c r="AB14" s="271" t="s">
        <v>112</v>
      </c>
      <c r="AC14" s="259"/>
      <c r="AD14" s="259"/>
      <c r="AE14" s="259"/>
      <c r="AF14" s="259"/>
      <c r="AG14" s="259"/>
      <c r="AH14" s="271" t="s">
        <v>113</v>
      </c>
      <c r="AI14" s="259"/>
      <c r="AJ14" s="259"/>
      <c r="AK14" s="259"/>
      <c r="AL14" s="259"/>
      <c r="AM14" s="259"/>
      <c r="AN14" s="271" t="s">
        <v>114</v>
      </c>
      <c r="AO14" s="261"/>
      <c r="AQ14" s="271" t="s">
        <v>115</v>
      </c>
      <c r="AR14" s="263"/>
      <c r="AS14" s="263"/>
      <c r="AT14" s="271" t="s">
        <v>116</v>
      </c>
      <c r="AU14" s="263"/>
      <c r="AV14" s="263"/>
      <c r="AW14" s="271" t="s">
        <v>117</v>
      </c>
      <c r="AX14" s="263"/>
      <c r="AY14" s="263"/>
      <c r="AZ14" s="271" t="s">
        <v>118</v>
      </c>
      <c r="BC14" s="271" t="s">
        <v>119</v>
      </c>
      <c r="BF14" s="271" t="s">
        <v>120</v>
      </c>
    </row>
    <row r="15" spans="1:64" ht="8.25" customHeight="1"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61"/>
      <c r="AP15" s="264"/>
      <c r="AQ15" s="270"/>
      <c r="AR15" s="263"/>
      <c r="AS15" s="263"/>
      <c r="AT15" s="263"/>
      <c r="AU15" s="263"/>
      <c r="AV15" s="263"/>
      <c r="AW15" s="263"/>
      <c r="AX15" s="263"/>
      <c r="AY15" s="263"/>
    </row>
    <row r="16" spans="1:64" ht="63" customHeight="1">
      <c r="C16" s="316" t="s">
        <v>121</v>
      </c>
      <c r="D16" s="276"/>
      <c r="E16" s="259"/>
      <c r="F16" s="259"/>
      <c r="G16" s="259"/>
      <c r="H16" s="260"/>
      <c r="I16" s="259"/>
      <c r="J16" s="259"/>
      <c r="K16" s="279">
        <f>'Rev Forecast'!L15</f>
        <v>50000</v>
      </c>
      <c r="L16" s="259"/>
      <c r="M16" s="259"/>
      <c r="N16" s="259"/>
      <c r="O16" s="259"/>
      <c r="P16" s="259"/>
      <c r="Q16" s="279">
        <f>'Rev Forecast'!R15</f>
        <v>100000</v>
      </c>
      <c r="R16" s="259"/>
      <c r="S16" s="259"/>
      <c r="T16" s="259"/>
      <c r="U16" s="259"/>
      <c r="V16" s="259"/>
      <c r="W16" s="279">
        <f>'Rev Forecast'!X15</f>
        <v>250000</v>
      </c>
      <c r="X16" s="259"/>
      <c r="Y16" s="259"/>
      <c r="Z16" s="259"/>
      <c r="AA16" s="259"/>
      <c r="AB16" s="259"/>
      <c r="AC16" s="279">
        <f>'Rev Forecast'!AD15</f>
        <v>500000</v>
      </c>
      <c r="AD16" s="259"/>
      <c r="AE16" s="259"/>
      <c r="AF16" s="259"/>
      <c r="AG16" s="259"/>
      <c r="AH16" s="259"/>
      <c r="AI16" s="279">
        <f>'Rev Forecast'!AJ15</f>
        <v>1000000</v>
      </c>
      <c r="AJ16" s="259"/>
      <c r="AK16" s="259"/>
      <c r="AL16" s="259"/>
      <c r="AM16" s="259"/>
      <c r="AN16" s="259"/>
      <c r="AO16" s="279">
        <f>'Rev Forecast'!AP15</f>
        <v>2000000</v>
      </c>
      <c r="AP16" s="261"/>
      <c r="AQ16" s="262"/>
      <c r="AR16" s="279">
        <f>'Rev Forecast'!AS15</f>
        <v>2500000</v>
      </c>
      <c r="AS16" s="263"/>
      <c r="AT16" s="263"/>
      <c r="AU16" s="279">
        <f>'Rev Forecast'!AV15</f>
        <v>3000000</v>
      </c>
      <c r="AV16" s="263"/>
      <c r="AW16" s="263"/>
      <c r="AX16" s="279">
        <f>'Rev Forecast'!AY15</f>
        <v>3500000</v>
      </c>
      <c r="AY16" s="263"/>
      <c r="AZ16" s="263"/>
      <c r="BA16" s="279">
        <f>'Rev Forecast'!BB15</f>
        <v>4500000</v>
      </c>
      <c r="BD16" s="279">
        <f>'Rev Forecast'!BE15</f>
        <v>5000000</v>
      </c>
      <c r="BG16" s="279">
        <f>'Rev Forecast'!BH15</f>
        <v>7000000</v>
      </c>
    </row>
    <row r="17" spans="1:59" ht="8.25" customHeight="1"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61"/>
      <c r="AP17" s="264"/>
      <c r="AQ17" s="270"/>
      <c r="AR17" s="263"/>
      <c r="AS17" s="263"/>
      <c r="AT17" s="263"/>
      <c r="AU17" s="263"/>
      <c r="AV17" s="263"/>
      <c r="AW17" s="263"/>
      <c r="AX17" s="263"/>
      <c r="AY17" s="263"/>
    </row>
    <row r="18" spans="1:59" s="286" customFormat="1" ht="63" customHeight="1">
      <c r="A18" s="258"/>
      <c r="B18" s="273"/>
      <c r="C18" s="249"/>
      <c r="D18" s="281"/>
      <c r="E18" s="282"/>
      <c r="F18" s="282"/>
      <c r="G18" s="282"/>
      <c r="H18" s="260"/>
      <c r="I18" s="282"/>
      <c r="J18" s="282"/>
      <c r="K18" s="283"/>
      <c r="L18" s="282"/>
      <c r="M18" s="282"/>
      <c r="N18" s="282"/>
      <c r="O18" s="282"/>
      <c r="P18" s="282"/>
      <c r="Q18" s="283"/>
      <c r="R18" s="282"/>
      <c r="S18" s="282"/>
      <c r="T18" s="282"/>
      <c r="U18" s="282"/>
      <c r="V18" s="282"/>
      <c r="W18" s="283"/>
      <c r="X18" s="282"/>
      <c r="Y18" s="282"/>
      <c r="Z18" s="282"/>
      <c r="AA18" s="282"/>
      <c r="AB18" s="282"/>
      <c r="AC18" s="283"/>
      <c r="AD18" s="282"/>
      <c r="AE18" s="282"/>
      <c r="AF18" s="282"/>
      <c r="AG18" s="282"/>
      <c r="AH18" s="282"/>
      <c r="AI18" s="283"/>
      <c r="AJ18" s="282"/>
      <c r="AK18" s="282"/>
      <c r="AL18" s="282"/>
      <c r="AM18" s="282"/>
      <c r="AN18" s="282"/>
      <c r="AO18" s="283"/>
      <c r="AP18" s="260"/>
      <c r="AQ18" s="284"/>
      <c r="AR18" s="283"/>
      <c r="AS18" s="285"/>
      <c r="AT18" s="285"/>
      <c r="AU18" s="283"/>
      <c r="AV18" s="285"/>
      <c r="AW18" s="285"/>
      <c r="AX18" s="283"/>
      <c r="AY18" s="285"/>
      <c r="AZ18" s="285"/>
      <c r="BA18" s="283"/>
      <c r="BD18" s="283"/>
      <c r="BG18" s="283"/>
    </row>
    <row r="19" spans="1:59"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61"/>
      <c r="AP19" s="264"/>
      <c r="AQ19" s="270"/>
      <c r="AR19" s="263"/>
      <c r="AS19" s="263"/>
      <c r="AT19" s="263"/>
      <c r="AU19" s="263"/>
      <c r="AV19" s="263"/>
      <c r="AW19" s="263"/>
      <c r="AX19" s="263"/>
      <c r="AY19" s="263"/>
    </row>
    <row r="20" spans="1:59"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61"/>
      <c r="AP20" s="264"/>
      <c r="AQ20" s="270"/>
      <c r="AR20" s="263"/>
      <c r="AS20" s="263"/>
      <c r="AT20" s="263"/>
      <c r="AU20" s="263"/>
      <c r="AV20" s="263"/>
      <c r="AW20" s="263"/>
      <c r="AX20" s="263"/>
      <c r="AY20" s="263"/>
    </row>
    <row r="21" spans="1:59">
      <c r="C21" s="252"/>
      <c r="D21" s="278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61"/>
      <c r="AP21" s="264"/>
      <c r="AQ21" s="270"/>
      <c r="AR21" s="263"/>
      <c r="AS21" s="263"/>
      <c r="AT21" s="263"/>
      <c r="AU21" s="263"/>
      <c r="AV21" s="263"/>
      <c r="AW21" s="263"/>
      <c r="AX21" s="263"/>
      <c r="AY21" s="263"/>
    </row>
    <row r="22" spans="1:59"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61"/>
      <c r="AP22" s="264"/>
      <c r="AQ22" s="270"/>
      <c r="AR22" s="263"/>
      <c r="AS22" s="263"/>
      <c r="AT22" s="263"/>
      <c r="AU22" s="263"/>
      <c r="AV22" s="263"/>
      <c r="AW22" s="263"/>
      <c r="AX22" s="263"/>
      <c r="AY22" s="263"/>
    </row>
    <row r="23" spans="1:59"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61"/>
      <c r="AP23" s="264"/>
      <c r="AQ23" s="270"/>
      <c r="AR23" s="263"/>
      <c r="AS23" s="263"/>
      <c r="AT23" s="263"/>
      <c r="AU23" s="263"/>
      <c r="AV23" s="263"/>
      <c r="AW23" s="263"/>
      <c r="AX23" s="263"/>
      <c r="AY23" s="263"/>
    </row>
    <row r="24" spans="1:59"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61"/>
      <c r="AP24" s="264"/>
      <c r="AQ24" s="270"/>
      <c r="AR24" s="263"/>
      <c r="AS24" s="263"/>
      <c r="AT24" s="263"/>
      <c r="AU24" s="263"/>
      <c r="AV24" s="263"/>
      <c r="AW24" s="263"/>
      <c r="AX24" s="263"/>
      <c r="AY24" s="263"/>
    </row>
    <row r="25" spans="1:59"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61"/>
      <c r="AP25" s="264"/>
      <c r="AQ25" s="270"/>
      <c r="AR25" s="263"/>
      <c r="AS25" s="263"/>
      <c r="AT25" s="263"/>
      <c r="AU25" s="263"/>
      <c r="AV25" s="263"/>
      <c r="AW25" s="263"/>
      <c r="AX25" s="263"/>
      <c r="AY25" s="263"/>
    </row>
    <row r="26" spans="1:59"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61"/>
      <c r="AP26" s="264"/>
      <c r="AQ26" s="270"/>
      <c r="AR26" s="263"/>
      <c r="AS26" s="263"/>
      <c r="AT26" s="263"/>
      <c r="AU26" s="263"/>
      <c r="AV26" s="263"/>
      <c r="AW26" s="263"/>
      <c r="AX26" s="263"/>
      <c r="AY26" s="263"/>
    </row>
    <row r="27" spans="1:59"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61"/>
      <c r="AP27" s="264"/>
      <c r="AQ27" s="270"/>
      <c r="AR27" s="263"/>
      <c r="AS27" s="263"/>
      <c r="AT27" s="263"/>
      <c r="AU27" s="263"/>
      <c r="AV27" s="263"/>
      <c r="AW27" s="263"/>
      <c r="AX27" s="263"/>
      <c r="AY27" s="263"/>
    </row>
    <row r="28" spans="1:59"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61"/>
      <c r="AP28" s="264"/>
      <c r="AQ28" s="270"/>
      <c r="AR28" s="263"/>
      <c r="AS28" s="263"/>
      <c r="AT28" s="263"/>
      <c r="AU28" s="263"/>
      <c r="AV28" s="263"/>
      <c r="AW28" s="263"/>
      <c r="AX28" s="263"/>
      <c r="AY28" s="263"/>
    </row>
    <row r="29" spans="1:59"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61"/>
      <c r="AP29" s="264"/>
      <c r="AQ29" s="270"/>
      <c r="AR29" s="263"/>
      <c r="AS29" s="263"/>
      <c r="AT29" s="263"/>
      <c r="AU29" s="263"/>
      <c r="AV29" s="263"/>
      <c r="AW29" s="263"/>
      <c r="AX29" s="263"/>
      <c r="AY29" s="263"/>
    </row>
    <row r="30" spans="1:59"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61"/>
      <c r="AP30" s="264"/>
      <c r="AQ30" s="270"/>
      <c r="AR30" s="263"/>
      <c r="AS30" s="263"/>
      <c r="AT30" s="263"/>
      <c r="AU30" s="263"/>
      <c r="AV30" s="263"/>
      <c r="AW30" s="263"/>
      <c r="AX30" s="263"/>
      <c r="AY30" s="263"/>
    </row>
    <row r="31" spans="1:59"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61"/>
      <c r="AP31" s="264"/>
      <c r="AQ31" s="270"/>
      <c r="AR31" s="263"/>
      <c r="AS31" s="263"/>
      <c r="AT31" s="263"/>
      <c r="AU31" s="263"/>
      <c r="AV31" s="263"/>
      <c r="AW31" s="263"/>
      <c r="AX31" s="263"/>
      <c r="AY31" s="263"/>
    </row>
    <row r="32" spans="1:59"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61"/>
      <c r="AP32" s="264"/>
      <c r="AQ32" s="270"/>
      <c r="AR32" s="263"/>
      <c r="AS32" s="263"/>
      <c r="AT32" s="263"/>
      <c r="AU32" s="263"/>
      <c r="AV32" s="263"/>
      <c r="AW32" s="263"/>
      <c r="AX32" s="263"/>
      <c r="AY32" s="263"/>
    </row>
    <row r="33" spans="5:51"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61"/>
      <c r="AP33" s="264"/>
      <c r="AQ33" s="270"/>
      <c r="AR33" s="263"/>
      <c r="AS33" s="263"/>
      <c r="AT33" s="263"/>
      <c r="AU33" s="263"/>
      <c r="AV33" s="263"/>
      <c r="AW33" s="263"/>
      <c r="AX33" s="263"/>
      <c r="AY33" s="263"/>
    </row>
    <row r="34" spans="5:51"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61"/>
      <c r="AP34" s="264"/>
      <c r="AQ34" s="270"/>
      <c r="AR34" s="263"/>
      <c r="AS34" s="263"/>
      <c r="AT34" s="263"/>
      <c r="AU34" s="263"/>
      <c r="AV34" s="263"/>
      <c r="AW34" s="263"/>
      <c r="AX34" s="263"/>
      <c r="AY34" s="263"/>
    </row>
    <row r="35" spans="5:51"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61"/>
      <c r="AP35" s="264"/>
      <c r="AQ35" s="270"/>
      <c r="AR35" s="263"/>
      <c r="AS35" s="263"/>
      <c r="AT35" s="263"/>
      <c r="AU35" s="263"/>
      <c r="AV35" s="263"/>
      <c r="AW35" s="263"/>
      <c r="AX35" s="263"/>
      <c r="AY35" s="263"/>
    </row>
    <row r="36" spans="5:51"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61"/>
      <c r="AP36" s="264"/>
      <c r="AQ36" s="270"/>
      <c r="AR36" s="263"/>
      <c r="AS36" s="263"/>
      <c r="AT36" s="263"/>
      <c r="AU36" s="263"/>
      <c r="AV36" s="263"/>
      <c r="AW36" s="263"/>
      <c r="AX36" s="263"/>
      <c r="AY36" s="263"/>
    </row>
    <row r="37" spans="5:51"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61"/>
      <c r="AP37" s="264"/>
      <c r="AQ37" s="270"/>
      <c r="AR37" s="263"/>
      <c r="AS37" s="263"/>
      <c r="AT37" s="263"/>
      <c r="AU37" s="263"/>
      <c r="AV37" s="263"/>
      <c r="AW37" s="263"/>
      <c r="AX37" s="263"/>
      <c r="AY37" s="263"/>
    </row>
    <row r="38" spans="5:51"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61"/>
      <c r="AP38" s="264"/>
      <c r="AQ38" s="270"/>
      <c r="AR38" s="263"/>
      <c r="AS38" s="263"/>
      <c r="AT38" s="263"/>
      <c r="AU38" s="263"/>
      <c r="AV38" s="263"/>
      <c r="AW38" s="263"/>
      <c r="AX38" s="263"/>
      <c r="AY38" s="263"/>
    </row>
    <row r="39" spans="5:51"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61"/>
      <c r="AP39" s="264"/>
      <c r="AQ39" s="270"/>
      <c r="AR39" s="263"/>
      <c r="AS39" s="263"/>
      <c r="AT39" s="263"/>
      <c r="AU39" s="263"/>
      <c r="AV39" s="263"/>
      <c r="AW39" s="263"/>
      <c r="AX39" s="263"/>
      <c r="AY39" s="263"/>
    </row>
    <row r="40" spans="5:51"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61"/>
      <c r="AP40" s="264"/>
      <c r="AQ40" s="270"/>
      <c r="AR40" s="263"/>
      <c r="AS40" s="263"/>
      <c r="AT40" s="263"/>
      <c r="AU40" s="263"/>
      <c r="AV40" s="263"/>
      <c r="AW40" s="263"/>
      <c r="AX40" s="263"/>
      <c r="AY40" s="263"/>
    </row>
    <row r="41" spans="5:51"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61"/>
      <c r="AP41" s="264"/>
      <c r="AQ41" s="270"/>
      <c r="AR41" s="263"/>
      <c r="AS41" s="263"/>
      <c r="AT41" s="263"/>
      <c r="AU41" s="263"/>
      <c r="AV41" s="263"/>
      <c r="AW41" s="263"/>
      <c r="AX41" s="263"/>
      <c r="AY41" s="263"/>
    </row>
    <row r="42" spans="5:51"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61"/>
      <c r="AP42" s="264"/>
      <c r="AQ42" s="270"/>
      <c r="AR42" s="263"/>
      <c r="AS42" s="263"/>
      <c r="AT42" s="263"/>
      <c r="AU42" s="263"/>
      <c r="AV42" s="263"/>
      <c r="AW42" s="263"/>
      <c r="AX42" s="263"/>
      <c r="AY42" s="263"/>
    </row>
    <row r="43" spans="5:51"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61"/>
      <c r="AP43" s="264"/>
      <c r="AQ43" s="270"/>
      <c r="AR43" s="263"/>
      <c r="AS43" s="263"/>
      <c r="AT43" s="263"/>
      <c r="AU43" s="263"/>
      <c r="AV43" s="263"/>
      <c r="AW43" s="263"/>
      <c r="AX43" s="263"/>
      <c r="AY43" s="263"/>
    </row>
    <row r="44" spans="5:51"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61"/>
      <c r="AP44" s="264"/>
      <c r="AQ44" s="270"/>
      <c r="AR44" s="263"/>
      <c r="AS44" s="263"/>
      <c r="AT44" s="263"/>
      <c r="AU44" s="263"/>
      <c r="AV44" s="263"/>
      <c r="AW44" s="263"/>
      <c r="AX44" s="263"/>
      <c r="AY44" s="263"/>
    </row>
    <row r="45" spans="5:51"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61"/>
      <c r="AP45" s="264"/>
      <c r="AQ45" s="270"/>
      <c r="AR45" s="263"/>
      <c r="AS45" s="263"/>
      <c r="AT45" s="263"/>
      <c r="AU45" s="263"/>
      <c r="AV45" s="263"/>
      <c r="AW45" s="263"/>
      <c r="AX45" s="263"/>
      <c r="AY45" s="263"/>
    </row>
    <row r="46" spans="5:51"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61"/>
      <c r="AP46" s="264"/>
      <c r="AQ46" s="270"/>
      <c r="AR46" s="263"/>
      <c r="AS46" s="263"/>
      <c r="AT46" s="263"/>
      <c r="AU46" s="263"/>
      <c r="AV46" s="263"/>
      <c r="AW46" s="263"/>
      <c r="AX46" s="263"/>
      <c r="AY46" s="263"/>
    </row>
    <row r="47" spans="5:51"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61"/>
      <c r="AP47" s="264"/>
      <c r="AQ47" s="270"/>
      <c r="AR47" s="263"/>
      <c r="AS47" s="263"/>
      <c r="AT47" s="263"/>
      <c r="AU47" s="263"/>
      <c r="AV47" s="263"/>
      <c r="AW47" s="263"/>
      <c r="AX47" s="263"/>
      <c r="AY47" s="263"/>
    </row>
    <row r="48" spans="5:51"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61"/>
      <c r="AP48" s="264"/>
      <c r="AQ48" s="270"/>
      <c r="AR48" s="263"/>
      <c r="AS48" s="263"/>
      <c r="AT48" s="263"/>
      <c r="AU48" s="263"/>
      <c r="AV48" s="263"/>
      <c r="AW48" s="263"/>
      <c r="AX48" s="263"/>
      <c r="AY48" s="263"/>
    </row>
    <row r="49" spans="5:51"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61"/>
      <c r="AP49" s="264"/>
      <c r="AQ49" s="270"/>
      <c r="AR49" s="263"/>
      <c r="AS49" s="263"/>
      <c r="AT49" s="263"/>
      <c r="AU49" s="263"/>
      <c r="AV49" s="263"/>
      <c r="AW49" s="263"/>
      <c r="AX49" s="263"/>
      <c r="AY49" s="263"/>
    </row>
    <row r="50" spans="5:51"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61"/>
      <c r="AP50" s="264"/>
      <c r="AQ50" s="270"/>
      <c r="AR50" s="263"/>
      <c r="AS50" s="263"/>
      <c r="AT50" s="263"/>
      <c r="AU50" s="263"/>
      <c r="AV50" s="263"/>
      <c r="AW50" s="263"/>
      <c r="AX50" s="263"/>
      <c r="AY50" s="263"/>
    </row>
    <row r="51" spans="5:51"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61"/>
      <c r="AP51" s="264"/>
      <c r="AQ51" s="270"/>
      <c r="AR51" s="263"/>
      <c r="AS51" s="263"/>
      <c r="AT51" s="263"/>
      <c r="AU51" s="263"/>
      <c r="AV51" s="263"/>
      <c r="AW51" s="263"/>
      <c r="AX51" s="263"/>
      <c r="AY51" s="263"/>
    </row>
    <row r="52" spans="5:51"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61"/>
      <c r="AP52" s="264"/>
      <c r="AQ52" s="270"/>
      <c r="AR52" s="263"/>
      <c r="AS52" s="263"/>
      <c r="AT52" s="263"/>
      <c r="AU52" s="263"/>
      <c r="AV52" s="263"/>
      <c r="AW52" s="263"/>
      <c r="AX52" s="263"/>
      <c r="AY52" s="263"/>
    </row>
    <row r="53" spans="5:51"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61"/>
      <c r="AP53" s="264"/>
      <c r="AQ53" s="270"/>
      <c r="AR53" s="263"/>
      <c r="AS53" s="263"/>
      <c r="AT53" s="263"/>
      <c r="AU53" s="263"/>
      <c r="AV53" s="263"/>
      <c r="AW53" s="263"/>
      <c r="AX53" s="263"/>
      <c r="AY53" s="263"/>
    </row>
    <row r="54" spans="5:51"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61"/>
      <c r="AP54" s="264"/>
      <c r="AQ54" s="270"/>
      <c r="AR54" s="263"/>
      <c r="AS54" s="263"/>
      <c r="AT54" s="263"/>
      <c r="AU54" s="263"/>
      <c r="AV54" s="263"/>
      <c r="AW54" s="263"/>
      <c r="AX54" s="263"/>
      <c r="AY54" s="263"/>
    </row>
    <row r="55" spans="5:51"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61"/>
      <c r="AP55" s="264"/>
      <c r="AQ55" s="270"/>
      <c r="AR55" s="263"/>
      <c r="AS55" s="263"/>
      <c r="AT55" s="263"/>
      <c r="AU55" s="263"/>
      <c r="AV55" s="263"/>
      <c r="AW55" s="263"/>
      <c r="AX55" s="263"/>
      <c r="AY55" s="263"/>
    </row>
    <row r="56" spans="5:51"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61"/>
      <c r="AP56" s="264"/>
      <c r="AQ56" s="270"/>
      <c r="AR56" s="263"/>
      <c r="AS56" s="263"/>
      <c r="AT56" s="263"/>
      <c r="AU56" s="263"/>
      <c r="AV56" s="263"/>
      <c r="AW56" s="263"/>
      <c r="AX56" s="263"/>
      <c r="AY56" s="263"/>
    </row>
    <row r="57" spans="5:51"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61"/>
      <c r="AP57" s="264"/>
      <c r="AQ57" s="270"/>
      <c r="AR57" s="263"/>
      <c r="AS57" s="263"/>
      <c r="AT57" s="263"/>
      <c r="AU57" s="263"/>
      <c r="AV57" s="263"/>
      <c r="AW57" s="263"/>
      <c r="AX57" s="263"/>
      <c r="AY57" s="263"/>
    </row>
    <row r="58" spans="5:51"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61"/>
      <c r="AP58" s="264"/>
      <c r="AQ58" s="270"/>
      <c r="AR58" s="263"/>
      <c r="AS58" s="263"/>
      <c r="AT58" s="263"/>
      <c r="AU58" s="263"/>
      <c r="AV58" s="263"/>
      <c r="AW58" s="263"/>
      <c r="AX58" s="263"/>
      <c r="AY58" s="263"/>
    </row>
    <row r="59" spans="5:51"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61"/>
      <c r="AP59" s="264"/>
      <c r="AQ59" s="270"/>
      <c r="AR59" s="263"/>
      <c r="AS59" s="263"/>
      <c r="AT59" s="263"/>
      <c r="AU59" s="263"/>
      <c r="AV59" s="263"/>
      <c r="AW59" s="263"/>
      <c r="AX59" s="263"/>
      <c r="AY59" s="263"/>
    </row>
    <row r="60" spans="5:51"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61"/>
      <c r="AP60" s="264"/>
      <c r="AQ60" s="270"/>
      <c r="AR60" s="263"/>
      <c r="AS60" s="263"/>
      <c r="AT60" s="263"/>
      <c r="AU60" s="263"/>
      <c r="AV60" s="263"/>
      <c r="AW60" s="263"/>
      <c r="AX60" s="263"/>
      <c r="AY60" s="263"/>
    </row>
    <row r="61" spans="5:51"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61"/>
      <c r="AP61" s="264"/>
      <c r="AQ61" s="270"/>
      <c r="AR61" s="263"/>
      <c r="AS61" s="263"/>
      <c r="AT61" s="263"/>
      <c r="AU61" s="263"/>
      <c r="AV61" s="263"/>
      <c r="AW61" s="263"/>
      <c r="AX61" s="263"/>
      <c r="AY61" s="263"/>
    </row>
    <row r="62" spans="5:51"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61"/>
      <c r="AP62" s="264"/>
      <c r="AQ62" s="270"/>
      <c r="AR62" s="263"/>
      <c r="AS62" s="263"/>
      <c r="AT62" s="263"/>
      <c r="AU62" s="263"/>
      <c r="AV62" s="263"/>
      <c r="AW62" s="263"/>
      <c r="AX62" s="263"/>
      <c r="AY62" s="263"/>
    </row>
    <row r="63" spans="5:51"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61"/>
      <c r="AP63" s="264"/>
      <c r="AQ63" s="270"/>
      <c r="AR63" s="263"/>
      <c r="AS63" s="263"/>
      <c r="AT63" s="263"/>
      <c r="AU63" s="263"/>
      <c r="AV63" s="263"/>
      <c r="AW63" s="263"/>
      <c r="AX63" s="263"/>
      <c r="AY63" s="263"/>
    </row>
    <row r="64" spans="5:51"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61"/>
      <c r="AP64" s="264"/>
      <c r="AQ64" s="270"/>
      <c r="AR64" s="263"/>
      <c r="AS64" s="263"/>
      <c r="AT64" s="263"/>
      <c r="AU64" s="263"/>
      <c r="AV64" s="263"/>
      <c r="AW64" s="263"/>
      <c r="AX64" s="263"/>
      <c r="AY64" s="263"/>
    </row>
    <row r="65" spans="5:51"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61"/>
      <c r="AP65" s="264"/>
      <c r="AQ65" s="270"/>
      <c r="AR65" s="263"/>
      <c r="AS65" s="263"/>
      <c r="AT65" s="263"/>
      <c r="AU65" s="263"/>
      <c r="AV65" s="263"/>
      <c r="AW65" s="263"/>
      <c r="AX65" s="263"/>
      <c r="AY65" s="263"/>
    </row>
    <row r="66" spans="5:51"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61"/>
      <c r="AP66" s="264"/>
      <c r="AQ66" s="270"/>
      <c r="AR66" s="263"/>
      <c r="AS66" s="263"/>
      <c r="AT66" s="263"/>
      <c r="AU66" s="263"/>
      <c r="AV66" s="263"/>
      <c r="AW66" s="263"/>
      <c r="AX66" s="263"/>
      <c r="AY66" s="263"/>
    </row>
    <row r="67" spans="5:51"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61"/>
      <c r="AP67" s="264"/>
      <c r="AQ67" s="270"/>
      <c r="AR67" s="263"/>
      <c r="AS67" s="263"/>
      <c r="AT67" s="263"/>
      <c r="AU67" s="263"/>
      <c r="AV67" s="263"/>
      <c r="AW67" s="263"/>
      <c r="AX67" s="263"/>
      <c r="AY67" s="263"/>
    </row>
    <row r="68" spans="5:51"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61"/>
      <c r="AP68" s="264"/>
      <c r="AQ68" s="270"/>
      <c r="AR68" s="263"/>
      <c r="AS68" s="263"/>
      <c r="AT68" s="263"/>
      <c r="AU68" s="263"/>
      <c r="AV68" s="263"/>
      <c r="AW68" s="263"/>
      <c r="AX68" s="263"/>
      <c r="AY68" s="263"/>
    </row>
    <row r="69" spans="5:51"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61"/>
      <c r="AP69" s="264"/>
      <c r="AQ69" s="270"/>
      <c r="AR69" s="263"/>
      <c r="AS69" s="263"/>
      <c r="AT69" s="263"/>
      <c r="AU69" s="263"/>
      <c r="AV69" s="263"/>
      <c r="AW69" s="263"/>
      <c r="AX69" s="263"/>
      <c r="AY69" s="263"/>
    </row>
    <row r="70" spans="5:51"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61"/>
      <c r="AP70" s="264"/>
      <c r="AQ70" s="270"/>
      <c r="AR70" s="263"/>
      <c r="AS70" s="263"/>
      <c r="AT70" s="263"/>
      <c r="AU70" s="263"/>
      <c r="AV70" s="263"/>
      <c r="AW70" s="263"/>
      <c r="AX70" s="263"/>
      <c r="AY70" s="263"/>
    </row>
    <row r="71" spans="5:51"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61"/>
      <c r="AP71" s="264"/>
      <c r="AQ71" s="270"/>
      <c r="AR71" s="263"/>
      <c r="AS71" s="263"/>
      <c r="AT71" s="263"/>
      <c r="AU71" s="263"/>
      <c r="AV71" s="263"/>
      <c r="AW71" s="263"/>
      <c r="AX71" s="263"/>
      <c r="AY71" s="263"/>
    </row>
    <row r="72" spans="5:51"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61"/>
      <c r="AP72" s="264"/>
      <c r="AQ72" s="270"/>
      <c r="AR72" s="263"/>
      <c r="AS72" s="263"/>
      <c r="AT72" s="263"/>
      <c r="AU72" s="263"/>
      <c r="AV72" s="263"/>
      <c r="AW72" s="263"/>
      <c r="AX72" s="263"/>
      <c r="AY72" s="263"/>
    </row>
    <row r="73" spans="5:51"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61"/>
      <c r="AP73" s="264"/>
      <c r="AQ73" s="270"/>
      <c r="AR73" s="263"/>
      <c r="AS73" s="263"/>
      <c r="AT73" s="263"/>
      <c r="AU73" s="263"/>
      <c r="AV73" s="263"/>
      <c r="AW73" s="263"/>
      <c r="AX73" s="263"/>
      <c r="AY73" s="263"/>
    </row>
    <row r="74" spans="5:51"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61"/>
      <c r="AP74" s="264"/>
      <c r="AQ74" s="270"/>
      <c r="AR74" s="263"/>
      <c r="AS74" s="263"/>
      <c r="AT74" s="263"/>
      <c r="AU74" s="263"/>
      <c r="AV74" s="263"/>
      <c r="AW74" s="263"/>
      <c r="AX74" s="263"/>
      <c r="AY74" s="263"/>
    </row>
    <row r="75" spans="5:51"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61"/>
      <c r="AP75" s="264"/>
      <c r="AQ75" s="270"/>
      <c r="AR75" s="263"/>
      <c r="AS75" s="263"/>
      <c r="AT75" s="263"/>
      <c r="AU75" s="263"/>
      <c r="AV75" s="263"/>
      <c r="AW75" s="263"/>
      <c r="AX75" s="263"/>
      <c r="AY75" s="263"/>
    </row>
    <row r="76" spans="5:51"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61"/>
      <c r="AP76" s="264"/>
      <c r="AQ76" s="270"/>
      <c r="AR76" s="263"/>
      <c r="AS76" s="263"/>
      <c r="AT76" s="263"/>
      <c r="AU76" s="263"/>
      <c r="AV76" s="263"/>
      <c r="AW76" s="263"/>
      <c r="AX76" s="263"/>
      <c r="AY76" s="263"/>
    </row>
    <row r="77" spans="5:51"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61"/>
      <c r="AP77" s="264"/>
      <c r="AQ77" s="270"/>
      <c r="AR77" s="263"/>
      <c r="AS77" s="263"/>
      <c r="AT77" s="263"/>
      <c r="AU77" s="263"/>
      <c r="AV77" s="263"/>
      <c r="AW77" s="263"/>
      <c r="AX77" s="263"/>
      <c r="AY77" s="263"/>
    </row>
    <row r="78" spans="5:51"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61"/>
      <c r="AP78" s="264"/>
      <c r="AQ78" s="270"/>
      <c r="AR78" s="263"/>
      <c r="AS78" s="263"/>
      <c r="AT78" s="263"/>
      <c r="AU78" s="263"/>
      <c r="AV78" s="263"/>
      <c r="AW78" s="263"/>
      <c r="AX78" s="263"/>
      <c r="AY78" s="263"/>
    </row>
    <row r="79" spans="5:51"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61"/>
      <c r="AP79" s="264"/>
      <c r="AQ79" s="270"/>
      <c r="AR79" s="263"/>
      <c r="AS79" s="263"/>
      <c r="AT79" s="263"/>
      <c r="AU79" s="263"/>
      <c r="AV79" s="263"/>
      <c r="AW79" s="263"/>
      <c r="AX79" s="263"/>
      <c r="AY79" s="263"/>
    </row>
    <row r="80" spans="5:51"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61"/>
      <c r="AP80" s="264"/>
      <c r="AQ80" s="270"/>
      <c r="AR80" s="263"/>
      <c r="AS80" s="263"/>
      <c r="AT80" s="263"/>
      <c r="AU80" s="263"/>
      <c r="AV80" s="263"/>
      <c r="AW80" s="263"/>
      <c r="AX80" s="263"/>
      <c r="AY80" s="263"/>
    </row>
    <row r="81" spans="5:51"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61"/>
      <c r="AP81" s="264"/>
      <c r="AQ81" s="270"/>
      <c r="AR81" s="263"/>
      <c r="AS81" s="263"/>
      <c r="AT81" s="263"/>
      <c r="AU81" s="263"/>
      <c r="AV81" s="263"/>
      <c r="AW81" s="263"/>
      <c r="AX81" s="263"/>
      <c r="AY81" s="263"/>
    </row>
    <row r="82" spans="5:51"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61"/>
      <c r="AP82" s="264"/>
      <c r="AQ82" s="270"/>
      <c r="AR82" s="263"/>
      <c r="AS82" s="263"/>
      <c r="AT82" s="263"/>
      <c r="AU82" s="263"/>
      <c r="AV82" s="263"/>
      <c r="AW82" s="263"/>
      <c r="AX82" s="263"/>
      <c r="AY82" s="263"/>
    </row>
    <row r="83" spans="5:51"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61"/>
      <c r="AP83" s="264"/>
      <c r="AQ83" s="270"/>
      <c r="AR83" s="263"/>
      <c r="AS83" s="263"/>
      <c r="AT83" s="263"/>
      <c r="AU83" s="263"/>
      <c r="AV83" s="263"/>
      <c r="AW83" s="263"/>
      <c r="AX83" s="263"/>
      <c r="AY83" s="263"/>
    </row>
    <row r="84" spans="5:51"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61"/>
      <c r="AP84" s="264"/>
      <c r="AQ84" s="270"/>
      <c r="AR84" s="263"/>
      <c r="AS84" s="263"/>
      <c r="AT84" s="263"/>
      <c r="AU84" s="263"/>
      <c r="AV84" s="263"/>
      <c r="AW84" s="263"/>
      <c r="AX84" s="263"/>
      <c r="AY84" s="263"/>
    </row>
    <row r="85" spans="5:51"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61"/>
      <c r="AP85" s="264"/>
      <c r="AQ85" s="270"/>
      <c r="AR85" s="263"/>
      <c r="AS85" s="263"/>
      <c r="AT85" s="263"/>
      <c r="AU85" s="263"/>
      <c r="AV85" s="263"/>
      <c r="AW85" s="263"/>
      <c r="AX85" s="263"/>
      <c r="AY85" s="263"/>
    </row>
    <row r="86" spans="5:51"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61"/>
      <c r="AP86" s="264"/>
      <c r="AQ86" s="270"/>
      <c r="AR86" s="263"/>
      <c r="AS86" s="263"/>
      <c r="AT86" s="263"/>
      <c r="AU86" s="263"/>
      <c r="AV86" s="263"/>
      <c r="AW86" s="263"/>
      <c r="AX86" s="263"/>
      <c r="AY86" s="263"/>
    </row>
    <row r="87" spans="5:51"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61"/>
      <c r="AP87" s="264"/>
      <c r="AQ87" s="270"/>
      <c r="AR87" s="263"/>
      <c r="AS87" s="263"/>
      <c r="AT87" s="263"/>
      <c r="AU87" s="263"/>
      <c r="AV87" s="263"/>
      <c r="AW87" s="263"/>
      <c r="AX87" s="263"/>
      <c r="AY87" s="263"/>
    </row>
    <row r="88" spans="5:51"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61"/>
      <c r="AP88" s="264"/>
      <c r="AQ88" s="270"/>
      <c r="AR88" s="263"/>
      <c r="AS88" s="263"/>
      <c r="AT88" s="263"/>
      <c r="AU88" s="263"/>
      <c r="AV88" s="263"/>
      <c r="AW88" s="263"/>
      <c r="AX88" s="263"/>
      <c r="AY88" s="263"/>
    </row>
    <row r="89" spans="5:51"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61"/>
      <c r="AP89" s="264"/>
      <c r="AQ89" s="270"/>
      <c r="AR89" s="263"/>
      <c r="AS89" s="263"/>
      <c r="AT89" s="263"/>
      <c r="AU89" s="263"/>
      <c r="AV89" s="263"/>
      <c r="AW89" s="263"/>
      <c r="AX89" s="263"/>
      <c r="AY89" s="263"/>
    </row>
    <row r="90" spans="5:51"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61"/>
      <c r="AP90" s="264"/>
      <c r="AQ90" s="270"/>
      <c r="AR90" s="263"/>
      <c r="AS90" s="263"/>
      <c r="AT90" s="263"/>
      <c r="AU90" s="263"/>
      <c r="AV90" s="263"/>
      <c r="AW90" s="263"/>
      <c r="AX90" s="263"/>
      <c r="AY90" s="263"/>
    </row>
    <row r="91" spans="5:51"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61"/>
      <c r="AP91" s="264"/>
      <c r="AQ91" s="270"/>
      <c r="AR91" s="263"/>
      <c r="AS91" s="263"/>
      <c r="AT91" s="263"/>
      <c r="AU91" s="263"/>
      <c r="AV91" s="263"/>
      <c r="AW91" s="263"/>
      <c r="AX91" s="263"/>
      <c r="AY91" s="263"/>
    </row>
    <row r="92" spans="5:51"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61"/>
      <c r="AP92" s="264"/>
      <c r="AQ92" s="270"/>
      <c r="AR92" s="263"/>
      <c r="AS92" s="263"/>
      <c r="AT92" s="263"/>
      <c r="AU92" s="263"/>
      <c r="AV92" s="263"/>
      <c r="AW92" s="263"/>
      <c r="AX92" s="263"/>
      <c r="AY92" s="263"/>
    </row>
    <row r="93" spans="5:51"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61"/>
      <c r="AP93" s="264"/>
      <c r="AQ93" s="270"/>
      <c r="AR93" s="263"/>
      <c r="AS93" s="263"/>
      <c r="AT93" s="263"/>
      <c r="AU93" s="263"/>
      <c r="AV93" s="263"/>
      <c r="AW93" s="263"/>
      <c r="AX93" s="263"/>
      <c r="AY93" s="263"/>
    </row>
    <row r="94" spans="5:51"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61"/>
      <c r="AP94" s="264"/>
      <c r="AQ94" s="270"/>
      <c r="AR94" s="263"/>
      <c r="AS94" s="263"/>
      <c r="AT94" s="263"/>
      <c r="AU94" s="263"/>
      <c r="AV94" s="263"/>
      <c r="AW94" s="263"/>
      <c r="AX94" s="263"/>
      <c r="AY94" s="263"/>
    </row>
    <row r="95" spans="5:51"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61"/>
      <c r="AP95" s="264"/>
      <c r="AQ95" s="270"/>
      <c r="AR95" s="263"/>
      <c r="AS95" s="263"/>
      <c r="AT95" s="263"/>
      <c r="AU95" s="263"/>
      <c r="AV95" s="263"/>
      <c r="AW95" s="263"/>
      <c r="AX95" s="263"/>
      <c r="AY95" s="263"/>
    </row>
    <row r="96" spans="5:51"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61"/>
      <c r="AP96" s="264"/>
      <c r="AQ96" s="270"/>
      <c r="AR96" s="263"/>
      <c r="AS96" s="263"/>
      <c r="AT96" s="263"/>
      <c r="AU96" s="263"/>
      <c r="AV96" s="263"/>
      <c r="AW96" s="263"/>
      <c r="AX96" s="263"/>
      <c r="AY96" s="263"/>
    </row>
    <row r="97" spans="5:51"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61"/>
      <c r="AP97" s="264"/>
      <c r="AQ97" s="270"/>
      <c r="AR97" s="263"/>
      <c r="AS97" s="263"/>
      <c r="AT97" s="263"/>
      <c r="AU97" s="263"/>
      <c r="AV97" s="263"/>
      <c r="AW97" s="263"/>
      <c r="AX97" s="263"/>
      <c r="AY97" s="263"/>
    </row>
    <row r="98" spans="5:51"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61"/>
      <c r="AP98" s="264"/>
      <c r="AQ98" s="270"/>
      <c r="AR98" s="263"/>
      <c r="AS98" s="263"/>
      <c r="AT98" s="263"/>
      <c r="AU98" s="263"/>
      <c r="AV98" s="263"/>
      <c r="AW98" s="263"/>
      <c r="AX98" s="263"/>
      <c r="AY98" s="263"/>
    </row>
    <row r="99" spans="5:51"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61"/>
      <c r="AP99" s="264"/>
      <c r="AQ99" s="270"/>
      <c r="AR99" s="263"/>
      <c r="AS99" s="263"/>
      <c r="AT99" s="263"/>
      <c r="AU99" s="263"/>
      <c r="AV99" s="263"/>
      <c r="AW99" s="263"/>
      <c r="AX99" s="263"/>
      <c r="AY99" s="263"/>
    </row>
    <row r="100" spans="5:51"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61"/>
      <c r="AP100" s="264"/>
      <c r="AQ100" s="270"/>
      <c r="AR100" s="263"/>
      <c r="AS100" s="263"/>
      <c r="AT100" s="263"/>
      <c r="AU100" s="263"/>
      <c r="AV100" s="263"/>
      <c r="AW100" s="263"/>
      <c r="AX100" s="263"/>
      <c r="AY100" s="263"/>
    </row>
    <row r="101" spans="5:51"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61"/>
      <c r="AP101" s="264"/>
      <c r="AQ101" s="270"/>
      <c r="AR101" s="263"/>
      <c r="AS101" s="263"/>
      <c r="AT101" s="263"/>
      <c r="AU101" s="263"/>
      <c r="AV101" s="263"/>
      <c r="AW101" s="263"/>
      <c r="AX101" s="263"/>
      <c r="AY101" s="263"/>
    </row>
    <row r="102" spans="5:51"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61"/>
      <c r="AP102" s="264"/>
      <c r="AQ102" s="270"/>
      <c r="AR102" s="263"/>
      <c r="AS102" s="263"/>
      <c r="AT102" s="263"/>
      <c r="AU102" s="263"/>
      <c r="AV102" s="263"/>
      <c r="AW102" s="263"/>
      <c r="AX102" s="263"/>
      <c r="AY102" s="263"/>
    </row>
    <row r="103" spans="5:51"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61"/>
      <c r="AP103" s="264"/>
      <c r="AQ103" s="270"/>
      <c r="AR103" s="263"/>
      <c r="AS103" s="263"/>
      <c r="AT103" s="263"/>
      <c r="AU103" s="263"/>
      <c r="AV103" s="263"/>
      <c r="AW103" s="263"/>
      <c r="AX103" s="263"/>
      <c r="AY103" s="263"/>
    </row>
    <row r="104" spans="5:51"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61"/>
      <c r="AP104" s="264"/>
      <c r="AQ104" s="270"/>
      <c r="AR104" s="263"/>
      <c r="AS104" s="263"/>
      <c r="AT104" s="263"/>
      <c r="AU104" s="263"/>
      <c r="AV104" s="263"/>
      <c r="AW104" s="263"/>
      <c r="AX104" s="263"/>
      <c r="AY104" s="263"/>
    </row>
    <row r="105" spans="5:51"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61"/>
      <c r="AP105" s="264"/>
      <c r="AQ105" s="270"/>
      <c r="AR105" s="263"/>
      <c r="AS105" s="263"/>
      <c r="AT105" s="263"/>
      <c r="AU105" s="263"/>
      <c r="AV105" s="263"/>
      <c r="AW105" s="263"/>
      <c r="AX105" s="263"/>
      <c r="AY105" s="263"/>
    </row>
    <row r="106" spans="5:51"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61"/>
      <c r="AP106" s="264"/>
      <c r="AQ106" s="270"/>
      <c r="AR106" s="263"/>
      <c r="AS106" s="263"/>
      <c r="AT106" s="263"/>
      <c r="AU106" s="263"/>
      <c r="AV106" s="263"/>
      <c r="AW106" s="263"/>
      <c r="AX106" s="263"/>
      <c r="AY106" s="263"/>
    </row>
    <row r="107" spans="5:51"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61"/>
      <c r="AP107" s="264"/>
      <c r="AQ107" s="270"/>
      <c r="AR107" s="263"/>
      <c r="AS107" s="263"/>
      <c r="AT107" s="263"/>
      <c r="AU107" s="263"/>
      <c r="AV107" s="263"/>
      <c r="AW107" s="263"/>
      <c r="AX107" s="263"/>
      <c r="AY107" s="263"/>
    </row>
    <row r="108" spans="5:51"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61"/>
      <c r="AP108" s="264"/>
      <c r="AQ108" s="270"/>
      <c r="AR108" s="263"/>
      <c r="AS108" s="263"/>
      <c r="AT108" s="263"/>
      <c r="AU108" s="263"/>
      <c r="AV108" s="263"/>
      <c r="AW108" s="263"/>
      <c r="AX108" s="263"/>
      <c r="AY108" s="263"/>
    </row>
    <row r="109" spans="5:51"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61"/>
      <c r="AP109" s="264"/>
      <c r="AQ109" s="270"/>
      <c r="AR109" s="263"/>
      <c r="AS109" s="263"/>
      <c r="AT109" s="263"/>
      <c r="AU109" s="263"/>
      <c r="AV109" s="263"/>
      <c r="AW109" s="263"/>
      <c r="AX109" s="263"/>
      <c r="AY109" s="263"/>
    </row>
    <row r="110" spans="5:51"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61"/>
      <c r="AP110" s="264"/>
      <c r="AQ110" s="270"/>
      <c r="AR110" s="263"/>
      <c r="AS110" s="263"/>
      <c r="AT110" s="263"/>
      <c r="AU110" s="263"/>
      <c r="AV110" s="263"/>
      <c r="AW110" s="263"/>
      <c r="AX110" s="263"/>
      <c r="AY110" s="263"/>
    </row>
    <row r="111" spans="5:51"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61"/>
      <c r="AP111" s="264"/>
      <c r="AQ111" s="270"/>
      <c r="AR111" s="263"/>
      <c r="AS111" s="263"/>
      <c r="AT111" s="263"/>
      <c r="AU111" s="263"/>
      <c r="AV111" s="263"/>
      <c r="AW111" s="263"/>
      <c r="AX111" s="263"/>
      <c r="AY111" s="263"/>
    </row>
    <row r="112" spans="5:51"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61"/>
      <c r="AP112" s="264"/>
      <c r="AQ112" s="270"/>
      <c r="AR112" s="263"/>
      <c r="AS112" s="263"/>
      <c r="AT112" s="263"/>
      <c r="AU112" s="263"/>
      <c r="AV112" s="263"/>
      <c r="AW112" s="263"/>
      <c r="AX112" s="263"/>
      <c r="AY112" s="263"/>
    </row>
    <row r="113" spans="5:51"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61"/>
      <c r="AP113" s="264"/>
      <c r="AQ113" s="270"/>
      <c r="AR113" s="263"/>
      <c r="AS113" s="263"/>
      <c r="AT113" s="263"/>
      <c r="AU113" s="263"/>
      <c r="AV113" s="263"/>
      <c r="AW113" s="263"/>
      <c r="AX113" s="263"/>
      <c r="AY113" s="263"/>
    </row>
    <row r="114" spans="5:51"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61"/>
      <c r="AP114" s="264"/>
      <c r="AQ114" s="270"/>
      <c r="AR114" s="263"/>
      <c r="AS114" s="263"/>
      <c r="AT114" s="263"/>
      <c r="AU114" s="263"/>
      <c r="AV114" s="263"/>
      <c r="AW114" s="263"/>
      <c r="AX114" s="263"/>
      <c r="AY114" s="263"/>
    </row>
    <row r="115" spans="5:51"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61"/>
      <c r="AP115" s="264"/>
      <c r="AQ115" s="270"/>
      <c r="AR115" s="263"/>
      <c r="AS115" s="263"/>
      <c r="AT115" s="263"/>
      <c r="AU115" s="263"/>
      <c r="AV115" s="263"/>
      <c r="AW115" s="263"/>
      <c r="AX115" s="263"/>
      <c r="AY115" s="263"/>
    </row>
    <row r="116" spans="5:51"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61"/>
      <c r="AP116" s="264"/>
      <c r="AQ116" s="270"/>
      <c r="AR116" s="263"/>
      <c r="AS116" s="263"/>
      <c r="AT116" s="263"/>
      <c r="AU116" s="263"/>
      <c r="AV116" s="263"/>
      <c r="AW116" s="263"/>
      <c r="AX116" s="263"/>
      <c r="AY116" s="263"/>
    </row>
    <row r="117" spans="5:51"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61"/>
      <c r="AP117" s="264"/>
      <c r="AQ117" s="270"/>
      <c r="AR117" s="263"/>
      <c r="AS117" s="263"/>
      <c r="AT117" s="263"/>
      <c r="AU117" s="263"/>
      <c r="AV117" s="263"/>
      <c r="AW117" s="263"/>
      <c r="AX117" s="263"/>
      <c r="AY117" s="263"/>
    </row>
    <row r="118" spans="5:51"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61"/>
      <c r="AP118" s="264"/>
      <c r="AQ118" s="270"/>
      <c r="AR118" s="263"/>
      <c r="AS118" s="263"/>
      <c r="AT118" s="263"/>
      <c r="AU118" s="263"/>
      <c r="AV118" s="263"/>
      <c r="AW118" s="263"/>
      <c r="AX118" s="263"/>
      <c r="AY118" s="263"/>
    </row>
    <row r="119" spans="5:51"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61"/>
      <c r="AP119" s="264"/>
      <c r="AQ119" s="270"/>
      <c r="AR119" s="263"/>
      <c r="AS119" s="263"/>
      <c r="AT119" s="263"/>
      <c r="AU119" s="263"/>
      <c r="AV119" s="263"/>
      <c r="AW119" s="263"/>
      <c r="AX119" s="263"/>
      <c r="AY119" s="263"/>
    </row>
    <row r="120" spans="5:51"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61"/>
      <c r="AP120" s="264"/>
      <c r="AQ120" s="270"/>
      <c r="AR120" s="263"/>
      <c r="AS120" s="263"/>
      <c r="AT120" s="263"/>
      <c r="AU120" s="263"/>
      <c r="AV120" s="263"/>
      <c r="AW120" s="263"/>
      <c r="AX120" s="263"/>
      <c r="AY120" s="263"/>
    </row>
    <row r="121" spans="5:51"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61"/>
      <c r="AP121" s="264"/>
      <c r="AQ121" s="270"/>
      <c r="AR121" s="263"/>
      <c r="AS121" s="263"/>
      <c r="AT121" s="263"/>
      <c r="AU121" s="263"/>
      <c r="AV121" s="263"/>
      <c r="AW121" s="263"/>
      <c r="AX121" s="263"/>
      <c r="AY121" s="263"/>
    </row>
    <row r="122" spans="5:51"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61"/>
      <c r="AP122" s="264"/>
      <c r="AQ122" s="270"/>
      <c r="AR122" s="263"/>
      <c r="AS122" s="263"/>
      <c r="AT122" s="263"/>
      <c r="AU122" s="263"/>
      <c r="AV122" s="263"/>
      <c r="AW122" s="263"/>
      <c r="AX122" s="263"/>
      <c r="AY122" s="263"/>
    </row>
    <row r="123" spans="5:51"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61"/>
      <c r="AP123" s="264"/>
      <c r="AQ123" s="270"/>
      <c r="AR123" s="263"/>
      <c r="AS123" s="263"/>
      <c r="AT123" s="263"/>
      <c r="AU123" s="263"/>
      <c r="AV123" s="263"/>
      <c r="AW123" s="263"/>
      <c r="AX123" s="263"/>
      <c r="AY123" s="263"/>
    </row>
    <row r="124" spans="5:51"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61"/>
      <c r="AP124" s="264"/>
      <c r="AQ124" s="270"/>
      <c r="AR124" s="263"/>
      <c r="AS124" s="263"/>
      <c r="AT124" s="263"/>
      <c r="AU124" s="263"/>
      <c r="AV124" s="263"/>
      <c r="AW124" s="263"/>
      <c r="AX124" s="263"/>
      <c r="AY124" s="263"/>
    </row>
    <row r="125" spans="5:51"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61"/>
      <c r="AP125" s="264"/>
      <c r="AQ125" s="270"/>
      <c r="AR125" s="263"/>
      <c r="AS125" s="263"/>
      <c r="AT125" s="263"/>
      <c r="AU125" s="263"/>
      <c r="AV125" s="263"/>
      <c r="AW125" s="263"/>
      <c r="AX125" s="263"/>
      <c r="AY125" s="263"/>
    </row>
    <row r="126" spans="5:51"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61"/>
      <c r="AP126" s="264"/>
      <c r="AQ126" s="270"/>
      <c r="AR126" s="263"/>
      <c r="AS126" s="263"/>
      <c r="AT126" s="263"/>
      <c r="AU126" s="263"/>
      <c r="AV126" s="263"/>
      <c r="AW126" s="263"/>
      <c r="AX126" s="263"/>
      <c r="AY126" s="263"/>
    </row>
    <row r="127" spans="5:51"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61"/>
      <c r="AP127" s="264"/>
      <c r="AQ127" s="270"/>
      <c r="AR127" s="263"/>
      <c r="AS127" s="263"/>
      <c r="AT127" s="263"/>
      <c r="AU127" s="263"/>
      <c r="AV127" s="263"/>
      <c r="AW127" s="263"/>
      <c r="AX127" s="263"/>
      <c r="AY127" s="263"/>
    </row>
    <row r="128" spans="5:51"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61"/>
      <c r="AP128" s="264"/>
      <c r="AQ128" s="270"/>
      <c r="AR128" s="263"/>
      <c r="AS128" s="263"/>
      <c r="AT128" s="263"/>
      <c r="AU128" s="263"/>
      <c r="AV128" s="263"/>
      <c r="AW128" s="263"/>
      <c r="AX128" s="263"/>
      <c r="AY128" s="263"/>
    </row>
    <row r="129" spans="5:51"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61"/>
      <c r="AP129" s="264"/>
      <c r="AQ129" s="270"/>
      <c r="AR129" s="263"/>
      <c r="AS129" s="263"/>
      <c r="AT129" s="263"/>
      <c r="AU129" s="263"/>
      <c r="AV129" s="263"/>
      <c r="AW129" s="263"/>
      <c r="AX129" s="263"/>
      <c r="AY129" s="263"/>
    </row>
    <row r="130" spans="5:51"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61"/>
      <c r="AP130" s="264"/>
      <c r="AQ130" s="270"/>
      <c r="AR130" s="263"/>
      <c r="AS130" s="263"/>
      <c r="AT130" s="263"/>
      <c r="AU130" s="263"/>
      <c r="AV130" s="263"/>
      <c r="AW130" s="263"/>
      <c r="AX130" s="263"/>
      <c r="AY130" s="263"/>
    </row>
    <row r="131" spans="5:51"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61"/>
      <c r="AP131" s="264"/>
      <c r="AQ131" s="270"/>
      <c r="AR131" s="263"/>
      <c r="AS131" s="263"/>
      <c r="AT131" s="263"/>
      <c r="AU131" s="263"/>
      <c r="AV131" s="263"/>
      <c r="AW131" s="263"/>
      <c r="AX131" s="263"/>
      <c r="AY131" s="263"/>
    </row>
    <row r="132" spans="5:51"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61"/>
      <c r="AP132" s="264"/>
      <c r="AQ132" s="270"/>
      <c r="AR132" s="263"/>
      <c r="AS132" s="263"/>
      <c r="AT132" s="263"/>
      <c r="AU132" s="263"/>
      <c r="AV132" s="263"/>
      <c r="AW132" s="263"/>
      <c r="AX132" s="263"/>
      <c r="AY132" s="263"/>
    </row>
    <row r="133" spans="5:51"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61"/>
      <c r="AP133" s="264"/>
      <c r="AQ133" s="270"/>
      <c r="AR133" s="263"/>
      <c r="AS133" s="263"/>
      <c r="AT133" s="263"/>
      <c r="AU133" s="263"/>
      <c r="AV133" s="263"/>
      <c r="AW133" s="263"/>
      <c r="AX133" s="263"/>
      <c r="AY133" s="263"/>
    </row>
    <row r="134" spans="5:51"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61"/>
      <c r="AP134" s="264"/>
      <c r="AQ134" s="270"/>
      <c r="AR134" s="263"/>
      <c r="AS134" s="263"/>
      <c r="AT134" s="263"/>
      <c r="AU134" s="263"/>
      <c r="AV134" s="263"/>
      <c r="AW134" s="263"/>
      <c r="AX134" s="263"/>
      <c r="AY134" s="263"/>
    </row>
    <row r="135" spans="5:51"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61"/>
      <c r="AP135" s="264"/>
      <c r="AQ135" s="270"/>
      <c r="AR135" s="263"/>
      <c r="AS135" s="263"/>
      <c r="AT135" s="263"/>
      <c r="AU135" s="263"/>
      <c r="AV135" s="263"/>
      <c r="AW135" s="263"/>
      <c r="AX135" s="263"/>
      <c r="AY135" s="263"/>
    </row>
    <row r="136" spans="5:51"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61"/>
      <c r="AP136" s="264"/>
      <c r="AQ136" s="270"/>
      <c r="AR136" s="263"/>
      <c r="AS136" s="263"/>
      <c r="AT136" s="263"/>
      <c r="AU136" s="263"/>
      <c r="AV136" s="263"/>
      <c r="AW136" s="263"/>
      <c r="AX136" s="263"/>
      <c r="AY136" s="263"/>
    </row>
    <row r="137" spans="5:51"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61"/>
      <c r="AP137" s="264"/>
      <c r="AQ137" s="270"/>
      <c r="AR137" s="263"/>
      <c r="AS137" s="263"/>
      <c r="AT137" s="263"/>
      <c r="AU137" s="263"/>
      <c r="AV137" s="263"/>
      <c r="AW137" s="263"/>
      <c r="AX137" s="263"/>
      <c r="AY137" s="263"/>
    </row>
    <row r="138" spans="5:51"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61"/>
      <c r="AP138" s="264"/>
      <c r="AQ138" s="270"/>
      <c r="AR138" s="263"/>
      <c r="AS138" s="263"/>
      <c r="AT138" s="263"/>
      <c r="AU138" s="263"/>
      <c r="AV138" s="263"/>
      <c r="AW138" s="263"/>
      <c r="AX138" s="263"/>
      <c r="AY138" s="263"/>
    </row>
    <row r="139" spans="5:51"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61"/>
      <c r="AP139" s="264"/>
      <c r="AQ139" s="270"/>
      <c r="AR139" s="263"/>
      <c r="AS139" s="263"/>
      <c r="AT139" s="263"/>
      <c r="AU139" s="263"/>
      <c r="AV139" s="263"/>
      <c r="AW139" s="263"/>
      <c r="AX139" s="263"/>
      <c r="AY139" s="263"/>
    </row>
    <row r="140" spans="5:51"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61"/>
      <c r="AP140" s="264"/>
      <c r="AQ140" s="270"/>
      <c r="AR140" s="263"/>
      <c r="AS140" s="263"/>
      <c r="AT140" s="263"/>
      <c r="AU140" s="263"/>
      <c r="AV140" s="263"/>
      <c r="AW140" s="263"/>
      <c r="AX140" s="263"/>
      <c r="AY140" s="263"/>
    </row>
    <row r="141" spans="5:51"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61"/>
      <c r="AP141" s="264"/>
      <c r="AQ141" s="270"/>
      <c r="AR141" s="263"/>
      <c r="AS141" s="263"/>
      <c r="AT141" s="263"/>
      <c r="AU141" s="263"/>
      <c r="AV141" s="263"/>
      <c r="AW141" s="263"/>
      <c r="AX141" s="263"/>
      <c r="AY141" s="263"/>
    </row>
    <row r="142" spans="5:51"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61"/>
      <c r="AP142" s="264"/>
      <c r="AQ142" s="270"/>
      <c r="AR142" s="263"/>
      <c r="AS142" s="263"/>
      <c r="AT142" s="263"/>
      <c r="AU142" s="263"/>
      <c r="AV142" s="263"/>
      <c r="AW142" s="263"/>
      <c r="AX142" s="263"/>
      <c r="AY142" s="263"/>
    </row>
    <row r="143" spans="5:51"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61"/>
      <c r="AP143" s="264"/>
      <c r="AQ143" s="270"/>
      <c r="AR143" s="263"/>
      <c r="AS143" s="263"/>
      <c r="AT143" s="263"/>
      <c r="AU143" s="263"/>
      <c r="AV143" s="263"/>
      <c r="AW143" s="263"/>
      <c r="AX143" s="263"/>
      <c r="AY143" s="263"/>
    </row>
    <row r="144" spans="5:51"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61"/>
      <c r="AP144" s="264"/>
      <c r="AQ144" s="270"/>
      <c r="AR144" s="263"/>
      <c r="AS144" s="263"/>
      <c r="AT144" s="263"/>
      <c r="AU144" s="263"/>
      <c r="AV144" s="263"/>
      <c r="AW144" s="263"/>
      <c r="AX144" s="263"/>
      <c r="AY144" s="263"/>
    </row>
    <row r="145" spans="5:51"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61"/>
      <c r="AP145" s="264"/>
      <c r="AQ145" s="270"/>
      <c r="AR145" s="263"/>
      <c r="AS145" s="263"/>
      <c r="AT145" s="263"/>
      <c r="AU145" s="263"/>
      <c r="AV145" s="263"/>
      <c r="AW145" s="263"/>
      <c r="AX145" s="263"/>
      <c r="AY145" s="263"/>
    </row>
    <row r="146" spans="5:51"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61"/>
      <c r="AP146" s="264"/>
      <c r="AQ146" s="270"/>
      <c r="AR146" s="263"/>
      <c r="AS146" s="263"/>
      <c r="AT146" s="263"/>
      <c r="AU146" s="263"/>
      <c r="AV146" s="263"/>
      <c r="AW146" s="263"/>
      <c r="AX146" s="263"/>
      <c r="AY146" s="263"/>
    </row>
    <row r="147" spans="5:51"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61"/>
      <c r="AP147" s="264"/>
      <c r="AQ147" s="270"/>
      <c r="AR147" s="263"/>
      <c r="AS147" s="263"/>
      <c r="AT147" s="263"/>
      <c r="AU147" s="263"/>
      <c r="AV147" s="263"/>
      <c r="AW147" s="263"/>
      <c r="AX147" s="263"/>
      <c r="AY147" s="263"/>
    </row>
    <row r="148" spans="5:51"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61"/>
      <c r="AP148" s="264"/>
      <c r="AQ148" s="270"/>
      <c r="AR148" s="263"/>
      <c r="AS148" s="263"/>
      <c r="AT148" s="263"/>
      <c r="AU148" s="263"/>
      <c r="AV148" s="263"/>
      <c r="AW148" s="263"/>
      <c r="AX148" s="263"/>
      <c r="AY148" s="263"/>
    </row>
    <row r="149" spans="5:51"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61"/>
      <c r="AP149" s="264"/>
      <c r="AQ149" s="270"/>
      <c r="AR149" s="263"/>
      <c r="AS149" s="263"/>
      <c r="AT149" s="263"/>
      <c r="AU149" s="263"/>
      <c r="AV149" s="263"/>
      <c r="AW149" s="263"/>
      <c r="AX149" s="263"/>
      <c r="AY149" s="263"/>
    </row>
    <row r="150" spans="5:51"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61"/>
      <c r="AP150" s="264"/>
      <c r="AQ150" s="270"/>
      <c r="AR150" s="263"/>
      <c r="AS150" s="263"/>
      <c r="AT150" s="263"/>
      <c r="AU150" s="263"/>
      <c r="AV150" s="263"/>
      <c r="AW150" s="263"/>
      <c r="AX150" s="263"/>
      <c r="AY150" s="263"/>
    </row>
    <row r="151" spans="5:51"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61"/>
      <c r="AP151" s="264"/>
      <c r="AQ151" s="270"/>
      <c r="AR151" s="263"/>
      <c r="AS151" s="263"/>
      <c r="AT151" s="263"/>
      <c r="AU151" s="263"/>
      <c r="AV151" s="263"/>
      <c r="AW151" s="263"/>
      <c r="AX151" s="263"/>
      <c r="AY151" s="263"/>
    </row>
    <row r="152" spans="5:51"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61"/>
      <c r="AP152" s="264"/>
      <c r="AQ152" s="270"/>
      <c r="AR152" s="263"/>
      <c r="AS152" s="263"/>
      <c r="AT152" s="263"/>
      <c r="AU152" s="263"/>
      <c r="AV152" s="263"/>
      <c r="AW152" s="263"/>
      <c r="AX152" s="263"/>
      <c r="AY152" s="263"/>
    </row>
    <row r="153" spans="5:51"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61"/>
      <c r="AP153" s="264"/>
      <c r="AQ153" s="270"/>
      <c r="AR153" s="263"/>
      <c r="AS153" s="263"/>
      <c r="AT153" s="263"/>
      <c r="AU153" s="263"/>
      <c r="AV153" s="263"/>
      <c r="AW153" s="263"/>
      <c r="AX153" s="263"/>
      <c r="AY153" s="263"/>
    </row>
    <row r="154" spans="5:51"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61"/>
      <c r="AP154" s="264"/>
      <c r="AQ154" s="270"/>
      <c r="AR154" s="263"/>
      <c r="AS154" s="263"/>
      <c r="AT154" s="263"/>
      <c r="AU154" s="263"/>
      <c r="AV154" s="263"/>
      <c r="AW154" s="263"/>
      <c r="AX154" s="263"/>
      <c r="AY154" s="263"/>
    </row>
    <row r="155" spans="5:51"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61"/>
      <c r="AP155" s="264"/>
      <c r="AQ155" s="270"/>
      <c r="AR155" s="263"/>
      <c r="AS155" s="263"/>
      <c r="AT155" s="263"/>
      <c r="AU155" s="263"/>
      <c r="AV155" s="263"/>
      <c r="AW155" s="263"/>
      <c r="AX155" s="263"/>
      <c r="AY155" s="263"/>
    </row>
    <row r="156" spans="5:51"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61"/>
      <c r="AP156" s="264"/>
      <c r="AQ156" s="270"/>
      <c r="AR156" s="263"/>
      <c r="AS156" s="263"/>
      <c r="AT156" s="263"/>
      <c r="AU156" s="263"/>
      <c r="AV156" s="263"/>
      <c r="AW156" s="263"/>
      <c r="AX156" s="263"/>
      <c r="AY156" s="263"/>
    </row>
    <row r="157" spans="5:51"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61"/>
      <c r="AP157" s="264"/>
      <c r="AQ157" s="270"/>
      <c r="AR157" s="263"/>
      <c r="AS157" s="263"/>
      <c r="AT157" s="263"/>
      <c r="AU157" s="263"/>
      <c r="AV157" s="263"/>
      <c r="AW157" s="263"/>
      <c r="AX157" s="263"/>
      <c r="AY157" s="263"/>
    </row>
    <row r="158" spans="5:51"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61"/>
      <c r="AP158" s="264"/>
      <c r="AQ158" s="270"/>
      <c r="AR158" s="263"/>
      <c r="AS158" s="263"/>
      <c r="AT158" s="263"/>
      <c r="AU158" s="263"/>
      <c r="AV158" s="263"/>
      <c r="AW158" s="263"/>
      <c r="AX158" s="263"/>
      <c r="AY158" s="263"/>
    </row>
    <row r="159" spans="5:51"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61"/>
      <c r="AP159" s="264"/>
      <c r="AQ159" s="270"/>
      <c r="AR159" s="263"/>
      <c r="AS159" s="263"/>
      <c r="AT159" s="263"/>
      <c r="AU159" s="263"/>
      <c r="AV159" s="263"/>
      <c r="AW159" s="263"/>
      <c r="AX159" s="263"/>
      <c r="AY159" s="263"/>
    </row>
    <row r="160" spans="5:51"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61"/>
      <c r="AP160" s="264"/>
      <c r="AQ160" s="270"/>
      <c r="AR160" s="263"/>
      <c r="AS160" s="263"/>
      <c r="AT160" s="263"/>
      <c r="AU160" s="263"/>
      <c r="AV160" s="263"/>
      <c r="AW160" s="263"/>
      <c r="AX160" s="263"/>
      <c r="AY160" s="263"/>
    </row>
    <row r="161" spans="5:51"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61"/>
      <c r="AP161" s="264"/>
      <c r="AQ161" s="270"/>
      <c r="AR161" s="263"/>
      <c r="AS161" s="263"/>
      <c r="AT161" s="263"/>
      <c r="AU161" s="263"/>
      <c r="AV161" s="263"/>
      <c r="AW161" s="263"/>
      <c r="AX161" s="263"/>
      <c r="AY161" s="263"/>
    </row>
    <row r="162" spans="5:51"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61"/>
      <c r="AP162" s="264"/>
      <c r="AQ162" s="270"/>
      <c r="AR162" s="263"/>
      <c r="AS162" s="263"/>
      <c r="AT162" s="263"/>
      <c r="AU162" s="263"/>
      <c r="AV162" s="263"/>
      <c r="AW162" s="263"/>
      <c r="AX162" s="263"/>
      <c r="AY162" s="263"/>
    </row>
    <row r="163" spans="5:51"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61"/>
      <c r="AP163" s="264"/>
      <c r="AQ163" s="270"/>
      <c r="AR163" s="263"/>
      <c r="AS163" s="263"/>
      <c r="AT163" s="263"/>
      <c r="AU163" s="263"/>
      <c r="AV163" s="263"/>
      <c r="AW163" s="263"/>
      <c r="AX163" s="263"/>
      <c r="AY163" s="263"/>
    </row>
    <row r="164" spans="5:51">
      <c r="E164" s="259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61"/>
      <c r="AP164" s="264"/>
      <c r="AQ164" s="270"/>
      <c r="AR164" s="263"/>
      <c r="AS164" s="263"/>
      <c r="AT164" s="263"/>
      <c r="AU164" s="263"/>
      <c r="AV164" s="263"/>
      <c r="AW164" s="263"/>
      <c r="AX164" s="263"/>
      <c r="AY164" s="263"/>
    </row>
    <row r="165" spans="5:51"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61"/>
      <c r="AP165" s="264"/>
      <c r="AQ165" s="270"/>
      <c r="AR165" s="263"/>
      <c r="AS165" s="263"/>
      <c r="AT165" s="263"/>
      <c r="AU165" s="263"/>
      <c r="AV165" s="263"/>
      <c r="AW165" s="263"/>
      <c r="AX165" s="263"/>
      <c r="AY165" s="263"/>
    </row>
    <row r="166" spans="5:51"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61"/>
      <c r="AP166" s="264"/>
      <c r="AQ166" s="270"/>
      <c r="AR166" s="263"/>
      <c r="AS166" s="263"/>
      <c r="AT166" s="263"/>
      <c r="AU166" s="263"/>
      <c r="AV166" s="263"/>
      <c r="AW166" s="263"/>
      <c r="AX166" s="263"/>
      <c r="AY166" s="263"/>
    </row>
    <row r="167" spans="5:51"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61"/>
      <c r="AP167" s="264"/>
      <c r="AQ167" s="270"/>
      <c r="AR167" s="263"/>
      <c r="AS167" s="263"/>
      <c r="AT167" s="263"/>
      <c r="AU167" s="263"/>
      <c r="AV167" s="263"/>
      <c r="AW167" s="263"/>
      <c r="AX167" s="263"/>
      <c r="AY167" s="263"/>
    </row>
    <row r="168" spans="5:51">
      <c r="E168" s="261"/>
      <c r="F168" s="261"/>
      <c r="G168" s="261"/>
      <c r="H168" s="261"/>
      <c r="I168" s="261"/>
      <c r="J168" s="261"/>
      <c r="K168" s="261"/>
      <c r="L168" s="261"/>
      <c r="M168" s="261"/>
      <c r="N168" s="261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  <c r="AA168" s="261"/>
      <c r="AB168" s="261"/>
      <c r="AC168" s="261"/>
      <c r="AD168" s="261"/>
      <c r="AE168" s="261"/>
      <c r="AF168" s="261"/>
      <c r="AG168" s="261"/>
      <c r="AH168" s="261"/>
      <c r="AI168" s="261"/>
      <c r="AJ168" s="261"/>
      <c r="AK168" s="261"/>
      <c r="AL168" s="261"/>
      <c r="AM168" s="261"/>
      <c r="AN168" s="261"/>
      <c r="AO168" s="261"/>
      <c r="AP168" s="264"/>
      <c r="AQ168" s="270"/>
      <c r="AR168" s="263"/>
      <c r="AS168" s="263"/>
      <c r="AT168" s="263"/>
      <c r="AU168" s="263"/>
      <c r="AV168" s="263"/>
      <c r="AW168" s="263"/>
      <c r="AX168" s="263"/>
      <c r="AY168" s="263"/>
    </row>
    <row r="169" spans="5:51">
      <c r="E169" s="261"/>
      <c r="F169" s="261"/>
      <c r="G169" s="261"/>
      <c r="H169" s="261"/>
      <c r="I169" s="261"/>
      <c r="J169" s="261"/>
      <c r="K169" s="261"/>
      <c r="L169" s="261"/>
      <c r="M169" s="261"/>
      <c r="N169" s="261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  <c r="AA169" s="261"/>
      <c r="AB169" s="261"/>
      <c r="AC169" s="261"/>
      <c r="AD169" s="261"/>
      <c r="AE169" s="261"/>
      <c r="AF169" s="261"/>
      <c r="AG169" s="261"/>
      <c r="AH169" s="261"/>
      <c r="AI169" s="261"/>
      <c r="AJ169" s="261"/>
      <c r="AK169" s="261"/>
      <c r="AL169" s="261"/>
      <c r="AM169" s="261"/>
      <c r="AN169" s="261"/>
      <c r="AO169" s="261"/>
      <c r="AP169" s="264"/>
      <c r="AQ169" s="270"/>
      <c r="AR169" s="263"/>
      <c r="AS169" s="263"/>
      <c r="AT169" s="263"/>
      <c r="AU169" s="263"/>
      <c r="AV169" s="263"/>
      <c r="AW169" s="263"/>
      <c r="AX169" s="263"/>
      <c r="AY169" s="263"/>
    </row>
    <row r="170" spans="5:51">
      <c r="E170" s="261"/>
      <c r="F170" s="261"/>
      <c r="G170" s="261"/>
      <c r="H170" s="261"/>
      <c r="I170" s="261"/>
      <c r="J170" s="261"/>
      <c r="K170" s="261"/>
      <c r="L170" s="261"/>
      <c r="M170" s="261"/>
      <c r="N170" s="261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  <c r="AA170" s="261"/>
      <c r="AB170" s="261"/>
      <c r="AC170" s="261"/>
      <c r="AD170" s="261"/>
      <c r="AE170" s="261"/>
      <c r="AF170" s="261"/>
      <c r="AG170" s="261"/>
      <c r="AH170" s="261"/>
      <c r="AI170" s="261"/>
      <c r="AJ170" s="261"/>
      <c r="AK170" s="261"/>
      <c r="AL170" s="261"/>
      <c r="AM170" s="261"/>
      <c r="AN170" s="261"/>
      <c r="AO170" s="261"/>
      <c r="AP170" s="264"/>
      <c r="AQ170" s="270"/>
      <c r="AR170" s="263"/>
      <c r="AS170" s="263"/>
      <c r="AT170" s="263"/>
      <c r="AU170" s="263"/>
      <c r="AV170" s="263"/>
      <c r="AW170" s="263"/>
      <c r="AX170" s="263"/>
      <c r="AY170" s="263"/>
    </row>
    <row r="171" spans="5:51"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  <c r="AA171" s="261"/>
      <c r="AB171" s="261"/>
      <c r="AC171" s="261"/>
      <c r="AD171" s="261"/>
      <c r="AE171" s="261"/>
      <c r="AF171" s="261"/>
      <c r="AG171" s="261"/>
      <c r="AH171" s="261"/>
      <c r="AI171" s="261"/>
      <c r="AJ171" s="261"/>
      <c r="AK171" s="261"/>
      <c r="AL171" s="261"/>
      <c r="AM171" s="261"/>
      <c r="AN171" s="261"/>
      <c r="AO171" s="261"/>
      <c r="AP171" s="264"/>
      <c r="AQ171" s="270"/>
      <c r="AR171" s="263"/>
      <c r="AS171" s="263"/>
      <c r="AT171" s="263"/>
      <c r="AU171" s="263"/>
      <c r="AV171" s="263"/>
      <c r="AW171" s="263"/>
      <c r="AX171" s="263"/>
      <c r="AY171" s="263"/>
    </row>
    <row r="172" spans="5:51">
      <c r="E172" s="261"/>
      <c r="F172" s="261"/>
      <c r="G172" s="261"/>
      <c r="H172" s="261"/>
      <c r="I172" s="261"/>
      <c r="J172" s="261"/>
      <c r="K172" s="261"/>
      <c r="L172" s="261"/>
      <c r="M172" s="261"/>
      <c r="N172" s="261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  <c r="AA172" s="261"/>
      <c r="AB172" s="261"/>
      <c r="AC172" s="261"/>
      <c r="AD172" s="261"/>
      <c r="AE172" s="261"/>
      <c r="AF172" s="261"/>
      <c r="AG172" s="261"/>
      <c r="AH172" s="261"/>
      <c r="AI172" s="261"/>
      <c r="AJ172" s="261"/>
      <c r="AK172" s="261"/>
      <c r="AL172" s="261"/>
      <c r="AM172" s="261"/>
      <c r="AN172" s="261"/>
      <c r="AO172" s="261"/>
      <c r="AP172" s="264"/>
      <c r="AQ172" s="270"/>
      <c r="AR172" s="263"/>
      <c r="AS172" s="263"/>
      <c r="AT172" s="263"/>
      <c r="AU172" s="263"/>
      <c r="AV172" s="263"/>
      <c r="AW172" s="263"/>
      <c r="AX172" s="263"/>
      <c r="AY172" s="263"/>
    </row>
    <row r="173" spans="5:51">
      <c r="E173" s="261"/>
      <c r="F173" s="261"/>
      <c r="G173" s="261"/>
      <c r="H173" s="261"/>
      <c r="I173" s="261"/>
      <c r="J173" s="261"/>
      <c r="K173" s="261"/>
      <c r="L173" s="261"/>
      <c r="M173" s="261"/>
      <c r="N173" s="261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  <c r="AA173" s="261"/>
      <c r="AB173" s="261"/>
      <c r="AC173" s="261"/>
      <c r="AD173" s="261"/>
      <c r="AE173" s="261"/>
      <c r="AF173" s="261"/>
      <c r="AG173" s="261"/>
      <c r="AH173" s="261"/>
      <c r="AI173" s="261"/>
      <c r="AJ173" s="261"/>
      <c r="AK173" s="261"/>
      <c r="AL173" s="261"/>
      <c r="AM173" s="261"/>
      <c r="AN173" s="261"/>
      <c r="AO173" s="261"/>
      <c r="AP173" s="264"/>
      <c r="AQ173" s="270"/>
      <c r="AR173" s="263"/>
      <c r="AS173" s="263"/>
      <c r="AT173" s="263"/>
      <c r="AU173" s="263"/>
      <c r="AV173" s="263"/>
      <c r="AW173" s="263"/>
      <c r="AX173" s="263"/>
      <c r="AY173" s="263"/>
    </row>
    <row r="174" spans="5:51">
      <c r="E174" s="261"/>
      <c r="F174" s="261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  <c r="AA174" s="261"/>
      <c r="AB174" s="261"/>
      <c r="AC174" s="261"/>
      <c r="AD174" s="261"/>
      <c r="AE174" s="261"/>
      <c r="AF174" s="261"/>
      <c r="AG174" s="261"/>
      <c r="AH174" s="261"/>
      <c r="AI174" s="261"/>
      <c r="AJ174" s="261"/>
      <c r="AK174" s="261"/>
      <c r="AL174" s="261"/>
      <c r="AM174" s="261"/>
      <c r="AN174" s="261"/>
      <c r="AO174" s="261"/>
      <c r="AP174" s="264"/>
      <c r="AQ174" s="270"/>
      <c r="AR174" s="263"/>
      <c r="AS174" s="263"/>
      <c r="AT174" s="263"/>
      <c r="AU174" s="263"/>
      <c r="AV174" s="263"/>
      <c r="AW174" s="263"/>
      <c r="AX174" s="263"/>
      <c r="AY174" s="263"/>
    </row>
    <row r="175" spans="5:51">
      <c r="E175" s="261"/>
      <c r="F175" s="261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  <c r="AA175" s="261"/>
      <c r="AB175" s="261"/>
      <c r="AC175" s="261"/>
      <c r="AD175" s="261"/>
      <c r="AE175" s="261"/>
      <c r="AF175" s="261"/>
      <c r="AG175" s="261"/>
      <c r="AH175" s="261"/>
      <c r="AI175" s="261"/>
      <c r="AJ175" s="261"/>
      <c r="AK175" s="261"/>
      <c r="AL175" s="261"/>
      <c r="AM175" s="261"/>
      <c r="AN175" s="261"/>
      <c r="AO175" s="261"/>
      <c r="AP175" s="264"/>
      <c r="AQ175" s="270"/>
      <c r="AR175" s="263"/>
      <c r="AS175" s="263"/>
      <c r="AT175" s="263"/>
      <c r="AU175" s="263"/>
      <c r="AV175" s="263"/>
      <c r="AW175" s="263"/>
      <c r="AX175" s="263"/>
      <c r="AY175" s="263"/>
    </row>
    <row r="176" spans="5:51">
      <c r="E176" s="261"/>
      <c r="F176" s="261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  <c r="AA176" s="261"/>
      <c r="AB176" s="261"/>
      <c r="AC176" s="261"/>
      <c r="AD176" s="261"/>
      <c r="AE176" s="261"/>
      <c r="AF176" s="261"/>
      <c r="AG176" s="261"/>
      <c r="AH176" s="261"/>
      <c r="AI176" s="261"/>
      <c r="AJ176" s="261"/>
      <c r="AK176" s="261"/>
      <c r="AL176" s="261"/>
      <c r="AM176" s="261"/>
      <c r="AN176" s="261"/>
      <c r="AO176" s="261"/>
      <c r="AP176" s="264"/>
      <c r="AQ176" s="270"/>
      <c r="AR176" s="263"/>
      <c r="AS176" s="263"/>
      <c r="AT176" s="263"/>
      <c r="AU176" s="263"/>
      <c r="AV176" s="263"/>
      <c r="AW176" s="263"/>
      <c r="AX176" s="263"/>
      <c r="AY176" s="263"/>
    </row>
    <row r="177" spans="5:51">
      <c r="E177" s="261"/>
      <c r="F177" s="261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  <c r="AA177" s="261"/>
      <c r="AB177" s="261"/>
      <c r="AC177" s="261"/>
      <c r="AD177" s="261"/>
      <c r="AE177" s="261"/>
      <c r="AF177" s="261"/>
      <c r="AG177" s="261"/>
      <c r="AH177" s="261"/>
      <c r="AI177" s="261"/>
      <c r="AJ177" s="261"/>
      <c r="AK177" s="261"/>
      <c r="AL177" s="261"/>
      <c r="AM177" s="261"/>
      <c r="AN177" s="261"/>
      <c r="AO177" s="261"/>
      <c r="AP177" s="264"/>
      <c r="AQ177" s="270"/>
      <c r="AR177" s="263"/>
      <c r="AS177" s="263"/>
      <c r="AT177" s="263"/>
      <c r="AU177" s="263"/>
      <c r="AV177" s="263"/>
      <c r="AW177" s="263"/>
      <c r="AX177" s="263"/>
      <c r="AY177" s="263"/>
    </row>
    <row r="178" spans="5:51">
      <c r="E178" s="261"/>
      <c r="F178" s="261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  <c r="AA178" s="261"/>
      <c r="AB178" s="261"/>
      <c r="AC178" s="261"/>
      <c r="AD178" s="261"/>
      <c r="AE178" s="261"/>
      <c r="AF178" s="261"/>
      <c r="AG178" s="261"/>
      <c r="AH178" s="261"/>
      <c r="AI178" s="261"/>
      <c r="AJ178" s="261"/>
      <c r="AK178" s="261"/>
      <c r="AL178" s="261"/>
      <c r="AM178" s="261"/>
      <c r="AN178" s="261"/>
      <c r="AO178" s="261"/>
      <c r="AP178" s="264"/>
      <c r="AQ178" s="270"/>
      <c r="AR178" s="263"/>
      <c r="AS178" s="263"/>
      <c r="AT178" s="263"/>
      <c r="AU178" s="263"/>
      <c r="AV178" s="263"/>
      <c r="AW178" s="263"/>
      <c r="AX178" s="263"/>
      <c r="AY178" s="263"/>
    </row>
    <row r="179" spans="5:51">
      <c r="E179" s="261"/>
      <c r="F179" s="261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  <c r="AA179" s="261"/>
      <c r="AB179" s="261"/>
      <c r="AC179" s="261"/>
      <c r="AD179" s="261"/>
      <c r="AE179" s="261"/>
      <c r="AF179" s="261"/>
      <c r="AG179" s="261"/>
      <c r="AH179" s="261"/>
      <c r="AI179" s="261"/>
      <c r="AJ179" s="261"/>
      <c r="AK179" s="261"/>
      <c r="AL179" s="261"/>
      <c r="AM179" s="261"/>
      <c r="AN179" s="261"/>
      <c r="AO179" s="261"/>
      <c r="AP179" s="264"/>
      <c r="AQ179" s="270"/>
      <c r="AR179" s="263"/>
      <c r="AS179" s="263"/>
      <c r="AT179" s="263"/>
      <c r="AU179" s="263"/>
      <c r="AV179" s="263"/>
      <c r="AW179" s="263"/>
      <c r="AX179" s="263"/>
      <c r="AY179" s="263"/>
    </row>
    <row r="180" spans="5:51"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  <c r="AA180" s="261"/>
      <c r="AB180" s="261"/>
      <c r="AC180" s="261"/>
      <c r="AD180" s="261"/>
      <c r="AE180" s="261"/>
      <c r="AF180" s="261"/>
      <c r="AG180" s="261"/>
      <c r="AH180" s="261"/>
      <c r="AI180" s="261"/>
      <c r="AJ180" s="261"/>
      <c r="AK180" s="261"/>
      <c r="AL180" s="261"/>
      <c r="AM180" s="261"/>
      <c r="AN180" s="261"/>
      <c r="AO180" s="261"/>
      <c r="AP180" s="264"/>
      <c r="AQ180" s="270"/>
      <c r="AR180" s="263"/>
      <c r="AS180" s="263"/>
      <c r="AT180" s="263"/>
      <c r="AU180" s="263"/>
      <c r="AV180" s="263"/>
      <c r="AW180" s="263"/>
      <c r="AX180" s="263"/>
      <c r="AY180" s="263"/>
    </row>
    <row r="181" spans="5:51">
      <c r="E181" s="261"/>
      <c r="F181" s="261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  <c r="AA181" s="261"/>
      <c r="AB181" s="261"/>
      <c r="AC181" s="261"/>
      <c r="AD181" s="261"/>
      <c r="AE181" s="261"/>
      <c r="AF181" s="261"/>
      <c r="AG181" s="261"/>
      <c r="AH181" s="261"/>
      <c r="AI181" s="261"/>
      <c r="AJ181" s="261"/>
      <c r="AK181" s="261"/>
      <c r="AL181" s="261"/>
      <c r="AM181" s="261"/>
      <c r="AN181" s="261"/>
      <c r="AO181" s="261"/>
      <c r="AP181" s="264"/>
      <c r="AQ181" s="270"/>
      <c r="AR181" s="263"/>
      <c r="AS181" s="263"/>
      <c r="AT181" s="263"/>
      <c r="AU181" s="263"/>
      <c r="AV181" s="263"/>
      <c r="AW181" s="263"/>
      <c r="AX181" s="263"/>
      <c r="AY181" s="263"/>
    </row>
    <row r="182" spans="5:51">
      <c r="E182" s="261"/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  <c r="AA182" s="261"/>
      <c r="AB182" s="261"/>
      <c r="AC182" s="261"/>
      <c r="AD182" s="261"/>
      <c r="AE182" s="261"/>
      <c r="AF182" s="261"/>
      <c r="AG182" s="261"/>
      <c r="AH182" s="261"/>
      <c r="AI182" s="261"/>
      <c r="AJ182" s="261"/>
      <c r="AK182" s="261"/>
      <c r="AL182" s="261"/>
      <c r="AM182" s="261"/>
      <c r="AN182" s="261"/>
      <c r="AO182" s="261"/>
      <c r="AP182" s="264"/>
      <c r="AQ182" s="270"/>
      <c r="AR182" s="263"/>
      <c r="AS182" s="263"/>
      <c r="AT182" s="263"/>
      <c r="AU182" s="263"/>
      <c r="AV182" s="263"/>
      <c r="AW182" s="263"/>
      <c r="AX182" s="263"/>
      <c r="AY182" s="263"/>
    </row>
    <row r="183" spans="5:51">
      <c r="E183" s="261"/>
      <c r="F183" s="261"/>
      <c r="G183" s="261"/>
      <c r="H183" s="261"/>
      <c r="I183" s="261"/>
      <c r="J183" s="261"/>
      <c r="K183" s="261"/>
      <c r="L183" s="261"/>
      <c r="M183" s="261"/>
      <c r="N183" s="261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  <c r="AA183" s="261"/>
      <c r="AB183" s="261"/>
      <c r="AC183" s="261"/>
      <c r="AD183" s="261"/>
      <c r="AE183" s="261"/>
      <c r="AF183" s="261"/>
      <c r="AG183" s="261"/>
      <c r="AH183" s="261"/>
      <c r="AI183" s="261"/>
      <c r="AJ183" s="261"/>
      <c r="AK183" s="261"/>
      <c r="AL183" s="261"/>
      <c r="AM183" s="261"/>
      <c r="AN183" s="261"/>
      <c r="AO183" s="261"/>
      <c r="AP183" s="264"/>
      <c r="AQ183" s="270"/>
      <c r="AR183" s="263"/>
      <c r="AS183" s="263"/>
      <c r="AT183" s="263"/>
      <c r="AU183" s="263"/>
      <c r="AV183" s="263"/>
      <c r="AW183" s="263"/>
      <c r="AX183" s="263"/>
      <c r="AY183" s="263"/>
    </row>
    <row r="184" spans="5:51"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  <c r="AA184" s="261"/>
      <c r="AB184" s="261"/>
      <c r="AC184" s="261"/>
      <c r="AD184" s="261"/>
      <c r="AE184" s="261"/>
      <c r="AF184" s="261"/>
      <c r="AG184" s="261"/>
      <c r="AH184" s="261"/>
      <c r="AI184" s="261"/>
      <c r="AJ184" s="261"/>
      <c r="AK184" s="261"/>
      <c r="AL184" s="261"/>
      <c r="AM184" s="261"/>
      <c r="AN184" s="261"/>
      <c r="AO184" s="261"/>
      <c r="AP184" s="264"/>
      <c r="AQ184" s="270"/>
      <c r="AR184" s="263"/>
      <c r="AS184" s="263"/>
      <c r="AT184" s="263"/>
      <c r="AU184" s="263"/>
      <c r="AV184" s="263"/>
      <c r="AW184" s="263"/>
      <c r="AX184" s="263"/>
      <c r="AY184" s="263"/>
    </row>
    <row r="185" spans="5:51">
      <c r="E185" s="261"/>
      <c r="F185" s="261"/>
      <c r="G185" s="261"/>
      <c r="H185" s="261"/>
      <c r="I185" s="261"/>
      <c r="J185" s="261"/>
      <c r="K185" s="261"/>
      <c r="L185" s="261"/>
      <c r="M185" s="261"/>
      <c r="N185" s="261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  <c r="AA185" s="261"/>
      <c r="AB185" s="261"/>
      <c r="AC185" s="261"/>
      <c r="AD185" s="261"/>
      <c r="AE185" s="261"/>
      <c r="AF185" s="261"/>
      <c r="AG185" s="261"/>
      <c r="AH185" s="261"/>
      <c r="AI185" s="261"/>
      <c r="AJ185" s="261"/>
      <c r="AK185" s="261"/>
      <c r="AL185" s="261"/>
      <c r="AM185" s="261"/>
      <c r="AN185" s="261"/>
      <c r="AO185" s="261"/>
      <c r="AP185" s="264"/>
      <c r="AQ185" s="270"/>
      <c r="AR185" s="263"/>
      <c r="AS185" s="263"/>
      <c r="AT185" s="263"/>
      <c r="AU185" s="263"/>
      <c r="AV185" s="263"/>
      <c r="AW185" s="263"/>
      <c r="AX185" s="263"/>
      <c r="AY185" s="263"/>
    </row>
    <row r="186" spans="5:51">
      <c r="E186" s="261"/>
      <c r="F186" s="261"/>
      <c r="G186" s="261"/>
      <c r="H186" s="261"/>
      <c r="I186" s="261"/>
      <c r="J186" s="261"/>
      <c r="K186" s="261"/>
      <c r="L186" s="261"/>
      <c r="M186" s="261"/>
      <c r="N186" s="261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  <c r="AA186" s="261"/>
      <c r="AB186" s="261"/>
      <c r="AC186" s="261"/>
      <c r="AD186" s="261"/>
      <c r="AE186" s="261"/>
      <c r="AF186" s="261"/>
      <c r="AG186" s="261"/>
      <c r="AH186" s="261"/>
      <c r="AI186" s="261"/>
      <c r="AJ186" s="261"/>
      <c r="AK186" s="261"/>
      <c r="AL186" s="261"/>
      <c r="AM186" s="261"/>
      <c r="AN186" s="261"/>
      <c r="AO186" s="261"/>
      <c r="AP186" s="264"/>
      <c r="AQ186" s="270"/>
      <c r="AR186" s="263"/>
      <c r="AS186" s="263"/>
      <c r="AT186" s="263"/>
      <c r="AU186" s="263"/>
      <c r="AV186" s="263"/>
      <c r="AW186" s="263"/>
      <c r="AX186" s="263"/>
      <c r="AY186" s="263"/>
    </row>
    <row r="187" spans="5:51">
      <c r="E187" s="261"/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  <c r="AA187" s="261"/>
      <c r="AB187" s="261"/>
      <c r="AC187" s="261"/>
      <c r="AD187" s="261"/>
      <c r="AE187" s="261"/>
      <c r="AF187" s="261"/>
      <c r="AG187" s="261"/>
      <c r="AH187" s="261"/>
      <c r="AI187" s="261"/>
      <c r="AJ187" s="261"/>
      <c r="AK187" s="261"/>
      <c r="AL187" s="261"/>
      <c r="AM187" s="261"/>
      <c r="AN187" s="261"/>
      <c r="AO187" s="261"/>
      <c r="AP187" s="264"/>
      <c r="AQ187" s="270"/>
      <c r="AR187" s="263"/>
      <c r="AS187" s="263"/>
      <c r="AT187" s="263"/>
      <c r="AU187" s="263"/>
      <c r="AV187" s="263"/>
      <c r="AW187" s="263"/>
      <c r="AX187" s="263"/>
      <c r="AY187" s="263"/>
    </row>
    <row r="188" spans="5:51"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  <c r="AA188" s="261"/>
      <c r="AB188" s="261"/>
      <c r="AC188" s="261"/>
      <c r="AD188" s="261"/>
      <c r="AE188" s="261"/>
      <c r="AF188" s="261"/>
      <c r="AG188" s="261"/>
      <c r="AH188" s="261"/>
      <c r="AI188" s="261"/>
      <c r="AJ188" s="261"/>
      <c r="AK188" s="261"/>
      <c r="AL188" s="261"/>
      <c r="AM188" s="261"/>
      <c r="AN188" s="261"/>
      <c r="AO188" s="261"/>
      <c r="AP188" s="264"/>
      <c r="AQ188" s="270"/>
      <c r="AR188" s="263"/>
      <c r="AS188" s="263"/>
      <c r="AT188" s="263"/>
      <c r="AU188" s="263"/>
      <c r="AV188" s="263"/>
      <c r="AW188" s="263"/>
      <c r="AX188" s="263"/>
      <c r="AY188" s="263"/>
    </row>
    <row r="189" spans="5:51"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  <c r="AA189" s="261"/>
      <c r="AB189" s="261"/>
      <c r="AC189" s="261"/>
      <c r="AD189" s="261"/>
      <c r="AE189" s="261"/>
      <c r="AF189" s="261"/>
      <c r="AG189" s="261"/>
      <c r="AH189" s="261"/>
      <c r="AI189" s="261"/>
      <c r="AJ189" s="261"/>
      <c r="AK189" s="261"/>
      <c r="AL189" s="261"/>
      <c r="AM189" s="261"/>
      <c r="AN189" s="261"/>
      <c r="AO189" s="261"/>
      <c r="AP189" s="264"/>
      <c r="AQ189" s="270"/>
      <c r="AR189" s="263"/>
      <c r="AS189" s="263"/>
      <c r="AT189" s="263"/>
      <c r="AU189" s="263"/>
      <c r="AV189" s="263"/>
      <c r="AW189" s="263"/>
      <c r="AX189" s="263"/>
      <c r="AY189" s="263"/>
    </row>
    <row r="190" spans="5:51">
      <c r="E190" s="261"/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  <c r="AA190" s="261"/>
      <c r="AB190" s="261"/>
      <c r="AC190" s="261"/>
      <c r="AD190" s="261"/>
      <c r="AE190" s="261"/>
      <c r="AF190" s="261"/>
      <c r="AG190" s="261"/>
      <c r="AH190" s="261"/>
      <c r="AI190" s="261"/>
      <c r="AJ190" s="261"/>
      <c r="AK190" s="261"/>
      <c r="AL190" s="261"/>
      <c r="AM190" s="261"/>
      <c r="AN190" s="261"/>
      <c r="AO190" s="261"/>
      <c r="AP190" s="264"/>
      <c r="AQ190" s="270"/>
      <c r="AR190" s="263"/>
      <c r="AS190" s="263"/>
      <c r="AT190" s="263"/>
      <c r="AU190" s="263"/>
      <c r="AV190" s="263"/>
      <c r="AW190" s="263"/>
      <c r="AX190" s="263"/>
      <c r="AY190" s="263"/>
    </row>
    <row r="191" spans="5:51">
      <c r="E191" s="261"/>
      <c r="F191" s="261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  <c r="AA191" s="261"/>
      <c r="AB191" s="261"/>
      <c r="AC191" s="261"/>
      <c r="AD191" s="261"/>
      <c r="AE191" s="261"/>
      <c r="AF191" s="261"/>
      <c r="AG191" s="261"/>
      <c r="AH191" s="261"/>
      <c r="AI191" s="261"/>
      <c r="AJ191" s="261"/>
      <c r="AK191" s="261"/>
      <c r="AL191" s="261"/>
      <c r="AM191" s="261"/>
      <c r="AN191" s="261"/>
      <c r="AO191" s="261"/>
      <c r="AP191" s="264"/>
      <c r="AQ191" s="270"/>
      <c r="AR191" s="263"/>
      <c r="AS191" s="263"/>
      <c r="AT191" s="263"/>
      <c r="AU191" s="263"/>
      <c r="AV191" s="263"/>
      <c r="AW191" s="263"/>
      <c r="AX191" s="263"/>
      <c r="AY191" s="263"/>
    </row>
    <row r="192" spans="5:51">
      <c r="E192" s="261"/>
      <c r="F192" s="261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  <c r="AA192" s="261"/>
      <c r="AB192" s="261"/>
      <c r="AC192" s="261"/>
      <c r="AD192" s="261"/>
      <c r="AE192" s="261"/>
      <c r="AF192" s="261"/>
      <c r="AG192" s="261"/>
      <c r="AH192" s="261"/>
      <c r="AI192" s="261"/>
      <c r="AJ192" s="261"/>
      <c r="AK192" s="261"/>
      <c r="AL192" s="261"/>
      <c r="AM192" s="261"/>
      <c r="AN192" s="261"/>
      <c r="AO192" s="261"/>
      <c r="AP192" s="264"/>
      <c r="AQ192" s="270"/>
      <c r="AR192" s="263"/>
      <c r="AS192" s="263"/>
      <c r="AT192" s="263"/>
      <c r="AU192" s="263"/>
      <c r="AV192" s="263"/>
      <c r="AW192" s="263"/>
      <c r="AX192" s="263"/>
      <c r="AY192" s="263"/>
    </row>
    <row r="193" spans="5:51"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  <c r="AA193" s="261"/>
      <c r="AB193" s="261"/>
      <c r="AC193" s="261"/>
      <c r="AD193" s="261"/>
      <c r="AE193" s="261"/>
      <c r="AF193" s="261"/>
      <c r="AG193" s="261"/>
      <c r="AH193" s="261"/>
      <c r="AI193" s="261"/>
      <c r="AJ193" s="261"/>
      <c r="AK193" s="261"/>
      <c r="AL193" s="261"/>
      <c r="AM193" s="261"/>
      <c r="AN193" s="261"/>
      <c r="AO193" s="261"/>
      <c r="AP193" s="264"/>
      <c r="AQ193" s="270"/>
      <c r="AR193" s="263"/>
      <c r="AS193" s="263"/>
      <c r="AT193" s="263"/>
      <c r="AU193" s="263"/>
      <c r="AV193" s="263"/>
      <c r="AW193" s="263"/>
      <c r="AX193" s="263"/>
      <c r="AY193" s="263"/>
    </row>
    <row r="194" spans="5:51">
      <c r="E194" s="261"/>
      <c r="F194" s="261"/>
      <c r="G194" s="261"/>
      <c r="H194" s="261"/>
      <c r="I194" s="261"/>
      <c r="J194" s="261"/>
      <c r="K194" s="261"/>
      <c r="L194" s="261"/>
      <c r="M194" s="261"/>
      <c r="N194" s="261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  <c r="AA194" s="261"/>
      <c r="AB194" s="261"/>
      <c r="AC194" s="261"/>
      <c r="AD194" s="261"/>
      <c r="AE194" s="261"/>
      <c r="AF194" s="261"/>
      <c r="AG194" s="261"/>
      <c r="AH194" s="261"/>
      <c r="AI194" s="261"/>
      <c r="AJ194" s="261"/>
      <c r="AK194" s="261"/>
      <c r="AL194" s="261"/>
      <c r="AM194" s="261"/>
      <c r="AN194" s="261"/>
      <c r="AO194" s="261"/>
      <c r="AP194" s="264"/>
      <c r="AQ194" s="270"/>
      <c r="AR194" s="263"/>
      <c r="AS194" s="263"/>
      <c r="AT194" s="263"/>
      <c r="AU194" s="263"/>
      <c r="AV194" s="263"/>
      <c r="AW194" s="263"/>
      <c r="AX194" s="263"/>
      <c r="AY194" s="263"/>
    </row>
    <row r="195" spans="5:51">
      <c r="E195" s="261"/>
      <c r="F195" s="261"/>
      <c r="G195" s="261"/>
      <c r="H195" s="261"/>
      <c r="I195" s="261"/>
      <c r="J195" s="261"/>
      <c r="K195" s="261"/>
      <c r="L195" s="261"/>
      <c r="M195" s="261"/>
      <c r="N195" s="261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  <c r="AA195" s="261"/>
      <c r="AB195" s="261"/>
      <c r="AC195" s="261"/>
      <c r="AD195" s="261"/>
      <c r="AE195" s="261"/>
      <c r="AF195" s="261"/>
      <c r="AG195" s="261"/>
      <c r="AH195" s="261"/>
      <c r="AI195" s="261"/>
      <c r="AJ195" s="261"/>
      <c r="AK195" s="261"/>
      <c r="AL195" s="261"/>
      <c r="AM195" s="261"/>
      <c r="AN195" s="261"/>
      <c r="AO195" s="261"/>
      <c r="AP195" s="264"/>
      <c r="AQ195" s="270"/>
      <c r="AR195" s="263"/>
      <c r="AS195" s="263"/>
      <c r="AT195" s="263"/>
      <c r="AU195" s="263"/>
      <c r="AV195" s="263"/>
      <c r="AW195" s="263"/>
      <c r="AX195" s="263"/>
      <c r="AY195" s="263"/>
    </row>
    <row r="196" spans="5:51">
      <c r="E196" s="261"/>
      <c r="F196" s="261"/>
      <c r="G196" s="261"/>
      <c r="H196" s="261"/>
      <c r="I196" s="261"/>
      <c r="J196" s="261"/>
      <c r="K196" s="261"/>
      <c r="L196" s="261"/>
      <c r="M196" s="261"/>
      <c r="N196" s="261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  <c r="AA196" s="261"/>
      <c r="AB196" s="261"/>
      <c r="AC196" s="261"/>
      <c r="AD196" s="261"/>
      <c r="AE196" s="261"/>
      <c r="AF196" s="261"/>
      <c r="AG196" s="261"/>
      <c r="AH196" s="261"/>
      <c r="AI196" s="261"/>
      <c r="AJ196" s="261"/>
      <c r="AK196" s="261"/>
      <c r="AL196" s="261"/>
      <c r="AM196" s="261"/>
      <c r="AN196" s="261"/>
      <c r="AO196" s="261"/>
      <c r="AP196" s="264"/>
      <c r="AQ196" s="270"/>
      <c r="AR196" s="263"/>
      <c r="AS196" s="263"/>
      <c r="AT196" s="263"/>
      <c r="AU196" s="263"/>
      <c r="AV196" s="263"/>
      <c r="AW196" s="263"/>
      <c r="AX196" s="263"/>
      <c r="AY196" s="263"/>
    </row>
    <row r="197" spans="5:51">
      <c r="E197" s="261"/>
      <c r="F197" s="261"/>
      <c r="G197" s="261"/>
      <c r="H197" s="261"/>
      <c r="I197" s="261"/>
      <c r="J197" s="261"/>
      <c r="K197" s="261"/>
      <c r="L197" s="261"/>
      <c r="M197" s="261"/>
      <c r="N197" s="261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  <c r="AA197" s="261"/>
      <c r="AB197" s="261"/>
      <c r="AC197" s="261"/>
      <c r="AD197" s="261"/>
      <c r="AE197" s="261"/>
      <c r="AF197" s="261"/>
      <c r="AG197" s="261"/>
      <c r="AH197" s="261"/>
      <c r="AI197" s="261"/>
      <c r="AJ197" s="261"/>
      <c r="AK197" s="261"/>
      <c r="AL197" s="261"/>
      <c r="AM197" s="261"/>
      <c r="AN197" s="261"/>
      <c r="AO197" s="261"/>
      <c r="AP197" s="264"/>
      <c r="AQ197" s="270"/>
      <c r="AR197" s="263"/>
      <c r="AS197" s="263"/>
      <c r="AT197" s="263"/>
      <c r="AU197" s="263"/>
      <c r="AV197" s="263"/>
      <c r="AW197" s="263"/>
      <c r="AX197" s="263"/>
      <c r="AY197" s="263"/>
    </row>
    <row r="198" spans="5:51">
      <c r="E198" s="261"/>
      <c r="F198" s="261"/>
      <c r="G198" s="261"/>
      <c r="H198" s="261"/>
      <c r="I198" s="261"/>
      <c r="J198" s="261"/>
      <c r="K198" s="261"/>
      <c r="L198" s="261"/>
      <c r="M198" s="261"/>
      <c r="N198" s="261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  <c r="AA198" s="261"/>
      <c r="AB198" s="261"/>
      <c r="AC198" s="261"/>
      <c r="AD198" s="261"/>
      <c r="AE198" s="261"/>
      <c r="AF198" s="261"/>
      <c r="AG198" s="261"/>
      <c r="AH198" s="261"/>
      <c r="AI198" s="261"/>
      <c r="AJ198" s="261"/>
      <c r="AK198" s="261"/>
      <c r="AL198" s="261"/>
      <c r="AM198" s="261"/>
      <c r="AN198" s="261"/>
      <c r="AO198" s="261"/>
      <c r="AP198" s="264"/>
      <c r="AQ198" s="270"/>
      <c r="AR198" s="263"/>
      <c r="AS198" s="263"/>
      <c r="AT198" s="263"/>
      <c r="AU198" s="263"/>
      <c r="AV198" s="263"/>
      <c r="AW198" s="263"/>
      <c r="AX198" s="263"/>
      <c r="AY198" s="263"/>
    </row>
    <row r="199" spans="5:51"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  <c r="AA199" s="261"/>
      <c r="AB199" s="261"/>
      <c r="AC199" s="261"/>
      <c r="AD199" s="261"/>
      <c r="AE199" s="261"/>
      <c r="AF199" s="261"/>
      <c r="AG199" s="261"/>
      <c r="AH199" s="261"/>
      <c r="AI199" s="261"/>
      <c r="AJ199" s="261"/>
      <c r="AK199" s="261"/>
      <c r="AL199" s="261"/>
      <c r="AM199" s="261"/>
      <c r="AN199" s="261"/>
      <c r="AO199" s="261"/>
      <c r="AP199" s="264"/>
      <c r="AQ199" s="270"/>
      <c r="AR199" s="263"/>
      <c r="AS199" s="263"/>
      <c r="AT199" s="263"/>
      <c r="AU199" s="263"/>
      <c r="AV199" s="263"/>
      <c r="AW199" s="263"/>
      <c r="AX199" s="263"/>
      <c r="AY199" s="263"/>
    </row>
    <row r="200" spans="5:51"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  <c r="AA200" s="261"/>
      <c r="AB200" s="261"/>
      <c r="AC200" s="261"/>
      <c r="AD200" s="261"/>
      <c r="AE200" s="261"/>
      <c r="AF200" s="261"/>
      <c r="AG200" s="261"/>
      <c r="AH200" s="261"/>
      <c r="AI200" s="261"/>
      <c r="AJ200" s="261"/>
      <c r="AK200" s="261"/>
      <c r="AL200" s="261"/>
      <c r="AM200" s="261"/>
      <c r="AN200" s="261"/>
      <c r="AO200" s="261"/>
      <c r="AP200" s="264"/>
      <c r="AQ200" s="270"/>
      <c r="AR200" s="263"/>
      <c r="AS200" s="263"/>
      <c r="AT200" s="263"/>
      <c r="AU200" s="263"/>
      <c r="AV200" s="263"/>
      <c r="AW200" s="263"/>
      <c r="AX200" s="263"/>
      <c r="AY200" s="263"/>
    </row>
    <row r="201" spans="5:51">
      <c r="E201" s="261"/>
      <c r="F201" s="261"/>
      <c r="G201" s="261"/>
      <c r="H201" s="261"/>
      <c r="I201" s="261"/>
      <c r="J201" s="261"/>
      <c r="K201" s="261"/>
      <c r="L201" s="261"/>
      <c r="M201" s="261"/>
      <c r="N201" s="261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  <c r="AA201" s="261"/>
      <c r="AB201" s="261"/>
      <c r="AC201" s="261"/>
      <c r="AD201" s="261"/>
      <c r="AE201" s="261"/>
      <c r="AF201" s="261"/>
      <c r="AG201" s="261"/>
      <c r="AH201" s="261"/>
      <c r="AI201" s="261"/>
      <c r="AJ201" s="261"/>
      <c r="AK201" s="261"/>
      <c r="AL201" s="261"/>
      <c r="AM201" s="261"/>
      <c r="AN201" s="261"/>
      <c r="AO201" s="261"/>
      <c r="AP201" s="264"/>
      <c r="AQ201" s="270"/>
      <c r="AR201" s="263"/>
      <c r="AS201" s="263"/>
      <c r="AT201" s="263"/>
      <c r="AU201" s="263"/>
      <c r="AV201" s="263"/>
      <c r="AW201" s="263"/>
      <c r="AX201" s="263"/>
      <c r="AY201" s="263"/>
    </row>
    <row r="202" spans="5:51">
      <c r="E202" s="261"/>
      <c r="F202" s="261"/>
      <c r="G202" s="261"/>
      <c r="H202" s="261"/>
      <c r="I202" s="261"/>
      <c r="J202" s="261"/>
      <c r="K202" s="261"/>
      <c r="L202" s="261"/>
      <c r="M202" s="261"/>
      <c r="N202" s="261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  <c r="AA202" s="261"/>
      <c r="AB202" s="261"/>
      <c r="AC202" s="261"/>
      <c r="AD202" s="261"/>
      <c r="AE202" s="261"/>
      <c r="AF202" s="261"/>
      <c r="AG202" s="261"/>
      <c r="AH202" s="261"/>
      <c r="AI202" s="261"/>
      <c r="AJ202" s="261"/>
      <c r="AK202" s="261"/>
      <c r="AL202" s="261"/>
      <c r="AM202" s="261"/>
      <c r="AN202" s="261"/>
      <c r="AO202" s="261"/>
      <c r="AP202" s="264"/>
      <c r="AQ202" s="270"/>
      <c r="AR202" s="263"/>
      <c r="AS202" s="263"/>
      <c r="AT202" s="263"/>
      <c r="AU202" s="263"/>
      <c r="AV202" s="263"/>
      <c r="AW202" s="263"/>
      <c r="AX202" s="263"/>
      <c r="AY202" s="263"/>
    </row>
    <row r="203" spans="5:51">
      <c r="E203" s="261"/>
      <c r="F203" s="261"/>
      <c r="G203" s="261"/>
      <c r="H203" s="261"/>
      <c r="I203" s="261"/>
      <c r="J203" s="261"/>
      <c r="K203" s="261"/>
      <c r="L203" s="261"/>
      <c r="M203" s="261"/>
      <c r="N203" s="261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  <c r="AA203" s="261"/>
      <c r="AB203" s="261"/>
      <c r="AC203" s="261"/>
      <c r="AD203" s="261"/>
      <c r="AE203" s="261"/>
      <c r="AF203" s="261"/>
      <c r="AG203" s="261"/>
      <c r="AH203" s="261"/>
      <c r="AI203" s="261"/>
      <c r="AJ203" s="261"/>
      <c r="AK203" s="261"/>
      <c r="AL203" s="261"/>
      <c r="AM203" s="261"/>
      <c r="AN203" s="261"/>
      <c r="AO203" s="261"/>
      <c r="AP203" s="264"/>
      <c r="AQ203" s="270"/>
      <c r="AR203" s="263"/>
      <c r="AS203" s="263"/>
      <c r="AT203" s="263"/>
      <c r="AU203" s="263"/>
      <c r="AV203" s="263"/>
      <c r="AW203" s="263"/>
      <c r="AX203" s="263"/>
      <c r="AY203" s="263"/>
    </row>
    <row r="204" spans="5:51">
      <c r="E204" s="261"/>
      <c r="F204" s="261"/>
      <c r="G204" s="261"/>
      <c r="H204" s="261"/>
      <c r="I204" s="261"/>
      <c r="J204" s="261"/>
      <c r="K204" s="261"/>
      <c r="L204" s="261"/>
      <c r="M204" s="261"/>
      <c r="N204" s="261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  <c r="AA204" s="261"/>
      <c r="AB204" s="261"/>
      <c r="AC204" s="261"/>
      <c r="AD204" s="261"/>
      <c r="AE204" s="261"/>
      <c r="AF204" s="261"/>
      <c r="AG204" s="261"/>
      <c r="AH204" s="261"/>
      <c r="AI204" s="261"/>
      <c r="AJ204" s="261"/>
      <c r="AK204" s="261"/>
      <c r="AL204" s="261"/>
      <c r="AM204" s="261"/>
      <c r="AN204" s="261"/>
      <c r="AO204" s="261"/>
      <c r="AP204" s="264"/>
      <c r="AQ204" s="270"/>
      <c r="AR204" s="263"/>
      <c r="AS204" s="263"/>
      <c r="AT204" s="263"/>
      <c r="AU204" s="263"/>
      <c r="AV204" s="263"/>
      <c r="AW204" s="263"/>
      <c r="AX204" s="263"/>
      <c r="AY204" s="263"/>
    </row>
    <row r="205" spans="5:51">
      <c r="E205" s="261"/>
      <c r="F205" s="261"/>
      <c r="G205" s="261"/>
      <c r="H205" s="261"/>
      <c r="I205" s="261"/>
      <c r="J205" s="261"/>
      <c r="K205" s="261"/>
      <c r="L205" s="261"/>
      <c r="M205" s="261"/>
      <c r="N205" s="261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  <c r="AA205" s="261"/>
      <c r="AB205" s="261"/>
      <c r="AC205" s="261"/>
      <c r="AD205" s="261"/>
      <c r="AE205" s="261"/>
      <c r="AF205" s="261"/>
      <c r="AG205" s="261"/>
      <c r="AH205" s="261"/>
      <c r="AI205" s="261"/>
      <c r="AJ205" s="261"/>
      <c r="AK205" s="261"/>
      <c r="AL205" s="261"/>
      <c r="AM205" s="261"/>
      <c r="AN205" s="261"/>
      <c r="AO205" s="261"/>
      <c r="AP205" s="264"/>
      <c r="AQ205" s="270"/>
      <c r="AR205" s="263"/>
      <c r="AS205" s="263"/>
      <c r="AT205" s="263"/>
      <c r="AU205" s="263"/>
      <c r="AV205" s="263"/>
      <c r="AW205" s="263"/>
      <c r="AX205" s="263"/>
      <c r="AY205" s="263"/>
    </row>
    <row r="206" spans="5:51">
      <c r="E206" s="261"/>
      <c r="F206" s="261"/>
      <c r="G206" s="261"/>
      <c r="H206" s="261"/>
      <c r="I206" s="261"/>
      <c r="J206" s="261"/>
      <c r="K206" s="261"/>
      <c r="L206" s="261"/>
      <c r="M206" s="261"/>
      <c r="N206" s="261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  <c r="AA206" s="261"/>
      <c r="AB206" s="261"/>
      <c r="AC206" s="261"/>
      <c r="AD206" s="261"/>
      <c r="AE206" s="261"/>
      <c r="AF206" s="261"/>
      <c r="AG206" s="261"/>
      <c r="AH206" s="261"/>
      <c r="AI206" s="261"/>
      <c r="AJ206" s="261"/>
      <c r="AK206" s="261"/>
      <c r="AL206" s="261"/>
      <c r="AM206" s="261"/>
      <c r="AN206" s="261"/>
      <c r="AO206" s="261"/>
      <c r="AP206" s="264"/>
      <c r="AQ206" s="270"/>
      <c r="AR206" s="263"/>
      <c r="AS206" s="263"/>
      <c r="AT206" s="263"/>
      <c r="AU206" s="263"/>
      <c r="AV206" s="263"/>
      <c r="AW206" s="263"/>
      <c r="AX206" s="263"/>
      <c r="AY206" s="263"/>
    </row>
    <row r="207" spans="5:51">
      <c r="E207" s="261"/>
      <c r="F207" s="261"/>
      <c r="G207" s="261"/>
      <c r="H207" s="261"/>
      <c r="I207" s="261"/>
      <c r="J207" s="261"/>
      <c r="K207" s="261"/>
      <c r="L207" s="261"/>
      <c r="M207" s="261"/>
      <c r="N207" s="261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  <c r="AA207" s="261"/>
      <c r="AB207" s="261"/>
      <c r="AC207" s="261"/>
      <c r="AD207" s="261"/>
      <c r="AE207" s="261"/>
      <c r="AF207" s="261"/>
      <c r="AG207" s="261"/>
      <c r="AH207" s="261"/>
      <c r="AI207" s="261"/>
      <c r="AJ207" s="261"/>
      <c r="AK207" s="261"/>
      <c r="AL207" s="261"/>
      <c r="AM207" s="261"/>
      <c r="AN207" s="261"/>
      <c r="AO207" s="261"/>
      <c r="AP207" s="264"/>
      <c r="AQ207" s="270"/>
      <c r="AR207" s="263"/>
      <c r="AS207" s="263"/>
      <c r="AT207" s="263"/>
      <c r="AU207" s="263"/>
      <c r="AV207" s="263"/>
      <c r="AW207" s="263"/>
      <c r="AX207" s="263"/>
      <c r="AY207" s="263"/>
    </row>
    <row r="208" spans="5:51">
      <c r="E208" s="261"/>
      <c r="F208" s="261"/>
      <c r="G208" s="261"/>
      <c r="H208" s="261"/>
      <c r="I208" s="261"/>
      <c r="J208" s="261"/>
      <c r="K208" s="261"/>
      <c r="L208" s="261"/>
      <c r="M208" s="261"/>
      <c r="N208" s="261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  <c r="AA208" s="261"/>
      <c r="AB208" s="261"/>
      <c r="AC208" s="261"/>
      <c r="AD208" s="261"/>
      <c r="AE208" s="261"/>
      <c r="AF208" s="261"/>
      <c r="AG208" s="261"/>
      <c r="AH208" s="261"/>
      <c r="AI208" s="261"/>
      <c r="AJ208" s="261"/>
      <c r="AK208" s="261"/>
      <c r="AL208" s="261"/>
      <c r="AM208" s="261"/>
      <c r="AN208" s="261"/>
      <c r="AO208" s="261"/>
      <c r="AP208" s="264"/>
      <c r="AQ208" s="270"/>
      <c r="AR208" s="263"/>
      <c r="AS208" s="263"/>
      <c r="AT208" s="263"/>
      <c r="AU208" s="263"/>
      <c r="AV208" s="263"/>
      <c r="AW208" s="263"/>
      <c r="AX208" s="263"/>
      <c r="AY208" s="263"/>
    </row>
    <row r="209" spans="5:51">
      <c r="E209" s="261"/>
      <c r="F209" s="261"/>
      <c r="G209" s="261"/>
      <c r="H209" s="261"/>
      <c r="I209" s="261"/>
      <c r="J209" s="261"/>
      <c r="K209" s="261"/>
      <c r="L209" s="261"/>
      <c r="M209" s="261"/>
      <c r="N209" s="261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  <c r="AA209" s="261"/>
      <c r="AB209" s="261"/>
      <c r="AC209" s="261"/>
      <c r="AD209" s="261"/>
      <c r="AE209" s="261"/>
      <c r="AF209" s="261"/>
      <c r="AG209" s="261"/>
      <c r="AH209" s="261"/>
      <c r="AI209" s="261"/>
      <c r="AJ209" s="261"/>
      <c r="AK209" s="261"/>
      <c r="AL209" s="261"/>
      <c r="AM209" s="261"/>
      <c r="AN209" s="261"/>
      <c r="AO209" s="261"/>
      <c r="AP209" s="264"/>
      <c r="AQ209" s="270"/>
      <c r="AR209" s="263"/>
      <c r="AS209" s="263"/>
      <c r="AT209" s="263"/>
      <c r="AU209" s="263"/>
      <c r="AV209" s="263"/>
      <c r="AW209" s="263"/>
      <c r="AX209" s="263"/>
      <c r="AY209" s="263"/>
    </row>
    <row r="210" spans="5:51">
      <c r="E210" s="261"/>
      <c r="F210" s="261"/>
      <c r="G210" s="261"/>
      <c r="H210" s="261"/>
      <c r="I210" s="261"/>
      <c r="J210" s="261"/>
      <c r="K210" s="261"/>
      <c r="L210" s="261"/>
      <c r="M210" s="261"/>
      <c r="N210" s="261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  <c r="AA210" s="261"/>
      <c r="AB210" s="261"/>
      <c r="AC210" s="261"/>
      <c r="AD210" s="261"/>
      <c r="AE210" s="261"/>
      <c r="AF210" s="261"/>
      <c r="AG210" s="261"/>
      <c r="AH210" s="261"/>
      <c r="AI210" s="261"/>
      <c r="AJ210" s="261"/>
      <c r="AK210" s="261"/>
      <c r="AL210" s="261"/>
      <c r="AM210" s="261"/>
      <c r="AN210" s="261"/>
      <c r="AO210" s="261"/>
      <c r="AP210" s="264"/>
      <c r="AQ210" s="270"/>
      <c r="AR210" s="263"/>
      <c r="AS210" s="263"/>
      <c r="AT210" s="263"/>
      <c r="AU210" s="263"/>
      <c r="AV210" s="263"/>
      <c r="AW210" s="263"/>
      <c r="AX210" s="263"/>
      <c r="AY210" s="263"/>
    </row>
    <row r="211" spans="5:51">
      <c r="E211" s="261"/>
      <c r="F211" s="261"/>
      <c r="G211" s="261"/>
      <c r="H211" s="261"/>
      <c r="I211" s="261"/>
      <c r="J211" s="261"/>
      <c r="K211" s="261"/>
      <c r="L211" s="261"/>
      <c r="M211" s="261"/>
      <c r="N211" s="261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  <c r="AA211" s="261"/>
      <c r="AB211" s="261"/>
      <c r="AC211" s="261"/>
      <c r="AD211" s="261"/>
      <c r="AE211" s="261"/>
      <c r="AF211" s="261"/>
      <c r="AG211" s="261"/>
      <c r="AH211" s="261"/>
      <c r="AI211" s="261"/>
      <c r="AJ211" s="261"/>
      <c r="AK211" s="261"/>
      <c r="AL211" s="261"/>
      <c r="AM211" s="261"/>
      <c r="AN211" s="261"/>
      <c r="AO211" s="261"/>
      <c r="AP211" s="264"/>
      <c r="AQ211" s="270"/>
      <c r="AR211" s="263"/>
      <c r="AS211" s="263"/>
      <c r="AT211" s="263"/>
      <c r="AU211" s="263"/>
      <c r="AV211" s="263"/>
      <c r="AW211" s="263"/>
      <c r="AX211" s="263"/>
      <c r="AY211" s="263"/>
    </row>
    <row r="212" spans="5:51">
      <c r="E212" s="261"/>
      <c r="F212" s="261"/>
      <c r="G212" s="261"/>
      <c r="H212" s="261"/>
      <c r="I212" s="261"/>
      <c r="J212" s="261"/>
      <c r="K212" s="261"/>
      <c r="L212" s="261"/>
      <c r="M212" s="261"/>
      <c r="N212" s="261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  <c r="AA212" s="261"/>
      <c r="AB212" s="261"/>
      <c r="AC212" s="261"/>
      <c r="AD212" s="261"/>
      <c r="AE212" s="261"/>
      <c r="AF212" s="261"/>
      <c r="AG212" s="261"/>
      <c r="AH212" s="261"/>
      <c r="AI212" s="261"/>
      <c r="AJ212" s="261"/>
      <c r="AK212" s="261"/>
      <c r="AL212" s="261"/>
      <c r="AM212" s="261"/>
      <c r="AN212" s="261"/>
      <c r="AO212" s="261"/>
      <c r="AP212" s="264"/>
      <c r="AQ212" s="270"/>
      <c r="AR212" s="263"/>
      <c r="AS212" s="263"/>
      <c r="AT212" s="263"/>
      <c r="AU212" s="263"/>
      <c r="AV212" s="263"/>
      <c r="AW212" s="263"/>
      <c r="AX212" s="263"/>
      <c r="AY212" s="263"/>
    </row>
    <row r="213" spans="5:51">
      <c r="E213" s="261"/>
      <c r="F213" s="261"/>
      <c r="G213" s="261"/>
      <c r="H213" s="261"/>
      <c r="I213" s="261"/>
      <c r="J213" s="261"/>
      <c r="K213" s="261"/>
      <c r="L213" s="261"/>
      <c r="M213" s="261"/>
      <c r="N213" s="261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  <c r="AA213" s="261"/>
      <c r="AB213" s="261"/>
      <c r="AC213" s="261"/>
      <c r="AD213" s="261"/>
      <c r="AE213" s="261"/>
      <c r="AF213" s="261"/>
      <c r="AG213" s="261"/>
      <c r="AH213" s="261"/>
      <c r="AI213" s="261"/>
      <c r="AJ213" s="261"/>
      <c r="AK213" s="261"/>
      <c r="AL213" s="261"/>
      <c r="AM213" s="261"/>
      <c r="AN213" s="261"/>
      <c r="AO213" s="261"/>
      <c r="AP213" s="264"/>
      <c r="AQ213" s="270"/>
      <c r="AR213" s="263"/>
      <c r="AS213" s="263"/>
      <c r="AT213" s="263"/>
      <c r="AU213" s="263"/>
      <c r="AV213" s="263"/>
      <c r="AW213" s="263"/>
      <c r="AX213" s="263"/>
      <c r="AY213" s="263"/>
    </row>
    <row r="214" spans="5:51"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  <c r="AA214" s="261"/>
      <c r="AB214" s="261"/>
      <c r="AC214" s="261"/>
      <c r="AD214" s="261"/>
      <c r="AE214" s="261"/>
      <c r="AF214" s="261"/>
      <c r="AG214" s="261"/>
      <c r="AH214" s="261"/>
      <c r="AI214" s="261"/>
      <c r="AJ214" s="261"/>
      <c r="AK214" s="261"/>
      <c r="AL214" s="261"/>
      <c r="AM214" s="261"/>
      <c r="AN214" s="261"/>
      <c r="AO214" s="261"/>
      <c r="AP214" s="264"/>
      <c r="AQ214" s="270"/>
      <c r="AR214" s="263"/>
      <c r="AS214" s="263"/>
      <c r="AT214" s="263"/>
      <c r="AU214" s="263"/>
      <c r="AV214" s="263"/>
      <c r="AW214" s="263"/>
      <c r="AX214" s="263"/>
      <c r="AY214" s="263"/>
    </row>
    <row r="215" spans="5:51">
      <c r="E215" s="261"/>
      <c r="F215" s="261"/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  <c r="AA215" s="261"/>
      <c r="AB215" s="261"/>
      <c r="AC215" s="261"/>
      <c r="AD215" s="261"/>
      <c r="AE215" s="261"/>
      <c r="AF215" s="261"/>
      <c r="AG215" s="261"/>
      <c r="AH215" s="261"/>
      <c r="AI215" s="261"/>
      <c r="AJ215" s="261"/>
      <c r="AK215" s="261"/>
      <c r="AL215" s="261"/>
      <c r="AM215" s="261"/>
      <c r="AN215" s="261"/>
      <c r="AO215" s="261"/>
      <c r="AP215" s="264"/>
      <c r="AQ215" s="270"/>
      <c r="AR215" s="263"/>
      <c r="AS215" s="263"/>
      <c r="AT215" s="263"/>
      <c r="AU215" s="263"/>
      <c r="AV215" s="263"/>
      <c r="AW215" s="263"/>
      <c r="AX215" s="263"/>
      <c r="AY215" s="263"/>
    </row>
    <row r="216" spans="5:51">
      <c r="E216" s="261"/>
      <c r="F216" s="261"/>
      <c r="G216" s="261"/>
      <c r="H216" s="261"/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  <c r="AA216" s="261"/>
      <c r="AB216" s="261"/>
      <c r="AC216" s="261"/>
      <c r="AD216" s="261"/>
      <c r="AE216" s="261"/>
      <c r="AF216" s="261"/>
      <c r="AG216" s="261"/>
      <c r="AH216" s="261"/>
      <c r="AI216" s="261"/>
      <c r="AJ216" s="261"/>
      <c r="AK216" s="261"/>
      <c r="AL216" s="261"/>
      <c r="AM216" s="261"/>
      <c r="AN216" s="261"/>
      <c r="AO216" s="261"/>
      <c r="AP216" s="264"/>
      <c r="AQ216" s="270"/>
      <c r="AR216" s="263"/>
      <c r="AS216" s="263"/>
      <c r="AT216" s="263"/>
      <c r="AU216" s="263"/>
      <c r="AV216" s="263"/>
      <c r="AW216" s="263"/>
      <c r="AX216" s="263"/>
      <c r="AY216" s="263"/>
    </row>
    <row r="217" spans="5:51"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  <c r="AA217" s="261"/>
      <c r="AB217" s="261"/>
      <c r="AC217" s="261"/>
      <c r="AD217" s="261"/>
      <c r="AE217" s="261"/>
      <c r="AF217" s="261"/>
      <c r="AG217" s="261"/>
      <c r="AH217" s="261"/>
      <c r="AI217" s="261"/>
      <c r="AJ217" s="261"/>
      <c r="AK217" s="261"/>
      <c r="AL217" s="261"/>
      <c r="AM217" s="261"/>
      <c r="AN217" s="261"/>
      <c r="AO217" s="261"/>
      <c r="AP217" s="264"/>
      <c r="AQ217" s="270"/>
      <c r="AR217" s="263"/>
      <c r="AS217" s="263"/>
      <c r="AT217" s="263"/>
      <c r="AU217" s="263"/>
      <c r="AV217" s="263"/>
      <c r="AW217" s="263"/>
      <c r="AX217" s="263"/>
      <c r="AY217" s="263"/>
    </row>
    <row r="218" spans="5:51">
      <c r="E218" s="261"/>
      <c r="F218" s="261"/>
      <c r="G218" s="261"/>
      <c r="H218" s="261"/>
      <c r="I218" s="261"/>
      <c r="J218" s="261"/>
      <c r="K218" s="261"/>
      <c r="L218" s="261"/>
      <c r="M218" s="261"/>
      <c r="N218" s="261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  <c r="AA218" s="261"/>
      <c r="AB218" s="261"/>
      <c r="AC218" s="261"/>
      <c r="AD218" s="261"/>
      <c r="AE218" s="261"/>
      <c r="AF218" s="261"/>
      <c r="AG218" s="261"/>
      <c r="AH218" s="261"/>
      <c r="AI218" s="261"/>
      <c r="AJ218" s="261"/>
      <c r="AK218" s="261"/>
      <c r="AL218" s="261"/>
      <c r="AM218" s="261"/>
      <c r="AN218" s="261"/>
      <c r="AO218" s="261"/>
      <c r="AP218" s="264"/>
      <c r="AQ218" s="270"/>
      <c r="AR218" s="263"/>
      <c r="AS218" s="263"/>
      <c r="AT218" s="263"/>
      <c r="AU218" s="263"/>
      <c r="AV218" s="263"/>
      <c r="AW218" s="263"/>
      <c r="AX218" s="263"/>
      <c r="AY218" s="263"/>
    </row>
    <row r="219" spans="5:51">
      <c r="E219" s="261"/>
      <c r="F219" s="261"/>
      <c r="G219" s="261"/>
      <c r="H219" s="261"/>
      <c r="I219" s="261"/>
      <c r="J219" s="261"/>
      <c r="K219" s="261"/>
      <c r="L219" s="261"/>
      <c r="M219" s="261"/>
      <c r="N219" s="261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  <c r="AA219" s="261"/>
      <c r="AB219" s="261"/>
      <c r="AC219" s="261"/>
      <c r="AD219" s="261"/>
      <c r="AE219" s="261"/>
      <c r="AF219" s="261"/>
      <c r="AG219" s="261"/>
      <c r="AH219" s="261"/>
      <c r="AI219" s="261"/>
      <c r="AJ219" s="261"/>
      <c r="AK219" s="261"/>
      <c r="AL219" s="261"/>
      <c r="AM219" s="261"/>
      <c r="AN219" s="261"/>
      <c r="AO219" s="261"/>
      <c r="AP219" s="264"/>
      <c r="AQ219" s="270"/>
      <c r="AR219" s="263"/>
      <c r="AS219" s="263"/>
      <c r="AT219" s="263"/>
      <c r="AU219" s="263"/>
      <c r="AV219" s="263"/>
      <c r="AW219" s="263"/>
      <c r="AX219" s="263"/>
      <c r="AY219" s="263"/>
    </row>
    <row r="220" spans="5:51"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  <c r="AA220" s="261"/>
      <c r="AB220" s="261"/>
      <c r="AC220" s="261"/>
      <c r="AD220" s="261"/>
      <c r="AE220" s="261"/>
      <c r="AF220" s="261"/>
      <c r="AG220" s="261"/>
      <c r="AH220" s="261"/>
      <c r="AI220" s="261"/>
      <c r="AJ220" s="261"/>
      <c r="AK220" s="261"/>
      <c r="AL220" s="261"/>
      <c r="AM220" s="261"/>
      <c r="AN220" s="261"/>
      <c r="AO220" s="261"/>
      <c r="AP220" s="264"/>
      <c r="AQ220" s="270"/>
      <c r="AR220" s="263"/>
      <c r="AS220" s="263"/>
      <c r="AT220" s="263"/>
      <c r="AU220" s="263"/>
      <c r="AV220" s="263"/>
      <c r="AW220" s="263"/>
      <c r="AX220" s="263"/>
      <c r="AY220" s="263"/>
    </row>
    <row r="221" spans="5:51"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  <c r="AA221" s="261"/>
      <c r="AB221" s="261"/>
      <c r="AC221" s="261"/>
      <c r="AD221" s="261"/>
      <c r="AE221" s="261"/>
      <c r="AF221" s="261"/>
      <c r="AG221" s="261"/>
      <c r="AH221" s="261"/>
      <c r="AI221" s="261"/>
      <c r="AJ221" s="261"/>
      <c r="AK221" s="261"/>
      <c r="AL221" s="261"/>
      <c r="AM221" s="261"/>
      <c r="AN221" s="261"/>
      <c r="AO221" s="261"/>
      <c r="AP221" s="264"/>
      <c r="AQ221" s="270"/>
      <c r="AR221" s="263"/>
      <c r="AS221" s="263"/>
      <c r="AT221" s="263"/>
      <c r="AU221" s="263"/>
      <c r="AV221" s="263"/>
      <c r="AW221" s="263"/>
      <c r="AX221" s="263"/>
      <c r="AY221" s="263"/>
    </row>
    <row r="222" spans="5:51"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  <c r="AA222" s="261"/>
      <c r="AB222" s="261"/>
      <c r="AC222" s="261"/>
      <c r="AD222" s="261"/>
      <c r="AE222" s="261"/>
      <c r="AF222" s="261"/>
      <c r="AG222" s="261"/>
      <c r="AH222" s="261"/>
      <c r="AI222" s="261"/>
      <c r="AJ222" s="261"/>
      <c r="AK222" s="261"/>
      <c r="AL222" s="261"/>
      <c r="AM222" s="261"/>
      <c r="AN222" s="261"/>
      <c r="AO222" s="261"/>
      <c r="AP222" s="264"/>
      <c r="AQ222" s="270"/>
      <c r="AR222" s="263"/>
      <c r="AS222" s="263"/>
      <c r="AT222" s="263"/>
      <c r="AU222" s="263"/>
      <c r="AV222" s="263"/>
      <c r="AW222" s="263"/>
      <c r="AX222" s="263"/>
      <c r="AY222" s="263"/>
    </row>
    <row r="223" spans="5:51"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  <c r="AA223" s="261"/>
      <c r="AB223" s="261"/>
      <c r="AC223" s="261"/>
      <c r="AD223" s="261"/>
      <c r="AE223" s="261"/>
      <c r="AF223" s="261"/>
      <c r="AG223" s="261"/>
      <c r="AH223" s="261"/>
      <c r="AI223" s="261"/>
      <c r="AJ223" s="261"/>
      <c r="AK223" s="261"/>
      <c r="AL223" s="261"/>
      <c r="AM223" s="261"/>
      <c r="AN223" s="261"/>
      <c r="AO223" s="261"/>
      <c r="AP223" s="264"/>
      <c r="AQ223" s="270"/>
      <c r="AR223" s="263"/>
      <c r="AS223" s="263"/>
      <c r="AT223" s="263"/>
      <c r="AU223" s="263"/>
      <c r="AV223" s="263"/>
      <c r="AW223" s="263"/>
      <c r="AX223" s="263"/>
      <c r="AY223" s="263"/>
    </row>
    <row r="224" spans="5:51">
      <c r="E224" s="261"/>
      <c r="F224" s="261"/>
      <c r="G224" s="261"/>
      <c r="H224" s="261"/>
      <c r="I224" s="261"/>
      <c r="J224" s="261"/>
      <c r="K224" s="261"/>
      <c r="L224" s="261"/>
      <c r="M224" s="261"/>
      <c r="N224" s="261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  <c r="AA224" s="261"/>
      <c r="AB224" s="261"/>
      <c r="AC224" s="261"/>
      <c r="AD224" s="261"/>
      <c r="AE224" s="261"/>
      <c r="AF224" s="261"/>
      <c r="AG224" s="261"/>
      <c r="AH224" s="261"/>
      <c r="AI224" s="261"/>
      <c r="AJ224" s="261"/>
      <c r="AK224" s="261"/>
      <c r="AL224" s="261"/>
      <c r="AM224" s="261"/>
      <c r="AN224" s="261"/>
      <c r="AO224" s="261"/>
      <c r="AP224" s="264"/>
      <c r="AQ224" s="270"/>
      <c r="AR224" s="263"/>
      <c r="AS224" s="263"/>
      <c r="AT224" s="263"/>
      <c r="AU224" s="263"/>
      <c r="AV224" s="263"/>
      <c r="AW224" s="263"/>
      <c r="AX224" s="263"/>
      <c r="AY224" s="263"/>
    </row>
    <row r="225" spans="5:51"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  <c r="AA225" s="261"/>
      <c r="AB225" s="261"/>
      <c r="AC225" s="261"/>
      <c r="AD225" s="261"/>
      <c r="AE225" s="261"/>
      <c r="AF225" s="261"/>
      <c r="AG225" s="261"/>
      <c r="AH225" s="261"/>
      <c r="AI225" s="261"/>
      <c r="AJ225" s="261"/>
      <c r="AK225" s="261"/>
      <c r="AL225" s="261"/>
      <c r="AM225" s="261"/>
      <c r="AN225" s="261"/>
      <c r="AO225" s="261"/>
      <c r="AP225" s="264"/>
      <c r="AQ225" s="270"/>
      <c r="AR225" s="263"/>
      <c r="AS225" s="263"/>
      <c r="AT225" s="263"/>
      <c r="AU225" s="263"/>
      <c r="AV225" s="263"/>
      <c r="AW225" s="263"/>
      <c r="AX225" s="263"/>
      <c r="AY225" s="263"/>
    </row>
    <row r="226" spans="5:51">
      <c r="E226" s="261"/>
      <c r="F226" s="261"/>
      <c r="G226" s="261"/>
      <c r="H226" s="261"/>
      <c r="I226" s="261"/>
      <c r="J226" s="261"/>
      <c r="K226" s="261"/>
      <c r="L226" s="261"/>
      <c r="M226" s="261"/>
      <c r="N226" s="261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  <c r="AA226" s="261"/>
      <c r="AB226" s="261"/>
      <c r="AC226" s="261"/>
      <c r="AD226" s="261"/>
      <c r="AE226" s="261"/>
      <c r="AF226" s="261"/>
      <c r="AG226" s="261"/>
      <c r="AH226" s="261"/>
      <c r="AI226" s="261"/>
      <c r="AJ226" s="261"/>
      <c r="AK226" s="261"/>
      <c r="AL226" s="261"/>
      <c r="AM226" s="261"/>
      <c r="AN226" s="261"/>
      <c r="AO226" s="261"/>
      <c r="AP226" s="264"/>
      <c r="AQ226" s="270"/>
      <c r="AR226" s="263"/>
      <c r="AS226" s="263"/>
      <c r="AT226" s="263"/>
      <c r="AU226" s="263"/>
      <c r="AV226" s="263"/>
      <c r="AW226" s="263"/>
      <c r="AX226" s="263"/>
      <c r="AY226" s="263"/>
    </row>
    <row r="227" spans="5:51"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  <c r="AA227" s="261"/>
      <c r="AB227" s="261"/>
      <c r="AC227" s="261"/>
      <c r="AD227" s="261"/>
      <c r="AE227" s="261"/>
      <c r="AF227" s="261"/>
      <c r="AG227" s="261"/>
      <c r="AH227" s="261"/>
      <c r="AI227" s="261"/>
      <c r="AJ227" s="261"/>
      <c r="AK227" s="261"/>
      <c r="AL227" s="261"/>
      <c r="AM227" s="261"/>
      <c r="AN227" s="261"/>
      <c r="AO227" s="261"/>
      <c r="AP227" s="264"/>
      <c r="AQ227" s="270"/>
      <c r="AR227" s="263"/>
      <c r="AS227" s="263"/>
      <c r="AT227" s="263"/>
      <c r="AU227" s="263"/>
      <c r="AV227" s="263"/>
      <c r="AW227" s="263"/>
      <c r="AX227" s="263"/>
      <c r="AY227" s="263"/>
    </row>
    <row r="228" spans="5:51"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  <c r="AA228" s="261"/>
      <c r="AB228" s="261"/>
      <c r="AC228" s="261"/>
      <c r="AD228" s="261"/>
      <c r="AE228" s="261"/>
      <c r="AF228" s="261"/>
      <c r="AG228" s="261"/>
      <c r="AH228" s="261"/>
      <c r="AI228" s="261"/>
      <c r="AJ228" s="261"/>
      <c r="AK228" s="261"/>
      <c r="AL228" s="261"/>
      <c r="AM228" s="261"/>
      <c r="AN228" s="261"/>
      <c r="AO228" s="261"/>
      <c r="AP228" s="264"/>
      <c r="AQ228" s="270"/>
      <c r="AR228" s="263"/>
      <c r="AS228" s="263"/>
      <c r="AT228" s="263"/>
      <c r="AU228" s="263"/>
      <c r="AV228" s="263"/>
      <c r="AW228" s="263"/>
      <c r="AX228" s="263"/>
      <c r="AY228" s="263"/>
    </row>
    <row r="229" spans="5:51">
      <c r="E229" s="261"/>
      <c r="F229" s="261"/>
      <c r="G229" s="261"/>
      <c r="H229" s="261"/>
      <c r="I229" s="261"/>
      <c r="J229" s="261"/>
      <c r="K229" s="261"/>
      <c r="L229" s="261"/>
      <c r="M229" s="261"/>
      <c r="N229" s="261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  <c r="AA229" s="261"/>
      <c r="AB229" s="261"/>
      <c r="AC229" s="261"/>
      <c r="AD229" s="261"/>
      <c r="AE229" s="261"/>
      <c r="AF229" s="261"/>
      <c r="AG229" s="261"/>
      <c r="AH229" s="261"/>
      <c r="AI229" s="261"/>
      <c r="AJ229" s="261"/>
      <c r="AK229" s="261"/>
      <c r="AL229" s="261"/>
      <c r="AM229" s="261"/>
      <c r="AN229" s="261"/>
      <c r="AO229" s="261"/>
      <c r="AP229" s="264"/>
      <c r="AQ229" s="270"/>
      <c r="AR229" s="263"/>
      <c r="AS229" s="263"/>
      <c r="AT229" s="263"/>
      <c r="AU229" s="263"/>
      <c r="AV229" s="263"/>
      <c r="AW229" s="263"/>
      <c r="AX229" s="263"/>
      <c r="AY229" s="263"/>
    </row>
    <row r="230" spans="5:51">
      <c r="E230" s="261"/>
      <c r="F230" s="261"/>
      <c r="G230" s="261"/>
      <c r="H230" s="261"/>
      <c r="I230" s="261"/>
      <c r="J230" s="261"/>
      <c r="K230" s="261"/>
      <c r="L230" s="261"/>
      <c r="M230" s="261"/>
      <c r="N230" s="261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  <c r="AA230" s="261"/>
      <c r="AB230" s="261"/>
      <c r="AC230" s="261"/>
      <c r="AD230" s="261"/>
      <c r="AE230" s="261"/>
      <c r="AF230" s="261"/>
      <c r="AG230" s="261"/>
      <c r="AH230" s="261"/>
      <c r="AI230" s="261"/>
      <c r="AJ230" s="261"/>
      <c r="AK230" s="261"/>
      <c r="AL230" s="261"/>
      <c r="AM230" s="261"/>
      <c r="AN230" s="261"/>
      <c r="AO230" s="261"/>
      <c r="AP230" s="264"/>
      <c r="AQ230" s="270"/>
      <c r="AR230" s="263"/>
      <c r="AS230" s="263"/>
      <c r="AT230" s="263"/>
      <c r="AU230" s="263"/>
      <c r="AV230" s="263"/>
      <c r="AW230" s="263"/>
      <c r="AX230" s="263"/>
      <c r="AY230" s="263"/>
    </row>
    <row r="231" spans="5:51">
      <c r="E231" s="261"/>
      <c r="F231" s="261"/>
      <c r="G231" s="261"/>
      <c r="H231" s="261"/>
      <c r="I231" s="261"/>
      <c r="J231" s="261"/>
      <c r="K231" s="261"/>
      <c r="L231" s="261"/>
      <c r="M231" s="261"/>
      <c r="N231" s="261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  <c r="AA231" s="261"/>
      <c r="AB231" s="261"/>
      <c r="AC231" s="261"/>
      <c r="AD231" s="261"/>
      <c r="AE231" s="261"/>
      <c r="AF231" s="261"/>
      <c r="AG231" s="261"/>
      <c r="AH231" s="261"/>
      <c r="AI231" s="261"/>
      <c r="AJ231" s="261"/>
      <c r="AK231" s="261"/>
      <c r="AL231" s="261"/>
      <c r="AM231" s="261"/>
      <c r="AN231" s="261"/>
      <c r="AO231" s="261"/>
      <c r="AP231" s="264"/>
      <c r="AQ231" s="270"/>
      <c r="AR231" s="263"/>
      <c r="AS231" s="263"/>
      <c r="AT231" s="263"/>
      <c r="AU231" s="263"/>
      <c r="AV231" s="263"/>
      <c r="AW231" s="263"/>
      <c r="AX231" s="263"/>
      <c r="AY231" s="263"/>
    </row>
    <row r="232" spans="5:51">
      <c r="E232" s="261"/>
      <c r="F232" s="261"/>
      <c r="G232" s="261"/>
      <c r="H232" s="261"/>
      <c r="I232" s="261"/>
      <c r="J232" s="261"/>
      <c r="K232" s="261"/>
      <c r="L232" s="261"/>
      <c r="M232" s="261"/>
      <c r="N232" s="261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  <c r="AA232" s="261"/>
      <c r="AB232" s="261"/>
      <c r="AC232" s="261"/>
      <c r="AD232" s="261"/>
      <c r="AE232" s="261"/>
      <c r="AF232" s="261"/>
      <c r="AG232" s="261"/>
      <c r="AH232" s="261"/>
      <c r="AI232" s="261"/>
      <c r="AJ232" s="261"/>
      <c r="AK232" s="261"/>
      <c r="AL232" s="261"/>
      <c r="AM232" s="261"/>
      <c r="AN232" s="261"/>
      <c r="AO232" s="261"/>
      <c r="AP232" s="264"/>
      <c r="AQ232" s="270"/>
      <c r="AR232" s="263"/>
      <c r="AS232" s="263"/>
      <c r="AT232" s="263"/>
      <c r="AU232" s="263"/>
      <c r="AV232" s="263"/>
      <c r="AW232" s="263"/>
      <c r="AX232" s="263"/>
      <c r="AY232" s="263"/>
    </row>
    <row r="233" spans="5:51">
      <c r="E233" s="261"/>
      <c r="F233" s="261"/>
      <c r="G233" s="261"/>
      <c r="H233" s="261"/>
      <c r="I233" s="261"/>
      <c r="J233" s="261"/>
      <c r="K233" s="261"/>
      <c r="L233" s="261"/>
      <c r="M233" s="261"/>
      <c r="N233" s="261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  <c r="AA233" s="261"/>
      <c r="AB233" s="261"/>
      <c r="AC233" s="261"/>
      <c r="AD233" s="261"/>
      <c r="AE233" s="261"/>
      <c r="AF233" s="261"/>
      <c r="AG233" s="261"/>
      <c r="AH233" s="261"/>
      <c r="AI233" s="261"/>
      <c r="AJ233" s="261"/>
      <c r="AK233" s="261"/>
      <c r="AL233" s="261"/>
      <c r="AM233" s="261"/>
      <c r="AN233" s="261"/>
      <c r="AO233" s="261"/>
      <c r="AP233" s="264"/>
      <c r="AQ233" s="270"/>
      <c r="AR233" s="263"/>
      <c r="AS233" s="263"/>
      <c r="AT233" s="263"/>
      <c r="AU233" s="263"/>
      <c r="AV233" s="263"/>
      <c r="AW233" s="263"/>
      <c r="AX233" s="263"/>
      <c r="AY233" s="263"/>
    </row>
    <row r="234" spans="5:51">
      <c r="E234" s="261"/>
      <c r="F234" s="261"/>
      <c r="G234" s="261"/>
      <c r="H234" s="261"/>
      <c r="I234" s="261"/>
      <c r="J234" s="261"/>
      <c r="K234" s="261"/>
      <c r="L234" s="261"/>
      <c r="M234" s="261"/>
      <c r="N234" s="261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  <c r="AA234" s="261"/>
      <c r="AB234" s="261"/>
      <c r="AC234" s="261"/>
      <c r="AD234" s="261"/>
      <c r="AE234" s="261"/>
      <c r="AF234" s="261"/>
      <c r="AG234" s="261"/>
      <c r="AH234" s="261"/>
      <c r="AI234" s="261"/>
      <c r="AJ234" s="261"/>
      <c r="AK234" s="261"/>
      <c r="AL234" s="261"/>
      <c r="AM234" s="261"/>
      <c r="AN234" s="261"/>
      <c r="AO234" s="261"/>
      <c r="AP234" s="264"/>
      <c r="AQ234" s="270"/>
      <c r="AR234" s="263"/>
      <c r="AS234" s="263"/>
      <c r="AT234" s="263"/>
      <c r="AU234" s="263"/>
      <c r="AV234" s="263"/>
      <c r="AW234" s="263"/>
      <c r="AX234" s="263"/>
      <c r="AY234" s="263"/>
    </row>
    <row r="235" spans="5:51">
      <c r="E235" s="261"/>
      <c r="F235" s="261"/>
      <c r="G235" s="261"/>
      <c r="H235" s="261"/>
      <c r="I235" s="261"/>
      <c r="J235" s="261"/>
      <c r="K235" s="261"/>
      <c r="L235" s="261"/>
      <c r="M235" s="261"/>
      <c r="N235" s="261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  <c r="AA235" s="261"/>
      <c r="AB235" s="261"/>
      <c r="AC235" s="261"/>
      <c r="AD235" s="261"/>
      <c r="AE235" s="261"/>
      <c r="AF235" s="261"/>
      <c r="AG235" s="261"/>
      <c r="AH235" s="261"/>
      <c r="AI235" s="261"/>
      <c r="AJ235" s="261"/>
      <c r="AK235" s="261"/>
      <c r="AL235" s="261"/>
      <c r="AM235" s="261"/>
      <c r="AN235" s="261"/>
      <c r="AO235" s="261"/>
      <c r="AP235" s="264"/>
      <c r="AQ235" s="270"/>
      <c r="AR235" s="263"/>
      <c r="AS235" s="263"/>
      <c r="AT235" s="263"/>
      <c r="AU235" s="263"/>
      <c r="AV235" s="263"/>
      <c r="AW235" s="263"/>
      <c r="AX235" s="263"/>
      <c r="AY235" s="263"/>
    </row>
    <row r="236" spans="5:51"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  <c r="AA236" s="261"/>
      <c r="AB236" s="261"/>
      <c r="AC236" s="261"/>
      <c r="AD236" s="261"/>
      <c r="AE236" s="261"/>
      <c r="AF236" s="261"/>
      <c r="AG236" s="261"/>
      <c r="AH236" s="261"/>
      <c r="AI236" s="261"/>
      <c r="AJ236" s="261"/>
      <c r="AK236" s="261"/>
      <c r="AL236" s="261"/>
      <c r="AM236" s="261"/>
      <c r="AN236" s="261"/>
      <c r="AO236" s="261"/>
      <c r="AP236" s="264"/>
      <c r="AQ236" s="270"/>
      <c r="AR236" s="263"/>
      <c r="AS236" s="263"/>
      <c r="AT236" s="263"/>
      <c r="AU236" s="263"/>
      <c r="AV236" s="263"/>
      <c r="AW236" s="263"/>
      <c r="AX236" s="263"/>
      <c r="AY236" s="263"/>
    </row>
    <row r="237" spans="5:51">
      <c r="E237" s="261"/>
      <c r="F237" s="261"/>
      <c r="G237" s="261"/>
      <c r="H237" s="261"/>
      <c r="I237" s="261"/>
      <c r="J237" s="261"/>
      <c r="K237" s="261"/>
      <c r="L237" s="261"/>
      <c r="M237" s="261"/>
      <c r="N237" s="261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  <c r="AA237" s="261"/>
      <c r="AB237" s="261"/>
      <c r="AC237" s="261"/>
      <c r="AD237" s="261"/>
      <c r="AE237" s="261"/>
      <c r="AF237" s="261"/>
      <c r="AG237" s="261"/>
      <c r="AH237" s="261"/>
      <c r="AI237" s="261"/>
      <c r="AJ237" s="261"/>
      <c r="AK237" s="261"/>
      <c r="AL237" s="261"/>
      <c r="AM237" s="261"/>
      <c r="AN237" s="261"/>
      <c r="AO237" s="261"/>
      <c r="AP237" s="264"/>
      <c r="AQ237" s="270"/>
      <c r="AR237" s="263"/>
      <c r="AS237" s="263"/>
      <c r="AT237" s="263"/>
      <c r="AU237" s="263"/>
      <c r="AV237" s="263"/>
      <c r="AW237" s="263"/>
      <c r="AX237" s="263"/>
      <c r="AY237" s="263"/>
    </row>
    <row r="238" spans="5:51">
      <c r="E238" s="261"/>
      <c r="F238" s="261"/>
      <c r="G238" s="261"/>
      <c r="H238" s="261"/>
      <c r="I238" s="261"/>
      <c r="J238" s="261"/>
      <c r="K238" s="261"/>
      <c r="L238" s="261"/>
      <c r="M238" s="261"/>
      <c r="N238" s="261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  <c r="AA238" s="261"/>
      <c r="AB238" s="261"/>
      <c r="AC238" s="261"/>
      <c r="AD238" s="261"/>
      <c r="AE238" s="261"/>
      <c r="AF238" s="261"/>
      <c r="AG238" s="261"/>
      <c r="AH238" s="261"/>
      <c r="AI238" s="261"/>
      <c r="AJ238" s="261"/>
      <c r="AK238" s="261"/>
      <c r="AL238" s="261"/>
      <c r="AM238" s="261"/>
      <c r="AN238" s="261"/>
      <c r="AO238" s="261"/>
      <c r="AP238" s="264"/>
      <c r="AQ238" s="270"/>
      <c r="AR238" s="263"/>
      <c r="AS238" s="263"/>
      <c r="AT238" s="263"/>
      <c r="AU238" s="263"/>
      <c r="AV238" s="263"/>
      <c r="AW238" s="263"/>
      <c r="AX238" s="263"/>
      <c r="AY238" s="263"/>
    </row>
    <row r="239" spans="5:51"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  <c r="AA239" s="261"/>
      <c r="AB239" s="261"/>
      <c r="AC239" s="261"/>
      <c r="AD239" s="261"/>
      <c r="AE239" s="261"/>
      <c r="AF239" s="261"/>
      <c r="AG239" s="261"/>
      <c r="AH239" s="261"/>
      <c r="AI239" s="261"/>
      <c r="AJ239" s="261"/>
      <c r="AK239" s="261"/>
      <c r="AL239" s="261"/>
      <c r="AM239" s="261"/>
      <c r="AN239" s="261"/>
      <c r="AO239" s="261"/>
      <c r="AP239" s="264"/>
      <c r="AQ239" s="270"/>
      <c r="AR239" s="263"/>
      <c r="AS239" s="263"/>
      <c r="AT239" s="263"/>
      <c r="AU239" s="263"/>
      <c r="AV239" s="263"/>
      <c r="AW239" s="263"/>
      <c r="AX239" s="263"/>
      <c r="AY239" s="263"/>
    </row>
    <row r="240" spans="5:51">
      <c r="E240" s="261"/>
      <c r="F240" s="261"/>
      <c r="G240" s="261"/>
      <c r="H240" s="261"/>
      <c r="I240" s="261"/>
      <c r="J240" s="261"/>
      <c r="K240" s="261"/>
      <c r="L240" s="261"/>
      <c r="M240" s="261"/>
      <c r="N240" s="261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  <c r="AA240" s="261"/>
      <c r="AB240" s="261"/>
      <c r="AC240" s="261"/>
      <c r="AD240" s="261"/>
      <c r="AE240" s="261"/>
      <c r="AF240" s="261"/>
      <c r="AG240" s="261"/>
      <c r="AH240" s="261"/>
      <c r="AI240" s="261"/>
      <c r="AJ240" s="261"/>
      <c r="AK240" s="261"/>
      <c r="AL240" s="261"/>
      <c r="AM240" s="261"/>
      <c r="AN240" s="261"/>
      <c r="AO240" s="261"/>
      <c r="AP240" s="264"/>
      <c r="AQ240" s="270"/>
      <c r="AR240" s="263"/>
      <c r="AS240" s="263"/>
      <c r="AT240" s="263"/>
      <c r="AU240" s="263"/>
      <c r="AV240" s="263"/>
      <c r="AW240" s="263"/>
      <c r="AX240" s="263"/>
      <c r="AY240" s="263"/>
    </row>
    <row r="241" spans="5:51">
      <c r="E241" s="261"/>
      <c r="F241" s="261"/>
      <c r="G241" s="261"/>
      <c r="H241" s="261"/>
      <c r="I241" s="261"/>
      <c r="J241" s="261"/>
      <c r="K241" s="261"/>
      <c r="L241" s="261"/>
      <c r="M241" s="261"/>
      <c r="N241" s="261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  <c r="AA241" s="261"/>
      <c r="AB241" s="261"/>
      <c r="AC241" s="261"/>
      <c r="AD241" s="261"/>
      <c r="AE241" s="261"/>
      <c r="AF241" s="261"/>
      <c r="AG241" s="261"/>
      <c r="AH241" s="261"/>
      <c r="AI241" s="261"/>
      <c r="AJ241" s="261"/>
      <c r="AK241" s="261"/>
      <c r="AL241" s="261"/>
      <c r="AM241" s="261"/>
      <c r="AN241" s="261"/>
      <c r="AO241" s="261"/>
      <c r="AP241" s="264"/>
      <c r="AQ241" s="270"/>
      <c r="AR241" s="263"/>
      <c r="AS241" s="263"/>
      <c r="AT241" s="263"/>
      <c r="AU241" s="263"/>
      <c r="AV241" s="263"/>
      <c r="AW241" s="263"/>
      <c r="AX241" s="263"/>
      <c r="AY241" s="263"/>
    </row>
    <row r="242" spans="5:51">
      <c r="E242" s="261"/>
      <c r="F242" s="261"/>
      <c r="G242" s="261"/>
      <c r="H242" s="261"/>
      <c r="I242" s="261"/>
      <c r="J242" s="261"/>
      <c r="K242" s="261"/>
      <c r="L242" s="261"/>
      <c r="M242" s="261"/>
      <c r="N242" s="261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  <c r="AA242" s="261"/>
      <c r="AB242" s="261"/>
      <c r="AC242" s="261"/>
      <c r="AD242" s="261"/>
      <c r="AE242" s="261"/>
      <c r="AF242" s="261"/>
      <c r="AG242" s="261"/>
      <c r="AH242" s="261"/>
      <c r="AI242" s="261"/>
      <c r="AJ242" s="261"/>
      <c r="AK242" s="261"/>
      <c r="AL242" s="261"/>
      <c r="AM242" s="261"/>
      <c r="AN242" s="261"/>
      <c r="AO242" s="261"/>
      <c r="AP242" s="264"/>
      <c r="AQ242" s="270"/>
      <c r="AR242" s="263"/>
      <c r="AS242" s="263"/>
      <c r="AT242" s="263"/>
      <c r="AU242" s="263"/>
      <c r="AV242" s="263"/>
      <c r="AW242" s="263"/>
      <c r="AX242" s="263"/>
      <c r="AY242" s="263"/>
    </row>
    <row r="243" spans="5:51">
      <c r="E243" s="261"/>
      <c r="F243" s="261"/>
      <c r="G243" s="261"/>
      <c r="H243" s="261"/>
      <c r="I243" s="261"/>
      <c r="J243" s="261"/>
      <c r="K243" s="261"/>
      <c r="L243" s="261"/>
      <c r="M243" s="261"/>
      <c r="N243" s="261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  <c r="AA243" s="261"/>
      <c r="AB243" s="261"/>
      <c r="AC243" s="261"/>
      <c r="AD243" s="261"/>
      <c r="AE243" s="261"/>
      <c r="AF243" s="261"/>
      <c r="AG243" s="261"/>
      <c r="AH243" s="261"/>
      <c r="AI243" s="261"/>
      <c r="AJ243" s="261"/>
      <c r="AK243" s="261"/>
      <c r="AL243" s="261"/>
      <c r="AM243" s="261"/>
      <c r="AN243" s="261"/>
      <c r="AO243" s="261"/>
      <c r="AP243" s="264"/>
      <c r="AQ243" s="270"/>
      <c r="AR243" s="263"/>
      <c r="AS243" s="263"/>
      <c r="AT243" s="263"/>
      <c r="AU243" s="263"/>
      <c r="AV243" s="263"/>
      <c r="AW243" s="263"/>
      <c r="AX243" s="263"/>
      <c r="AY243" s="263"/>
    </row>
    <row r="244" spans="5:51">
      <c r="E244" s="261"/>
      <c r="F244" s="261"/>
      <c r="G244" s="261"/>
      <c r="H244" s="261"/>
      <c r="I244" s="261"/>
      <c r="J244" s="261"/>
      <c r="K244" s="261"/>
      <c r="L244" s="261"/>
      <c r="M244" s="261"/>
      <c r="N244" s="261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  <c r="AA244" s="261"/>
      <c r="AB244" s="261"/>
      <c r="AC244" s="261"/>
      <c r="AD244" s="261"/>
      <c r="AE244" s="261"/>
      <c r="AF244" s="261"/>
      <c r="AG244" s="261"/>
      <c r="AH244" s="261"/>
      <c r="AI244" s="261"/>
      <c r="AJ244" s="261"/>
      <c r="AK244" s="261"/>
      <c r="AL244" s="261"/>
      <c r="AM244" s="261"/>
      <c r="AN244" s="261"/>
      <c r="AO244" s="261"/>
      <c r="AP244" s="264"/>
      <c r="AQ244" s="270"/>
      <c r="AR244" s="263"/>
      <c r="AS244" s="263"/>
      <c r="AT244" s="263"/>
      <c r="AU244" s="263"/>
      <c r="AV244" s="263"/>
      <c r="AW244" s="263"/>
      <c r="AX244" s="263"/>
      <c r="AY244" s="263"/>
    </row>
    <row r="245" spans="5:51">
      <c r="E245" s="261"/>
      <c r="F245" s="261"/>
      <c r="G245" s="261"/>
      <c r="H245" s="261"/>
      <c r="I245" s="261"/>
      <c r="J245" s="261"/>
      <c r="K245" s="261"/>
      <c r="L245" s="261"/>
      <c r="M245" s="261"/>
      <c r="N245" s="261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  <c r="AA245" s="261"/>
      <c r="AB245" s="261"/>
      <c r="AC245" s="261"/>
      <c r="AD245" s="261"/>
      <c r="AE245" s="261"/>
      <c r="AF245" s="261"/>
      <c r="AG245" s="261"/>
      <c r="AH245" s="261"/>
      <c r="AI245" s="261"/>
      <c r="AJ245" s="261"/>
      <c r="AK245" s="261"/>
      <c r="AL245" s="261"/>
      <c r="AM245" s="261"/>
      <c r="AN245" s="261"/>
      <c r="AO245" s="261"/>
      <c r="AP245" s="264"/>
      <c r="AQ245" s="270"/>
      <c r="AR245" s="263"/>
      <c r="AS245" s="263"/>
      <c r="AT245" s="263"/>
      <c r="AU245" s="263"/>
      <c r="AV245" s="263"/>
      <c r="AW245" s="263"/>
      <c r="AX245" s="263"/>
      <c r="AY245" s="263"/>
    </row>
    <row r="246" spans="5:51">
      <c r="E246" s="261"/>
      <c r="F246" s="261"/>
      <c r="G246" s="261"/>
      <c r="H246" s="261"/>
      <c r="I246" s="261"/>
      <c r="J246" s="261"/>
      <c r="K246" s="261"/>
      <c r="L246" s="261"/>
      <c r="M246" s="261"/>
      <c r="N246" s="261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  <c r="AA246" s="261"/>
      <c r="AB246" s="261"/>
      <c r="AC246" s="261"/>
      <c r="AD246" s="261"/>
      <c r="AE246" s="261"/>
      <c r="AF246" s="261"/>
      <c r="AG246" s="261"/>
      <c r="AH246" s="261"/>
      <c r="AI246" s="261"/>
      <c r="AJ246" s="261"/>
      <c r="AK246" s="261"/>
      <c r="AL246" s="261"/>
      <c r="AM246" s="261"/>
      <c r="AN246" s="261"/>
      <c r="AO246" s="261"/>
      <c r="AP246" s="264"/>
      <c r="AQ246" s="270"/>
      <c r="AR246" s="263"/>
      <c r="AS246" s="263"/>
      <c r="AT246" s="263"/>
      <c r="AU246" s="263"/>
      <c r="AV246" s="263"/>
      <c r="AW246" s="263"/>
      <c r="AX246" s="263"/>
      <c r="AY246" s="263"/>
    </row>
    <row r="247" spans="5:51">
      <c r="E247" s="261"/>
      <c r="F247" s="261"/>
      <c r="G247" s="261"/>
      <c r="H247" s="261"/>
      <c r="I247" s="261"/>
      <c r="J247" s="261"/>
      <c r="K247" s="261"/>
      <c r="L247" s="261"/>
      <c r="M247" s="261"/>
      <c r="N247" s="261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  <c r="AA247" s="261"/>
      <c r="AB247" s="261"/>
      <c r="AC247" s="261"/>
      <c r="AD247" s="261"/>
      <c r="AE247" s="261"/>
      <c r="AF247" s="261"/>
      <c r="AG247" s="261"/>
      <c r="AH247" s="261"/>
      <c r="AI247" s="261"/>
      <c r="AJ247" s="261"/>
      <c r="AK247" s="261"/>
      <c r="AL247" s="261"/>
      <c r="AM247" s="261"/>
      <c r="AN247" s="261"/>
      <c r="AO247" s="261"/>
      <c r="AP247" s="264"/>
      <c r="AQ247" s="270"/>
      <c r="AR247" s="263"/>
      <c r="AS247" s="263"/>
      <c r="AT247" s="263"/>
      <c r="AU247" s="263"/>
      <c r="AV247" s="263"/>
      <c r="AW247" s="263"/>
      <c r="AX247" s="263"/>
      <c r="AY247" s="263"/>
    </row>
    <row r="248" spans="5:51">
      <c r="E248" s="261"/>
      <c r="F248" s="261"/>
      <c r="G248" s="261"/>
      <c r="H248" s="261"/>
      <c r="I248" s="261"/>
      <c r="J248" s="261"/>
      <c r="K248" s="261"/>
      <c r="L248" s="261"/>
      <c r="M248" s="261"/>
      <c r="N248" s="261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  <c r="AA248" s="261"/>
      <c r="AB248" s="261"/>
      <c r="AC248" s="261"/>
      <c r="AD248" s="261"/>
      <c r="AE248" s="261"/>
      <c r="AF248" s="261"/>
      <c r="AG248" s="261"/>
      <c r="AH248" s="261"/>
      <c r="AI248" s="261"/>
      <c r="AJ248" s="261"/>
      <c r="AK248" s="261"/>
      <c r="AL248" s="261"/>
      <c r="AM248" s="261"/>
      <c r="AN248" s="261"/>
      <c r="AO248" s="261"/>
      <c r="AP248" s="264"/>
      <c r="AQ248" s="270"/>
      <c r="AR248" s="263"/>
      <c r="AS248" s="263"/>
      <c r="AT248" s="263"/>
      <c r="AU248" s="263"/>
      <c r="AV248" s="263"/>
      <c r="AW248" s="263"/>
      <c r="AX248" s="263"/>
      <c r="AY248" s="263"/>
    </row>
    <row r="249" spans="5:51">
      <c r="E249" s="261"/>
      <c r="F249" s="261"/>
      <c r="G249" s="261"/>
      <c r="H249" s="261"/>
      <c r="I249" s="261"/>
      <c r="J249" s="261"/>
      <c r="K249" s="261"/>
      <c r="L249" s="261"/>
      <c r="M249" s="261"/>
      <c r="N249" s="261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  <c r="AA249" s="261"/>
      <c r="AB249" s="261"/>
      <c r="AC249" s="261"/>
      <c r="AD249" s="261"/>
      <c r="AE249" s="261"/>
      <c r="AF249" s="261"/>
      <c r="AG249" s="261"/>
      <c r="AH249" s="261"/>
      <c r="AI249" s="261"/>
      <c r="AJ249" s="261"/>
      <c r="AK249" s="261"/>
      <c r="AL249" s="261"/>
      <c r="AM249" s="261"/>
      <c r="AN249" s="261"/>
      <c r="AO249" s="261"/>
      <c r="AP249" s="264"/>
      <c r="AQ249" s="270"/>
      <c r="AR249" s="263"/>
      <c r="AS249" s="263"/>
      <c r="AT249" s="263"/>
      <c r="AU249" s="263"/>
      <c r="AV249" s="263"/>
      <c r="AW249" s="263"/>
      <c r="AX249" s="263"/>
      <c r="AY249" s="263"/>
    </row>
    <row r="250" spans="5:51">
      <c r="E250" s="261"/>
      <c r="F250" s="261"/>
      <c r="G250" s="261"/>
      <c r="H250" s="261"/>
      <c r="I250" s="261"/>
      <c r="J250" s="261"/>
      <c r="K250" s="261"/>
      <c r="L250" s="261"/>
      <c r="M250" s="261"/>
      <c r="N250" s="261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  <c r="AA250" s="261"/>
      <c r="AB250" s="261"/>
      <c r="AC250" s="261"/>
      <c r="AD250" s="261"/>
      <c r="AE250" s="261"/>
      <c r="AF250" s="261"/>
      <c r="AG250" s="261"/>
      <c r="AH250" s="261"/>
      <c r="AI250" s="261"/>
      <c r="AJ250" s="261"/>
      <c r="AK250" s="261"/>
      <c r="AL250" s="261"/>
      <c r="AM250" s="261"/>
      <c r="AN250" s="261"/>
      <c r="AO250" s="261"/>
      <c r="AP250" s="264"/>
      <c r="AQ250" s="270"/>
      <c r="AR250" s="263"/>
      <c r="AS250" s="263"/>
      <c r="AT250" s="263"/>
      <c r="AU250" s="263"/>
      <c r="AV250" s="263"/>
      <c r="AW250" s="263"/>
      <c r="AX250" s="263"/>
      <c r="AY250" s="263"/>
    </row>
    <row r="251" spans="5:51">
      <c r="E251" s="261"/>
      <c r="F251" s="261"/>
      <c r="G251" s="261"/>
      <c r="H251" s="261"/>
      <c r="I251" s="261"/>
      <c r="J251" s="261"/>
      <c r="K251" s="261"/>
      <c r="L251" s="261"/>
      <c r="M251" s="261"/>
      <c r="N251" s="261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  <c r="AA251" s="261"/>
      <c r="AB251" s="261"/>
      <c r="AC251" s="261"/>
      <c r="AD251" s="261"/>
      <c r="AE251" s="261"/>
      <c r="AF251" s="261"/>
      <c r="AG251" s="261"/>
      <c r="AH251" s="261"/>
      <c r="AI251" s="261"/>
      <c r="AJ251" s="261"/>
      <c r="AK251" s="261"/>
      <c r="AL251" s="261"/>
      <c r="AM251" s="261"/>
      <c r="AN251" s="261"/>
      <c r="AO251" s="261"/>
      <c r="AP251" s="264"/>
      <c r="AQ251" s="270"/>
      <c r="AR251" s="263"/>
      <c r="AS251" s="263"/>
      <c r="AT251" s="263"/>
      <c r="AU251" s="263"/>
      <c r="AV251" s="263"/>
      <c r="AW251" s="263"/>
      <c r="AX251" s="263"/>
      <c r="AY251" s="263"/>
    </row>
    <row r="252" spans="5:51">
      <c r="E252" s="261"/>
      <c r="F252" s="261"/>
      <c r="G252" s="261"/>
      <c r="H252" s="261"/>
      <c r="I252" s="261"/>
      <c r="J252" s="261"/>
      <c r="K252" s="261"/>
      <c r="L252" s="261"/>
      <c r="M252" s="261"/>
      <c r="N252" s="261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  <c r="AA252" s="261"/>
      <c r="AB252" s="261"/>
      <c r="AC252" s="261"/>
      <c r="AD252" s="261"/>
      <c r="AE252" s="261"/>
      <c r="AF252" s="261"/>
      <c r="AG252" s="261"/>
      <c r="AH252" s="261"/>
      <c r="AI252" s="261"/>
      <c r="AJ252" s="261"/>
      <c r="AK252" s="261"/>
      <c r="AL252" s="261"/>
      <c r="AM252" s="261"/>
      <c r="AN252" s="261"/>
      <c r="AO252" s="261"/>
      <c r="AP252" s="264"/>
      <c r="AQ252" s="270"/>
      <c r="AR252" s="263"/>
      <c r="AS252" s="263"/>
      <c r="AT252" s="263"/>
      <c r="AU252" s="263"/>
      <c r="AV252" s="263"/>
      <c r="AW252" s="263"/>
      <c r="AX252" s="263"/>
      <c r="AY252" s="263"/>
    </row>
    <row r="253" spans="5:51">
      <c r="E253" s="261"/>
      <c r="F253" s="261"/>
      <c r="G253" s="261"/>
      <c r="H253" s="261"/>
      <c r="I253" s="261"/>
      <c r="J253" s="261"/>
      <c r="K253" s="261"/>
      <c r="L253" s="261"/>
      <c r="M253" s="261"/>
      <c r="N253" s="261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  <c r="AA253" s="261"/>
      <c r="AB253" s="261"/>
      <c r="AC253" s="261"/>
      <c r="AD253" s="261"/>
      <c r="AE253" s="261"/>
      <c r="AF253" s="261"/>
      <c r="AG253" s="261"/>
      <c r="AH253" s="261"/>
      <c r="AI253" s="261"/>
      <c r="AJ253" s="261"/>
      <c r="AK253" s="261"/>
      <c r="AL253" s="261"/>
      <c r="AM253" s="261"/>
      <c r="AN253" s="261"/>
      <c r="AO253" s="261"/>
      <c r="AP253" s="264"/>
      <c r="AQ253" s="270"/>
      <c r="AR253" s="263"/>
      <c r="AS253" s="263"/>
      <c r="AT253" s="263"/>
      <c r="AU253" s="263"/>
      <c r="AV253" s="263"/>
      <c r="AW253" s="263"/>
      <c r="AX253" s="263"/>
      <c r="AY253" s="263"/>
    </row>
    <row r="254" spans="5:51">
      <c r="E254" s="261"/>
      <c r="F254" s="261"/>
      <c r="G254" s="261"/>
      <c r="H254" s="261"/>
      <c r="I254" s="261"/>
      <c r="J254" s="261"/>
      <c r="K254" s="261"/>
      <c r="L254" s="261"/>
      <c r="M254" s="261"/>
      <c r="N254" s="261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  <c r="AA254" s="261"/>
      <c r="AB254" s="261"/>
      <c r="AC254" s="261"/>
      <c r="AD254" s="261"/>
      <c r="AE254" s="261"/>
      <c r="AF254" s="261"/>
      <c r="AG254" s="261"/>
      <c r="AH254" s="261"/>
      <c r="AI254" s="261"/>
      <c r="AJ254" s="261"/>
      <c r="AK254" s="261"/>
      <c r="AL254" s="261"/>
      <c r="AM254" s="261"/>
      <c r="AN254" s="261"/>
      <c r="AO254" s="261"/>
      <c r="AP254" s="264"/>
      <c r="AQ254" s="270"/>
      <c r="AR254" s="263"/>
      <c r="AS254" s="263"/>
      <c r="AT254" s="263"/>
      <c r="AU254" s="263"/>
      <c r="AV254" s="263"/>
      <c r="AW254" s="263"/>
      <c r="AX254" s="263"/>
      <c r="AY254" s="263"/>
    </row>
    <row r="255" spans="5:51">
      <c r="E255" s="261"/>
      <c r="F255" s="261"/>
      <c r="G255" s="261"/>
      <c r="H255" s="261"/>
      <c r="I255" s="261"/>
      <c r="J255" s="261"/>
      <c r="K255" s="261"/>
      <c r="L255" s="261"/>
      <c r="M255" s="261"/>
      <c r="N255" s="261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  <c r="AA255" s="261"/>
      <c r="AB255" s="261"/>
      <c r="AC255" s="261"/>
      <c r="AD255" s="261"/>
      <c r="AE255" s="261"/>
      <c r="AF255" s="261"/>
      <c r="AG255" s="261"/>
      <c r="AH255" s="261"/>
      <c r="AI255" s="261"/>
      <c r="AJ255" s="261"/>
      <c r="AK255" s="261"/>
      <c r="AL255" s="261"/>
      <c r="AM255" s="261"/>
      <c r="AN255" s="261"/>
      <c r="AO255" s="261"/>
      <c r="AP255" s="264"/>
      <c r="AQ255" s="270"/>
      <c r="AR255" s="263"/>
      <c r="AS255" s="263"/>
      <c r="AT255" s="263"/>
      <c r="AU255" s="263"/>
      <c r="AV255" s="263"/>
      <c r="AW255" s="263"/>
      <c r="AX255" s="263"/>
      <c r="AY255" s="263"/>
    </row>
    <row r="256" spans="5:51">
      <c r="E256" s="261"/>
      <c r="F256" s="261"/>
      <c r="G256" s="261"/>
      <c r="H256" s="261"/>
      <c r="I256" s="261"/>
      <c r="J256" s="261"/>
      <c r="K256" s="261"/>
      <c r="L256" s="261"/>
      <c r="M256" s="261"/>
      <c r="N256" s="261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  <c r="AA256" s="261"/>
      <c r="AB256" s="261"/>
      <c r="AC256" s="261"/>
      <c r="AD256" s="261"/>
      <c r="AE256" s="261"/>
      <c r="AF256" s="261"/>
      <c r="AG256" s="261"/>
      <c r="AH256" s="261"/>
      <c r="AI256" s="261"/>
      <c r="AJ256" s="261"/>
      <c r="AK256" s="261"/>
      <c r="AL256" s="261"/>
      <c r="AM256" s="261"/>
      <c r="AN256" s="261"/>
      <c r="AO256" s="261"/>
      <c r="AP256" s="264"/>
      <c r="AQ256" s="270"/>
      <c r="AR256" s="263"/>
      <c r="AS256" s="263"/>
      <c r="AT256" s="263"/>
      <c r="AU256" s="263"/>
      <c r="AV256" s="263"/>
      <c r="AW256" s="263"/>
      <c r="AX256" s="263"/>
      <c r="AY256" s="263"/>
    </row>
    <row r="257" spans="5:51">
      <c r="E257" s="261"/>
      <c r="F257" s="261"/>
      <c r="G257" s="261"/>
      <c r="H257" s="261"/>
      <c r="I257" s="261"/>
      <c r="J257" s="261"/>
      <c r="K257" s="261"/>
      <c r="L257" s="261"/>
      <c r="M257" s="261"/>
      <c r="N257" s="261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  <c r="AA257" s="261"/>
      <c r="AB257" s="261"/>
      <c r="AC257" s="261"/>
      <c r="AD257" s="261"/>
      <c r="AE257" s="261"/>
      <c r="AF257" s="261"/>
      <c r="AG257" s="261"/>
      <c r="AH257" s="261"/>
      <c r="AI257" s="261"/>
      <c r="AJ257" s="261"/>
      <c r="AK257" s="261"/>
      <c r="AL257" s="261"/>
      <c r="AM257" s="261"/>
      <c r="AN257" s="261"/>
      <c r="AO257" s="261"/>
      <c r="AP257" s="264"/>
      <c r="AQ257" s="270"/>
      <c r="AR257" s="263"/>
      <c r="AS257" s="263"/>
      <c r="AT257" s="263"/>
      <c r="AU257" s="263"/>
      <c r="AV257" s="263"/>
      <c r="AW257" s="263"/>
      <c r="AX257" s="263"/>
      <c r="AY257" s="263"/>
    </row>
    <row r="258" spans="5:51">
      <c r="E258" s="261"/>
      <c r="F258" s="261"/>
      <c r="G258" s="261"/>
      <c r="H258" s="261"/>
      <c r="I258" s="261"/>
      <c r="J258" s="261"/>
      <c r="K258" s="261"/>
      <c r="L258" s="261"/>
      <c r="M258" s="261"/>
      <c r="N258" s="261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  <c r="AA258" s="261"/>
      <c r="AB258" s="261"/>
      <c r="AC258" s="261"/>
      <c r="AD258" s="261"/>
      <c r="AE258" s="261"/>
      <c r="AF258" s="261"/>
      <c r="AG258" s="261"/>
      <c r="AH258" s="261"/>
      <c r="AI258" s="261"/>
      <c r="AJ258" s="261"/>
      <c r="AK258" s="261"/>
      <c r="AL258" s="261"/>
      <c r="AM258" s="261"/>
      <c r="AN258" s="261"/>
      <c r="AO258" s="261"/>
      <c r="AP258" s="264"/>
      <c r="AQ258" s="270"/>
      <c r="AR258" s="263"/>
      <c r="AS258" s="263"/>
      <c r="AT258" s="263"/>
      <c r="AU258" s="263"/>
      <c r="AV258" s="263"/>
      <c r="AW258" s="263"/>
      <c r="AX258" s="263"/>
      <c r="AY258" s="263"/>
    </row>
    <row r="259" spans="5:51">
      <c r="E259" s="261"/>
      <c r="F259" s="261"/>
      <c r="G259" s="261"/>
      <c r="H259" s="261"/>
      <c r="I259" s="261"/>
      <c r="J259" s="261"/>
      <c r="K259" s="261"/>
      <c r="L259" s="261"/>
      <c r="M259" s="261"/>
      <c r="N259" s="261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  <c r="AA259" s="261"/>
      <c r="AB259" s="261"/>
      <c r="AC259" s="261"/>
      <c r="AD259" s="261"/>
      <c r="AE259" s="261"/>
      <c r="AF259" s="261"/>
      <c r="AG259" s="261"/>
      <c r="AH259" s="261"/>
      <c r="AI259" s="261"/>
      <c r="AJ259" s="261"/>
      <c r="AK259" s="261"/>
      <c r="AL259" s="261"/>
      <c r="AM259" s="261"/>
      <c r="AN259" s="261"/>
      <c r="AO259" s="261"/>
      <c r="AP259" s="264"/>
      <c r="AQ259" s="270"/>
      <c r="AR259" s="263"/>
      <c r="AS259" s="263"/>
      <c r="AT259" s="263"/>
      <c r="AU259" s="263"/>
      <c r="AV259" s="263"/>
      <c r="AW259" s="263"/>
      <c r="AX259" s="263"/>
      <c r="AY259" s="263"/>
    </row>
    <row r="260" spans="5:51">
      <c r="E260" s="261"/>
      <c r="F260" s="261"/>
      <c r="G260" s="261"/>
      <c r="H260" s="261"/>
      <c r="I260" s="261"/>
      <c r="J260" s="261"/>
      <c r="K260" s="261"/>
      <c r="L260" s="261"/>
      <c r="M260" s="261"/>
      <c r="N260" s="261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  <c r="AA260" s="261"/>
      <c r="AB260" s="261"/>
      <c r="AC260" s="261"/>
      <c r="AD260" s="261"/>
      <c r="AE260" s="261"/>
      <c r="AF260" s="261"/>
      <c r="AG260" s="261"/>
      <c r="AH260" s="261"/>
      <c r="AI260" s="261"/>
      <c r="AJ260" s="261"/>
      <c r="AK260" s="261"/>
      <c r="AL260" s="261"/>
      <c r="AM260" s="261"/>
      <c r="AN260" s="261"/>
      <c r="AO260" s="261"/>
      <c r="AP260" s="264"/>
      <c r="AQ260" s="270"/>
      <c r="AR260" s="263"/>
      <c r="AS260" s="263"/>
      <c r="AT260" s="263"/>
      <c r="AU260" s="263"/>
      <c r="AV260" s="263"/>
      <c r="AW260" s="263"/>
      <c r="AX260" s="263"/>
      <c r="AY260" s="263"/>
    </row>
    <row r="261" spans="5:51">
      <c r="E261" s="261"/>
      <c r="F261" s="261"/>
      <c r="G261" s="261"/>
      <c r="H261" s="261"/>
      <c r="I261" s="261"/>
      <c r="J261" s="261"/>
      <c r="K261" s="261"/>
      <c r="L261" s="261"/>
      <c r="M261" s="261"/>
      <c r="N261" s="261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  <c r="AA261" s="261"/>
      <c r="AB261" s="261"/>
      <c r="AC261" s="261"/>
      <c r="AD261" s="261"/>
      <c r="AE261" s="261"/>
      <c r="AF261" s="261"/>
      <c r="AG261" s="261"/>
      <c r="AH261" s="261"/>
      <c r="AI261" s="261"/>
      <c r="AJ261" s="261"/>
      <c r="AK261" s="261"/>
      <c r="AL261" s="261"/>
      <c r="AM261" s="261"/>
      <c r="AN261" s="261"/>
      <c r="AO261" s="261"/>
      <c r="AP261" s="264"/>
      <c r="AQ261" s="270"/>
      <c r="AR261" s="263"/>
      <c r="AS261" s="263"/>
      <c r="AT261" s="263"/>
      <c r="AU261" s="263"/>
      <c r="AV261" s="263"/>
      <c r="AW261" s="263"/>
      <c r="AX261" s="263"/>
      <c r="AY261" s="263"/>
    </row>
    <row r="262" spans="5:51">
      <c r="E262" s="261"/>
      <c r="F262" s="261"/>
      <c r="G262" s="261"/>
      <c r="H262" s="261"/>
      <c r="I262" s="261"/>
      <c r="J262" s="261"/>
      <c r="K262" s="261"/>
      <c r="L262" s="261"/>
      <c r="M262" s="261"/>
      <c r="N262" s="261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  <c r="AA262" s="261"/>
      <c r="AB262" s="261"/>
      <c r="AC262" s="261"/>
      <c r="AD262" s="261"/>
      <c r="AE262" s="261"/>
      <c r="AF262" s="261"/>
      <c r="AG262" s="261"/>
      <c r="AH262" s="261"/>
      <c r="AI262" s="261"/>
      <c r="AJ262" s="261"/>
      <c r="AK262" s="261"/>
      <c r="AL262" s="261"/>
      <c r="AM262" s="261"/>
      <c r="AN262" s="261"/>
      <c r="AO262" s="261"/>
      <c r="AP262" s="264"/>
      <c r="AQ262" s="270"/>
      <c r="AR262" s="263"/>
      <c r="AS262" s="263"/>
      <c r="AT262" s="263"/>
      <c r="AU262" s="263"/>
      <c r="AV262" s="263"/>
      <c r="AW262" s="263"/>
      <c r="AX262" s="263"/>
      <c r="AY262" s="263"/>
    </row>
    <row r="263" spans="5:51">
      <c r="E263" s="261"/>
      <c r="F263" s="261"/>
      <c r="G263" s="261"/>
      <c r="H263" s="261"/>
      <c r="I263" s="261"/>
      <c r="J263" s="261"/>
      <c r="K263" s="261"/>
      <c r="L263" s="261"/>
      <c r="M263" s="261"/>
      <c r="N263" s="261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  <c r="AA263" s="261"/>
      <c r="AB263" s="261"/>
      <c r="AC263" s="261"/>
      <c r="AD263" s="261"/>
      <c r="AE263" s="261"/>
      <c r="AF263" s="261"/>
      <c r="AG263" s="261"/>
      <c r="AH263" s="261"/>
      <c r="AI263" s="261"/>
      <c r="AJ263" s="261"/>
      <c r="AK263" s="261"/>
      <c r="AL263" s="261"/>
      <c r="AM263" s="261"/>
      <c r="AN263" s="261"/>
      <c r="AO263" s="261"/>
      <c r="AP263" s="264"/>
      <c r="AQ263" s="270"/>
      <c r="AR263" s="263"/>
      <c r="AS263" s="263"/>
      <c r="AT263" s="263"/>
      <c r="AU263" s="263"/>
      <c r="AV263" s="263"/>
      <c r="AW263" s="263"/>
      <c r="AX263" s="263"/>
      <c r="AY263" s="263"/>
    </row>
    <row r="264" spans="5:51">
      <c r="E264" s="261"/>
      <c r="F264" s="261"/>
      <c r="G264" s="261"/>
      <c r="H264" s="261"/>
      <c r="I264" s="261"/>
      <c r="J264" s="261"/>
      <c r="K264" s="261"/>
      <c r="L264" s="261"/>
      <c r="M264" s="261"/>
      <c r="N264" s="261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  <c r="AA264" s="261"/>
      <c r="AB264" s="261"/>
      <c r="AC264" s="261"/>
      <c r="AD264" s="261"/>
      <c r="AE264" s="261"/>
      <c r="AF264" s="261"/>
      <c r="AG264" s="261"/>
      <c r="AH264" s="261"/>
      <c r="AI264" s="261"/>
      <c r="AJ264" s="261"/>
      <c r="AK264" s="261"/>
      <c r="AL264" s="261"/>
      <c r="AM264" s="261"/>
      <c r="AN264" s="261"/>
      <c r="AO264" s="261"/>
      <c r="AP264" s="264"/>
      <c r="AQ264" s="270"/>
      <c r="AR264" s="263"/>
      <c r="AS264" s="263"/>
      <c r="AT264" s="263"/>
      <c r="AU264" s="263"/>
      <c r="AV264" s="263"/>
      <c r="AW264" s="263"/>
      <c r="AX264" s="263"/>
      <c r="AY264" s="263"/>
    </row>
    <row r="265" spans="5:51">
      <c r="E265" s="261"/>
      <c r="F265" s="261"/>
      <c r="G265" s="261"/>
      <c r="H265" s="261"/>
      <c r="I265" s="261"/>
      <c r="J265" s="261"/>
      <c r="K265" s="261"/>
      <c r="L265" s="261"/>
      <c r="M265" s="261"/>
      <c r="N265" s="261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  <c r="AA265" s="261"/>
      <c r="AB265" s="261"/>
      <c r="AC265" s="261"/>
      <c r="AD265" s="261"/>
      <c r="AE265" s="261"/>
      <c r="AF265" s="261"/>
      <c r="AG265" s="261"/>
      <c r="AH265" s="261"/>
      <c r="AI265" s="261"/>
      <c r="AJ265" s="261"/>
      <c r="AK265" s="261"/>
      <c r="AL265" s="261"/>
      <c r="AM265" s="261"/>
      <c r="AN265" s="261"/>
      <c r="AO265" s="261"/>
      <c r="AP265" s="264"/>
      <c r="AQ265" s="270"/>
      <c r="AR265" s="263"/>
      <c r="AS265" s="263"/>
      <c r="AT265" s="263"/>
      <c r="AU265" s="263"/>
      <c r="AV265" s="263"/>
      <c r="AW265" s="263"/>
      <c r="AX265" s="263"/>
      <c r="AY265" s="263"/>
    </row>
    <row r="266" spans="5:51">
      <c r="E266" s="261"/>
      <c r="F266" s="261"/>
      <c r="G266" s="261"/>
      <c r="H266" s="261"/>
      <c r="I266" s="261"/>
      <c r="J266" s="261"/>
      <c r="K266" s="261"/>
      <c r="L266" s="261"/>
      <c r="M266" s="261"/>
      <c r="N266" s="261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  <c r="AA266" s="261"/>
      <c r="AB266" s="261"/>
      <c r="AC266" s="261"/>
      <c r="AD266" s="261"/>
      <c r="AE266" s="261"/>
      <c r="AF266" s="261"/>
      <c r="AG266" s="261"/>
      <c r="AH266" s="261"/>
      <c r="AI266" s="261"/>
      <c r="AJ266" s="261"/>
      <c r="AK266" s="261"/>
      <c r="AL266" s="261"/>
      <c r="AM266" s="261"/>
      <c r="AN266" s="261"/>
      <c r="AO266" s="261"/>
      <c r="AP266" s="264"/>
      <c r="AQ266" s="270"/>
      <c r="AR266" s="263"/>
      <c r="AS266" s="263"/>
      <c r="AT266" s="263"/>
      <c r="AU266" s="263"/>
      <c r="AV266" s="263"/>
      <c r="AW266" s="263"/>
      <c r="AX266" s="263"/>
      <c r="AY266" s="263"/>
    </row>
    <row r="267" spans="5:51">
      <c r="E267" s="261"/>
      <c r="F267" s="261"/>
      <c r="G267" s="261"/>
      <c r="H267" s="261"/>
      <c r="I267" s="261"/>
      <c r="J267" s="261"/>
      <c r="K267" s="261"/>
      <c r="L267" s="261"/>
      <c r="M267" s="261"/>
      <c r="N267" s="261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  <c r="AA267" s="261"/>
      <c r="AB267" s="261"/>
      <c r="AC267" s="261"/>
      <c r="AD267" s="261"/>
      <c r="AE267" s="261"/>
      <c r="AF267" s="261"/>
      <c r="AG267" s="261"/>
      <c r="AH267" s="261"/>
      <c r="AI267" s="261"/>
      <c r="AJ267" s="261"/>
      <c r="AK267" s="261"/>
      <c r="AL267" s="261"/>
      <c r="AM267" s="261"/>
      <c r="AN267" s="261"/>
      <c r="AO267" s="261"/>
      <c r="AP267" s="264"/>
      <c r="AQ267" s="270"/>
      <c r="AR267" s="263"/>
      <c r="AS267" s="263"/>
      <c r="AT267" s="263"/>
      <c r="AU267" s="263"/>
      <c r="AV267" s="263"/>
      <c r="AW267" s="263"/>
      <c r="AX267" s="263"/>
      <c r="AY267" s="263"/>
    </row>
    <row r="268" spans="5:51">
      <c r="E268" s="261"/>
      <c r="F268" s="261"/>
      <c r="G268" s="261"/>
      <c r="H268" s="261"/>
      <c r="I268" s="261"/>
      <c r="J268" s="261"/>
      <c r="K268" s="261"/>
      <c r="L268" s="261"/>
      <c r="M268" s="261"/>
      <c r="N268" s="261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  <c r="AA268" s="261"/>
      <c r="AB268" s="261"/>
      <c r="AC268" s="261"/>
      <c r="AD268" s="261"/>
      <c r="AE268" s="261"/>
      <c r="AF268" s="261"/>
      <c r="AG268" s="261"/>
      <c r="AH268" s="261"/>
      <c r="AI268" s="261"/>
      <c r="AJ268" s="261"/>
      <c r="AK268" s="261"/>
      <c r="AL268" s="261"/>
      <c r="AM268" s="261"/>
      <c r="AN268" s="261"/>
      <c r="AO268" s="261"/>
      <c r="AP268" s="264"/>
      <c r="AQ268" s="270"/>
      <c r="AR268" s="263"/>
      <c r="AS268" s="263"/>
      <c r="AT268" s="263"/>
      <c r="AU268" s="263"/>
      <c r="AV268" s="263"/>
      <c r="AW268" s="263"/>
      <c r="AX268" s="263"/>
      <c r="AY268" s="263"/>
    </row>
    <row r="269" spans="5:51">
      <c r="E269" s="261"/>
      <c r="F269" s="261"/>
      <c r="G269" s="261"/>
      <c r="H269" s="261"/>
      <c r="I269" s="261"/>
      <c r="J269" s="261"/>
      <c r="K269" s="261"/>
      <c r="L269" s="261"/>
      <c r="M269" s="261"/>
      <c r="N269" s="261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  <c r="AA269" s="261"/>
      <c r="AB269" s="261"/>
      <c r="AC269" s="261"/>
      <c r="AD269" s="261"/>
      <c r="AE269" s="261"/>
      <c r="AF269" s="261"/>
      <c r="AG269" s="261"/>
      <c r="AH269" s="261"/>
      <c r="AI269" s="261"/>
      <c r="AJ269" s="261"/>
      <c r="AK269" s="261"/>
      <c r="AL269" s="261"/>
      <c r="AM269" s="261"/>
      <c r="AN269" s="261"/>
      <c r="AO269" s="261"/>
      <c r="AP269" s="264"/>
      <c r="AQ269" s="270"/>
      <c r="AR269" s="263"/>
      <c r="AS269" s="263"/>
      <c r="AT269" s="263"/>
      <c r="AU269" s="263"/>
      <c r="AV269" s="263"/>
      <c r="AW269" s="263"/>
      <c r="AX269" s="263"/>
      <c r="AY269" s="263"/>
    </row>
    <row r="270" spans="5:51">
      <c r="E270" s="261"/>
      <c r="F270" s="261"/>
      <c r="G270" s="261"/>
      <c r="H270" s="261"/>
      <c r="I270" s="261"/>
      <c r="J270" s="261"/>
      <c r="K270" s="261"/>
      <c r="L270" s="261"/>
      <c r="M270" s="261"/>
      <c r="N270" s="261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  <c r="AA270" s="261"/>
      <c r="AB270" s="261"/>
      <c r="AC270" s="261"/>
      <c r="AD270" s="261"/>
      <c r="AE270" s="261"/>
      <c r="AF270" s="261"/>
      <c r="AG270" s="261"/>
      <c r="AH270" s="261"/>
      <c r="AI270" s="261"/>
      <c r="AJ270" s="261"/>
      <c r="AK270" s="261"/>
      <c r="AL270" s="261"/>
      <c r="AM270" s="261"/>
      <c r="AN270" s="261"/>
      <c r="AO270" s="261"/>
      <c r="AP270" s="264"/>
      <c r="AQ270" s="270"/>
      <c r="AR270" s="263"/>
      <c r="AS270" s="263"/>
      <c r="AT270" s="263"/>
      <c r="AU270" s="263"/>
      <c r="AV270" s="263"/>
      <c r="AW270" s="263"/>
      <c r="AX270" s="263"/>
      <c r="AY270" s="263"/>
    </row>
    <row r="271" spans="5:51">
      <c r="E271" s="261"/>
      <c r="F271" s="261"/>
      <c r="G271" s="261"/>
      <c r="H271" s="261"/>
      <c r="I271" s="261"/>
      <c r="J271" s="261"/>
      <c r="K271" s="261"/>
      <c r="L271" s="261"/>
      <c r="M271" s="261"/>
      <c r="N271" s="261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  <c r="AA271" s="261"/>
      <c r="AB271" s="261"/>
      <c r="AC271" s="261"/>
      <c r="AD271" s="261"/>
      <c r="AE271" s="261"/>
      <c r="AF271" s="261"/>
      <c r="AG271" s="261"/>
      <c r="AH271" s="261"/>
      <c r="AI271" s="261"/>
      <c r="AJ271" s="261"/>
      <c r="AK271" s="261"/>
      <c r="AL271" s="261"/>
      <c r="AM271" s="261"/>
      <c r="AN271" s="261"/>
      <c r="AO271" s="261"/>
      <c r="AP271" s="264"/>
      <c r="AQ271" s="270"/>
      <c r="AR271" s="263"/>
      <c r="AS271" s="263"/>
      <c r="AT271" s="263"/>
      <c r="AU271" s="263"/>
      <c r="AV271" s="263"/>
      <c r="AW271" s="263"/>
      <c r="AX271" s="263"/>
      <c r="AY271" s="263"/>
    </row>
    <row r="272" spans="5:51">
      <c r="E272" s="261"/>
      <c r="F272" s="261"/>
      <c r="G272" s="261"/>
      <c r="H272" s="261"/>
      <c r="I272" s="261"/>
      <c r="J272" s="261"/>
      <c r="K272" s="261"/>
      <c r="L272" s="261"/>
      <c r="M272" s="261"/>
      <c r="N272" s="261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  <c r="AA272" s="261"/>
      <c r="AB272" s="261"/>
      <c r="AC272" s="261"/>
      <c r="AD272" s="261"/>
      <c r="AE272" s="261"/>
      <c r="AF272" s="261"/>
      <c r="AG272" s="261"/>
      <c r="AH272" s="261"/>
      <c r="AI272" s="261"/>
      <c r="AJ272" s="261"/>
      <c r="AK272" s="261"/>
      <c r="AL272" s="261"/>
      <c r="AM272" s="261"/>
      <c r="AN272" s="261"/>
      <c r="AO272" s="261"/>
      <c r="AP272" s="264"/>
      <c r="AQ272" s="270"/>
      <c r="AR272" s="263"/>
      <c r="AS272" s="263"/>
      <c r="AT272" s="263"/>
      <c r="AU272" s="263"/>
      <c r="AV272" s="263"/>
      <c r="AW272" s="263"/>
      <c r="AX272" s="263"/>
      <c r="AY272" s="263"/>
    </row>
    <row r="273" spans="5:51">
      <c r="E273" s="261"/>
      <c r="F273" s="261"/>
      <c r="G273" s="261"/>
      <c r="H273" s="261"/>
      <c r="I273" s="261"/>
      <c r="J273" s="261"/>
      <c r="K273" s="261"/>
      <c r="L273" s="261"/>
      <c r="M273" s="261"/>
      <c r="N273" s="261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  <c r="AA273" s="261"/>
      <c r="AB273" s="261"/>
      <c r="AC273" s="261"/>
      <c r="AD273" s="261"/>
      <c r="AE273" s="261"/>
      <c r="AF273" s="261"/>
      <c r="AG273" s="261"/>
      <c r="AH273" s="261"/>
      <c r="AI273" s="261"/>
      <c r="AJ273" s="261"/>
      <c r="AK273" s="261"/>
      <c r="AL273" s="261"/>
      <c r="AM273" s="261"/>
      <c r="AN273" s="261"/>
      <c r="AO273" s="261"/>
      <c r="AP273" s="264"/>
      <c r="AQ273" s="270"/>
      <c r="AR273" s="263"/>
      <c r="AS273" s="263"/>
      <c r="AT273" s="263"/>
      <c r="AU273" s="263"/>
      <c r="AV273" s="263"/>
      <c r="AW273" s="263"/>
      <c r="AX273" s="263"/>
      <c r="AY273" s="263"/>
    </row>
    <row r="274" spans="5:51">
      <c r="E274" s="261"/>
      <c r="F274" s="261"/>
      <c r="G274" s="261"/>
      <c r="H274" s="261"/>
      <c r="I274" s="261"/>
      <c r="J274" s="261"/>
      <c r="K274" s="261"/>
      <c r="L274" s="261"/>
      <c r="M274" s="261"/>
      <c r="N274" s="261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  <c r="AA274" s="261"/>
      <c r="AB274" s="261"/>
      <c r="AC274" s="261"/>
      <c r="AD274" s="261"/>
      <c r="AE274" s="261"/>
      <c r="AF274" s="261"/>
      <c r="AG274" s="261"/>
      <c r="AH274" s="261"/>
      <c r="AI274" s="261"/>
      <c r="AJ274" s="261"/>
      <c r="AK274" s="261"/>
      <c r="AL274" s="261"/>
      <c r="AM274" s="261"/>
      <c r="AN274" s="261"/>
      <c r="AO274" s="261"/>
      <c r="AP274" s="264"/>
      <c r="AQ274" s="270"/>
      <c r="AR274" s="263"/>
      <c r="AS274" s="263"/>
      <c r="AT274" s="263"/>
      <c r="AU274" s="263"/>
      <c r="AV274" s="263"/>
      <c r="AW274" s="263"/>
      <c r="AX274" s="263"/>
      <c r="AY274" s="263"/>
    </row>
    <row r="275" spans="5:51">
      <c r="E275" s="261"/>
      <c r="F275" s="261"/>
      <c r="G275" s="261"/>
      <c r="H275" s="261"/>
      <c r="I275" s="261"/>
      <c r="J275" s="261"/>
      <c r="K275" s="261"/>
      <c r="L275" s="261"/>
      <c r="M275" s="261"/>
      <c r="N275" s="261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  <c r="AA275" s="261"/>
      <c r="AB275" s="261"/>
      <c r="AC275" s="261"/>
      <c r="AD275" s="261"/>
      <c r="AE275" s="261"/>
      <c r="AF275" s="261"/>
      <c r="AG275" s="261"/>
      <c r="AH275" s="261"/>
      <c r="AI275" s="261"/>
      <c r="AJ275" s="261"/>
      <c r="AK275" s="261"/>
      <c r="AL275" s="261"/>
      <c r="AM275" s="261"/>
      <c r="AN275" s="261"/>
      <c r="AO275" s="261"/>
      <c r="AP275" s="264"/>
      <c r="AQ275" s="270"/>
      <c r="AR275" s="263"/>
      <c r="AS275" s="263"/>
      <c r="AT275" s="263"/>
      <c r="AU275" s="263"/>
      <c r="AV275" s="263"/>
      <c r="AW275" s="263"/>
      <c r="AX275" s="263"/>
      <c r="AY275" s="263"/>
    </row>
    <row r="276" spans="5:51">
      <c r="E276" s="261"/>
      <c r="F276" s="261"/>
      <c r="G276" s="261"/>
      <c r="H276" s="261"/>
      <c r="I276" s="261"/>
      <c r="J276" s="261"/>
      <c r="K276" s="261"/>
      <c r="L276" s="261"/>
      <c r="M276" s="261"/>
      <c r="N276" s="261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  <c r="AA276" s="261"/>
      <c r="AB276" s="261"/>
      <c r="AC276" s="261"/>
      <c r="AD276" s="261"/>
      <c r="AE276" s="261"/>
      <c r="AF276" s="261"/>
      <c r="AG276" s="261"/>
      <c r="AH276" s="261"/>
      <c r="AI276" s="261"/>
      <c r="AJ276" s="261"/>
      <c r="AK276" s="261"/>
      <c r="AL276" s="261"/>
      <c r="AM276" s="261"/>
      <c r="AN276" s="261"/>
      <c r="AO276" s="261"/>
      <c r="AP276" s="264"/>
      <c r="AQ276" s="270"/>
      <c r="AR276" s="263"/>
      <c r="AS276" s="263"/>
      <c r="AT276" s="263"/>
      <c r="AU276" s="263"/>
      <c r="AV276" s="263"/>
      <c r="AW276" s="263"/>
      <c r="AX276" s="263"/>
      <c r="AY276" s="263"/>
    </row>
    <row r="277" spans="5:51">
      <c r="E277" s="261"/>
      <c r="F277" s="261"/>
      <c r="G277" s="261"/>
      <c r="H277" s="261"/>
      <c r="I277" s="261"/>
      <c r="J277" s="261"/>
      <c r="K277" s="261"/>
      <c r="L277" s="261"/>
      <c r="M277" s="261"/>
      <c r="N277" s="261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  <c r="AA277" s="261"/>
      <c r="AB277" s="261"/>
      <c r="AC277" s="261"/>
      <c r="AD277" s="261"/>
      <c r="AE277" s="261"/>
      <c r="AF277" s="261"/>
      <c r="AG277" s="261"/>
      <c r="AH277" s="261"/>
      <c r="AI277" s="261"/>
      <c r="AJ277" s="261"/>
      <c r="AK277" s="261"/>
      <c r="AL277" s="261"/>
      <c r="AM277" s="261"/>
      <c r="AN277" s="261"/>
      <c r="AO277" s="261"/>
      <c r="AP277" s="264"/>
      <c r="AQ277" s="270"/>
      <c r="AR277" s="263"/>
      <c r="AS277" s="263"/>
      <c r="AT277" s="263"/>
      <c r="AU277" s="263"/>
      <c r="AV277" s="263"/>
      <c r="AW277" s="263"/>
      <c r="AX277" s="263"/>
      <c r="AY277" s="263"/>
    </row>
    <row r="278" spans="5:51">
      <c r="E278" s="261"/>
      <c r="F278" s="261"/>
      <c r="G278" s="261"/>
      <c r="H278" s="261"/>
      <c r="I278" s="261"/>
      <c r="J278" s="261"/>
      <c r="K278" s="261"/>
      <c r="L278" s="261"/>
      <c r="M278" s="261"/>
      <c r="N278" s="261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  <c r="AA278" s="261"/>
      <c r="AB278" s="261"/>
      <c r="AC278" s="261"/>
      <c r="AD278" s="261"/>
      <c r="AE278" s="261"/>
      <c r="AF278" s="261"/>
      <c r="AG278" s="261"/>
      <c r="AH278" s="261"/>
      <c r="AI278" s="261"/>
      <c r="AJ278" s="261"/>
      <c r="AK278" s="261"/>
      <c r="AL278" s="261"/>
      <c r="AM278" s="261"/>
      <c r="AN278" s="261"/>
      <c r="AO278" s="261"/>
      <c r="AP278" s="264"/>
      <c r="AQ278" s="270"/>
      <c r="AR278" s="263"/>
      <c r="AS278" s="263"/>
      <c r="AT278" s="263"/>
      <c r="AU278" s="263"/>
      <c r="AV278" s="263"/>
      <c r="AW278" s="263"/>
      <c r="AX278" s="263"/>
      <c r="AY278" s="263"/>
    </row>
    <row r="279" spans="5:51">
      <c r="E279" s="261"/>
      <c r="F279" s="261"/>
      <c r="G279" s="261"/>
      <c r="H279" s="261"/>
      <c r="I279" s="261"/>
      <c r="J279" s="261"/>
      <c r="K279" s="261"/>
      <c r="L279" s="261"/>
      <c r="M279" s="261"/>
      <c r="N279" s="261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  <c r="AA279" s="261"/>
      <c r="AB279" s="261"/>
      <c r="AC279" s="261"/>
      <c r="AD279" s="261"/>
      <c r="AE279" s="261"/>
      <c r="AF279" s="261"/>
      <c r="AG279" s="261"/>
      <c r="AH279" s="261"/>
      <c r="AI279" s="261"/>
      <c r="AJ279" s="261"/>
      <c r="AK279" s="261"/>
      <c r="AL279" s="261"/>
      <c r="AM279" s="261"/>
      <c r="AN279" s="261"/>
      <c r="AO279" s="261"/>
      <c r="AP279" s="264"/>
      <c r="AQ279" s="270"/>
      <c r="AR279" s="263"/>
      <c r="AS279" s="263"/>
      <c r="AT279" s="263"/>
      <c r="AU279" s="263"/>
      <c r="AV279" s="263"/>
      <c r="AW279" s="263"/>
      <c r="AX279" s="263"/>
      <c r="AY279" s="263"/>
    </row>
    <row r="280" spans="5:51">
      <c r="E280" s="261"/>
      <c r="F280" s="261"/>
      <c r="G280" s="261"/>
      <c r="H280" s="261"/>
      <c r="I280" s="261"/>
      <c r="J280" s="261"/>
      <c r="K280" s="261"/>
      <c r="L280" s="261"/>
      <c r="M280" s="261"/>
      <c r="N280" s="261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  <c r="AA280" s="261"/>
      <c r="AB280" s="261"/>
      <c r="AC280" s="261"/>
      <c r="AD280" s="261"/>
      <c r="AE280" s="261"/>
      <c r="AF280" s="261"/>
      <c r="AG280" s="261"/>
      <c r="AH280" s="261"/>
      <c r="AI280" s="261"/>
      <c r="AJ280" s="261"/>
      <c r="AK280" s="261"/>
      <c r="AL280" s="261"/>
      <c r="AM280" s="261"/>
      <c r="AN280" s="261"/>
      <c r="AO280" s="261"/>
      <c r="AP280" s="264"/>
      <c r="AQ280" s="270"/>
      <c r="AR280" s="263"/>
      <c r="AS280" s="263"/>
      <c r="AT280" s="263"/>
      <c r="AU280" s="263"/>
      <c r="AV280" s="263"/>
      <c r="AW280" s="263"/>
      <c r="AX280" s="263"/>
      <c r="AY280" s="263"/>
    </row>
    <row r="281" spans="5:51">
      <c r="E281" s="261"/>
      <c r="F281" s="261"/>
      <c r="G281" s="261"/>
      <c r="H281" s="261"/>
      <c r="I281" s="261"/>
      <c r="J281" s="261"/>
      <c r="K281" s="261"/>
      <c r="L281" s="261"/>
      <c r="M281" s="261"/>
      <c r="N281" s="261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  <c r="AA281" s="261"/>
      <c r="AB281" s="261"/>
      <c r="AC281" s="261"/>
      <c r="AD281" s="261"/>
      <c r="AE281" s="261"/>
      <c r="AF281" s="261"/>
      <c r="AG281" s="261"/>
      <c r="AH281" s="261"/>
      <c r="AI281" s="261"/>
      <c r="AJ281" s="261"/>
      <c r="AK281" s="261"/>
      <c r="AL281" s="261"/>
      <c r="AM281" s="261"/>
      <c r="AN281" s="261"/>
      <c r="AO281" s="261"/>
      <c r="AP281" s="264"/>
      <c r="AQ281" s="270"/>
      <c r="AR281" s="263"/>
      <c r="AS281" s="263"/>
      <c r="AT281" s="263"/>
      <c r="AU281" s="263"/>
      <c r="AV281" s="263"/>
      <c r="AW281" s="263"/>
      <c r="AX281" s="263"/>
      <c r="AY281" s="263"/>
    </row>
    <row r="282" spans="5:51">
      <c r="E282" s="261"/>
      <c r="F282" s="261"/>
      <c r="G282" s="261"/>
      <c r="H282" s="261"/>
      <c r="I282" s="261"/>
      <c r="J282" s="261"/>
      <c r="K282" s="261"/>
      <c r="L282" s="261"/>
      <c r="M282" s="261"/>
      <c r="N282" s="261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  <c r="AA282" s="261"/>
      <c r="AB282" s="261"/>
      <c r="AC282" s="261"/>
      <c r="AD282" s="261"/>
      <c r="AE282" s="261"/>
      <c r="AF282" s="261"/>
      <c r="AG282" s="261"/>
      <c r="AH282" s="261"/>
      <c r="AI282" s="261"/>
      <c r="AJ282" s="261"/>
      <c r="AK282" s="261"/>
      <c r="AL282" s="261"/>
      <c r="AM282" s="261"/>
      <c r="AN282" s="261"/>
      <c r="AO282" s="261"/>
      <c r="AP282" s="264"/>
      <c r="AQ282" s="270"/>
      <c r="AR282" s="263"/>
      <c r="AS282" s="263"/>
      <c r="AT282" s="263"/>
      <c r="AU282" s="263"/>
      <c r="AV282" s="263"/>
      <c r="AW282" s="263"/>
      <c r="AX282" s="263"/>
      <c r="AY282" s="263"/>
    </row>
    <row r="283" spans="5:51">
      <c r="E283" s="261"/>
      <c r="F283" s="261"/>
      <c r="G283" s="261"/>
      <c r="H283" s="261"/>
      <c r="I283" s="261"/>
      <c r="J283" s="261"/>
      <c r="K283" s="261"/>
      <c r="L283" s="261"/>
      <c r="M283" s="261"/>
      <c r="N283" s="261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  <c r="AA283" s="261"/>
      <c r="AB283" s="261"/>
      <c r="AC283" s="261"/>
      <c r="AD283" s="261"/>
      <c r="AE283" s="261"/>
      <c r="AF283" s="261"/>
      <c r="AG283" s="261"/>
      <c r="AH283" s="261"/>
      <c r="AI283" s="261"/>
      <c r="AJ283" s="261"/>
      <c r="AK283" s="261"/>
      <c r="AL283" s="261"/>
      <c r="AM283" s="261"/>
      <c r="AN283" s="261"/>
      <c r="AO283" s="261"/>
      <c r="AP283" s="264"/>
      <c r="AQ283" s="270"/>
      <c r="AR283" s="263"/>
      <c r="AS283" s="263"/>
      <c r="AT283" s="263"/>
      <c r="AU283" s="263"/>
      <c r="AV283" s="263"/>
      <c r="AW283" s="263"/>
      <c r="AX283" s="263"/>
      <c r="AY283" s="263"/>
    </row>
    <row r="284" spans="5:51">
      <c r="E284" s="261"/>
      <c r="F284" s="261"/>
      <c r="G284" s="261"/>
      <c r="H284" s="261"/>
      <c r="I284" s="261"/>
      <c r="J284" s="261"/>
      <c r="K284" s="261"/>
      <c r="L284" s="261"/>
      <c r="M284" s="261"/>
      <c r="N284" s="261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  <c r="AA284" s="261"/>
      <c r="AB284" s="261"/>
      <c r="AC284" s="261"/>
      <c r="AD284" s="261"/>
      <c r="AE284" s="261"/>
      <c r="AF284" s="261"/>
      <c r="AG284" s="261"/>
      <c r="AH284" s="261"/>
      <c r="AI284" s="261"/>
      <c r="AJ284" s="261"/>
      <c r="AK284" s="261"/>
      <c r="AL284" s="261"/>
      <c r="AM284" s="261"/>
      <c r="AN284" s="261"/>
      <c r="AO284" s="261"/>
      <c r="AP284" s="264"/>
      <c r="AQ284" s="270"/>
      <c r="AR284" s="263"/>
      <c r="AS284" s="263"/>
      <c r="AT284" s="263"/>
      <c r="AU284" s="263"/>
      <c r="AV284" s="263"/>
      <c r="AW284" s="263"/>
      <c r="AX284" s="263"/>
      <c r="AY284" s="263"/>
    </row>
    <row r="285" spans="5:51"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  <c r="AA285" s="261"/>
      <c r="AB285" s="261"/>
      <c r="AC285" s="261"/>
      <c r="AD285" s="261"/>
      <c r="AE285" s="261"/>
      <c r="AF285" s="261"/>
      <c r="AG285" s="261"/>
      <c r="AH285" s="261"/>
      <c r="AI285" s="261"/>
      <c r="AJ285" s="261"/>
      <c r="AK285" s="261"/>
      <c r="AL285" s="261"/>
      <c r="AM285" s="261"/>
      <c r="AN285" s="261"/>
      <c r="AO285" s="261"/>
      <c r="AP285" s="264"/>
      <c r="AQ285" s="270"/>
      <c r="AR285" s="263"/>
      <c r="AS285" s="263"/>
      <c r="AT285" s="263"/>
      <c r="AU285" s="263"/>
      <c r="AV285" s="263"/>
      <c r="AW285" s="263"/>
      <c r="AX285" s="263"/>
      <c r="AY285" s="263"/>
    </row>
    <row r="286" spans="5:51">
      <c r="E286" s="261"/>
      <c r="F286" s="261"/>
      <c r="G286" s="261"/>
      <c r="H286" s="261"/>
      <c r="I286" s="261"/>
      <c r="J286" s="261"/>
      <c r="K286" s="261"/>
      <c r="L286" s="261"/>
      <c r="M286" s="261"/>
      <c r="N286" s="261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  <c r="AA286" s="261"/>
      <c r="AB286" s="261"/>
      <c r="AC286" s="261"/>
      <c r="AD286" s="261"/>
      <c r="AE286" s="261"/>
      <c r="AF286" s="261"/>
      <c r="AG286" s="261"/>
      <c r="AH286" s="261"/>
      <c r="AI286" s="261"/>
      <c r="AJ286" s="261"/>
      <c r="AK286" s="261"/>
      <c r="AL286" s="261"/>
      <c r="AM286" s="261"/>
      <c r="AN286" s="261"/>
      <c r="AO286" s="261"/>
      <c r="AP286" s="264"/>
      <c r="AQ286" s="270"/>
      <c r="AR286" s="263"/>
      <c r="AS286" s="263"/>
      <c r="AT286" s="263"/>
      <c r="AU286" s="263"/>
      <c r="AV286" s="263"/>
      <c r="AW286" s="263"/>
      <c r="AX286" s="263"/>
      <c r="AY286" s="263"/>
    </row>
    <row r="287" spans="5:51">
      <c r="E287" s="261"/>
      <c r="F287" s="261"/>
      <c r="G287" s="261"/>
      <c r="H287" s="261"/>
      <c r="I287" s="261"/>
      <c r="J287" s="261"/>
      <c r="K287" s="261"/>
      <c r="L287" s="261"/>
      <c r="M287" s="261"/>
      <c r="N287" s="261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  <c r="AA287" s="261"/>
      <c r="AB287" s="261"/>
      <c r="AC287" s="261"/>
      <c r="AD287" s="261"/>
      <c r="AE287" s="261"/>
      <c r="AF287" s="261"/>
      <c r="AG287" s="261"/>
      <c r="AH287" s="261"/>
      <c r="AI287" s="261"/>
      <c r="AJ287" s="261"/>
      <c r="AK287" s="261"/>
      <c r="AL287" s="261"/>
      <c r="AM287" s="261"/>
      <c r="AN287" s="261"/>
      <c r="AO287" s="261"/>
      <c r="AP287" s="264"/>
      <c r="AQ287" s="270"/>
      <c r="AR287" s="263"/>
      <c r="AS287" s="263"/>
      <c r="AT287" s="263"/>
      <c r="AU287" s="263"/>
      <c r="AV287" s="263"/>
      <c r="AW287" s="263"/>
      <c r="AX287" s="263"/>
      <c r="AY287" s="263"/>
    </row>
    <row r="288" spans="5:51">
      <c r="E288" s="261"/>
      <c r="F288" s="261"/>
      <c r="G288" s="261"/>
      <c r="H288" s="261"/>
      <c r="I288" s="261"/>
      <c r="J288" s="261"/>
      <c r="K288" s="261"/>
      <c r="L288" s="261"/>
      <c r="M288" s="261"/>
      <c r="N288" s="261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  <c r="AA288" s="261"/>
      <c r="AB288" s="261"/>
      <c r="AC288" s="261"/>
      <c r="AD288" s="261"/>
      <c r="AE288" s="261"/>
      <c r="AF288" s="261"/>
      <c r="AG288" s="261"/>
      <c r="AH288" s="261"/>
      <c r="AI288" s="261"/>
      <c r="AJ288" s="261"/>
      <c r="AK288" s="261"/>
      <c r="AL288" s="261"/>
      <c r="AM288" s="261"/>
      <c r="AN288" s="261"/>
      <c r="AO288" s="261"/>
      <c r="AP288" s="264"/>
      <c r="AQ288" s="270"/>
      <c r="AR288" s="263"/>
      <c r="AS288" s="263"/>
      <c r="AT288" s="263"/>
      <c r="AU288" s="263"/>
      <c r="AV288" s="263"/>
      <c r="AW288" s="263"/>
      <c r="AX288" s="263"/>
      <c r="AY288" s="263"/>
    </row>
    <row r="289" spans="5:51"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  <c r="AA289" s="261"/>
      <c r="AB289" s="261"/>
      <c r="AC289" s="261"/>
      <c r="AD289" s="261"/>
      <c r="AE289" s="261"/>
      <c r="AF289" s="261"/>
      <c r="AG289" s="261"/>
      <c r="AH289" s="261"/>
      <c r="AI289" s="261"/>
      <c r="AJ289" s="261"/>
      <c r="AK289" s="261"/>
      <c r="AL289" s="261"/>
      <c r="AM289" s="261"/>
      <c r="AN289" s="261"/>
      <c r="AO289" s="261"/>
      <c r="AP289" s="264"/>
      <c r="AQ289" s="270"/>
      <c r="AR289" s="263"/>
      <c r="AS289" s="263"/>
      <c r="AT289" s="263"/>
      <c r="AU289" s="263"/>
      <c r="AV289" s="263"/>
      <c r="AW289" s="263"/>
      <c r="AX289" s="263"/>
      <c r="AY289" s="263"/>
    </row>
    <row r="290" spans="5:51">
      <c r="E290" s="261"/>
      <c r="F290" s="261"/>
      <c r="G290" s="261"/>
      <c r="H290" s="261"/>
      <c r="I290" s="261"/>
      <c r="J290" s="261"/>
      <c r="K290" s="261"/>
      <c r="L290" s="261"/>
      <c r="M290" s="261"/>
      <c r="N290" s="261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  <c r="AA290" s="261"/>
      <c r="AB290" s="261"/>
      <c r="AC290" s="261"/>
      <c r="AD290" s="261"/>
      <c r="AE290" s="261"/>
      <c r="AF290" s="261"/>
      <c r="AG290" s="261"/>
      <c r="AH290" s="261"/>
      <c r="AI290" s="261"/>
      <c r="AJ290" s="261"/>
      <c r="AK290" s="261"/>
      <c r="AL290" s="261"/>
      <c r="AM290" s="261"/>
      <c r="AN290" s="261"/>
      <c r="AO290" s="261"/>
      <c r="AP290" s="264"/>
      <c r="AQ290" s="270"/>
      <c r="AR290" s="263"/>
      <c r="AS290" s="263"/>
      <c r="AT290" s="263"/>
      <c r="AU290" s="263"/>
      <c r="AV290" s="263"/>
      <c r="AW290" s="263"/>
      <c r="AX290" s="263"/>
      <c r="AY290" s="263"/>
    </row>
    <row r="291" spans="5:51">
      <c r="E291" s="261"/>
      <c r="F291" s="261"/>
      <c r="G291" s="261"/>
      <c r="H291" s="261"/>
      <c r="I291" s="261"/>
      <c r="J291" s="261"/>
      <c r="K291" s="261"/>
      <c r="L291" s="261"/>
      <c r="M291" s="261"/>
      <c r="N291" s="261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  <c r="AA291" s="261"/>
      <c r="AB291" s="261"/>
      <c r="AC291" s="261"/>
      <c r="AD291" s="261"/>
      <c r="AE291" s="261"/>
      <c r="AF291" s="261"/>
      <c r="AG291" s="261"/>
      <c r="AH291" s="261"/>
      <c r="AI291" s="261"/>
      <c r="AJ291" s="261"/>
      <c r="AK291" s="261"/>
      <c r="AL291" s="261"/>
      <c r="AM291" s="261"/>
      <c r="AN291" s="261"/>
      <c r="AO291" s="261"/>
      <c r="AP291" s="264"/>
      <c r="AQ291" s="270"/>
      <c r="AR291" s="263"/>
      <c r="AS291" s="263"/>
      <c r="AT291" s="263"/>
      <c r="AU291" s="263"/>
      <c r="AV291" s="263"/>
      <c r="AW291" s="263"/>
      <c r="AX291" s="263"/>
      <c r="AY291" s="263"/>
    </row>
    <row r="292" spans="5:51"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  <c r="AA292" s="261"/>
      <c r="AB292" s="261"/>
      <c r="AC292" s="261"/>
      <c r="AD292" s="261"/>
      <c r="AE292" s="261"/>
      <c r="AF292" s="261"/>
      <c r="AG292" s="261"/>
      <c r="AH292" s="261"/>
      <c r="AI292" s="261"/>
      <c r="AJ292" s="261"/>
      <c r="AK292" s="261"/>
      <c r="AL292" s="261"/>
      <c r="AM292" s="261"/>
      <c r="AN292" s="261"/>
      <c r="AO292" s="261"/>
      <c r="AP292" s="264"/>
      <c r="AQ292" s="270"/>
      <c r="AR292" s="263"/>
      <c r="AS292" s="263"/>
      <c r="AT292" s="263"/>
      <c r="AU292" s="263"/>
      <c r="AV292" s="263"/>
      <c r="AW292" s="263"/>
      <c r="AX292" s="263"/>
      <c r="AY292" s="263"/>
    </row>
    <row r="293" spans="5:51">
      <c r="E293" s="261"/>
      <c r="F293" s="261"/>
      <c r="G293" s="261"/>
      <c r="H293" s="261"/>
      <c r="I293" s="261"/>
      <c r="J293" s="261"/>
      <c r="K293" s="261"/>
      <c r="L293" s="261"/>
      <c r="M293" s="261"/>
      <c r="N293" s="261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  <c r="AA293" s="261"/>
      <c r="AB293" s="261"/>
      <c r="AC293" s="261"/>
      <c r="AD293" s="261"/>
      <c r="AE293" s="261"/>
      <c r="AF293" s="261"/>
      <c r="AG293" s="261"/>
      <c r="AH293" s="261"/>
      <c r="AI293" s="261"/>
      <c r="AJ293" s="261"/>
      <c r="AK293" s="261"/>
      <c r="AL293" s="261"/>
      <c r="AM293" s="261"/>
      <c r="AN293" s="261"/>
      <c r="AO293" s="261"/>
      <c r="AP293" s="264"/>
      <c r="AQ293" s="270"/>
      <c r="AR293" s="263"/>
      <c r="AS293" s="263"/>
      <c r="AT293" s="263"/>
      <c r="AU293" s="263"/>
      <c r="AV293" s="263"/>
      <c r="AW293" s="263"/>
      <c r="AX293" s="263"/>
      <c r="AY293" s="263"/>
    </row>
    <row r="294" spans="5:51">
      <c r="E294" s="261"/>
      <c r="F294" s="261"/>
      <c r="G294" s="261"/>
      <c r="H294" s="261"/>
      <c r="I294" s="261"/>
      <c r="J294" s="261"/>
      <c r="K294" s="261"/>
      <c r="L294" s="261"/>
      <c r="M294" s="261"/>
      <c r="N294" s="261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  <c r="AA294" s="261"/>
      <c r="AB294" s="261"/>
      <c r="AC294" s="261"/>
      <c r="AD294" s="261"/>
      <c r="AE294" s="261"/>
      <c r="AF294" s="261"/>
      <c r="AG294" s="261"/>
      <c r="AH294" s="261"/>
      <c r="AI294" s="261"/>
      <c r="AJ294" s="261"/>
      <c r="AK294" s="261"/>
      <c r="AL294" s="261"/>
      <c r="AM294" s="261"/>
      <c r="AN294" s="261"/>
      <c r="AO294" s="261"/>
      <c r="AP294" s="264"/>
      <c r="AQ294" s="270"/>
      <c r="AR294" s="263"/>
      <c r="AS294" s="263"/>
      <c r="AT294" s="263"/>
      <c r="AU294" s="263"/>
      <c r="AV294" s="263"/>
      <c r="AW294" s="263"/>
      <c r="AX294" s="263"/>
      <c r="AY294" s="263"/>
    </row>
    <row r="295" spans="5:51">
      <c r="E295" s="261"/>
      <c r="F295" s="261"/>
      <c r="G295" s="261"/>
      <c r="H295" s="261"/>
      <c r="I295" s="261"/>
      <c r="J295" s="261"/>
      <c r="K295" s="261"/>
      <c r="L295" s="261"/>
      <c r="M295" s="261"/>
      <c r="N295" s="261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  <c r="AA295" s="261"/>
      <c r="AB295" s="261"/>
      <c r="AC295" s="261"/>
      <c r="AD295" s="261"/>
      <c r="AE295" s="261"/>
      <c r="AF295" s="261"/>
      <c r="AG295" s="261"/>
      <c r="AH295" s="261"/>
      <c r="AI295" s="261"/>
      <c r="AJ295" s="261"/>
      <c r="AK295" s="261"/>
      <c r="AL295" s="261"/>
      <c r="AM295" s="261"/>
      <c r="AN295" s="261"/>
      <c r="AO295" s="261"/>
      <c r="AP295" s="264"/>
      <c r="AQ295" s="270"/>
      <c r="AR295" s="263"/>
      <c r="AS295" s="263"/>
      <c r="AT295" s="263"/>
      <c r="AU295" s="263"/>
      <c r="AV295" s="263"/>
      <c r="AW295" s="263"/>
      <c r="AX295" s="263"/>
      <c r="AY295" s="263"/>
    </row>
    <row r="296" spans="5:51">
      <c r="E296" s="261"/>
      <c r="F296" s="261"/>
      <c r="G296" s="261"/>
      <c r="H296" s="261"/>
      <c r="I296" s="261"/>
      <c r="J296" s="261"/>
      <c r="K296" s="261"/>
      <c r="L296" s="261"/>
      <c r="M296" s="261"/>
      <c r="N296" s="261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  <c r="AA296" s="261"/>
      <c r="AB296" s="261"/>
      <c r="AC296" s="261"/>
      <c r="AD296" s="261"/>
      <c r="AE296" s="261"/>
      <c r="AF296" s="261"/>
      <c r="AG296" s="261"/>
      <c r="AH296" s="261"/>
      <c r="AI296" s="261"/>
      <c r="AJ296" s="261"/>
      <c r="AK296" s="261"/>
      <c r="AL296" s="261"/>
      <c r="AM296" s="261"/>
      <c r="AN296" s="261"/>
      <c r="AO296" s="261"/>
      <c r="AP296" s="264"/>
      <c r="AQ296" s="270"/>
      <c r="AR296" s="263"/>
      <c r="AS296" s="263"/>
      <c r="AT296" s="263"/>
      <c r="AU296" s="263"/>
      <c r="AV296" s="263"/>
      <c r="AW296" s="263"/>
      <c r="AX296" s="263"/>
      <c r="AY296" s="263"/>
    </row>
    <row r="297" spans="5:51">
      <c r="E297" s="261"/>
      <c r="F297" s="261"/>
      <c r="G297" s="261"/>
      <c r="H297" s="261"/>
      <c r="I297" s="261"/>
      <c r="J297" s="261"/>
      <c r="K297" s="261"/>
      <c r="L297" s="261"/>
      <c r="M297" s="261"/>
      <c r="N297" s="261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  <c r="AA297" s="261"/>
      <c r="AB297" s="261"/>
      <c r="AC297" s="261"/>
      <c r="AD297" s="261"/>
      <c r="AE297" s="261"/>
      <c r="AF297" s="261"/>
      <c r="AG297" s="261"/>
      <c r="AH297" s="261"/>
      <c r="AI297" s="261"/>
      <c r="AJ297" s="261"/>
      <c r="AK297" s="261"/>
      <c r="AL297" s="261"/>
      <c r="AM297" s="261"/>
      <c r="AN297" s="261"/>
      <c r="AO297" s="261"/>
      <c r="AP297" s="264"/>
      <c r="AQ297" s="270"/>
      <c r="AR297" s="263"/>
      <c r="AS297" s="263"/>
      <c r="AT297" s="263"/>
      <c r="AU297" s="263"/>
      <c r="AV297" s="263"/>
      <c r="AW297" s="263"/>
      <c r="AX297" s="263"/>
      <c r="AY297" s="263"/>
    </row>
    <row r="298" spans="5:51">
      <c r="E298" s="261"/>
      <c r="F298" s="261"/>
      <c r="G298" s="261"/>
      <c r="H298" s="261"/>
      <c r="I298" s="261"/>
      <c r="J298" s="261"/>
      <c r="K298" s="261"/>
      <c r="L298" s="261"/>
      <c r="M298" s="261"/>
      <c r="N298" s="261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  <c r="AA298" s="261"/>
      <c r="AB298" s="261"/>
      <c r="AC298" s="261"/>
      <c r="AD298" s="261"/>
      <c r="AE298" s="261"/>
      <c r="AF298" s="261"/>
      <c r="AG298" s="261"/>
      <c r="AH298" s="261"/>
      <c r="AI298" s="261"/>
      <c r="AJ298" s="261"/>
      <c r="AK298" s="261"/>
      <c r="AL298" s="261"/>
      <c r="AM298" s="261"/>
      <c r="AN298" s="261"/>
      <c r="AO298" s="261"/>
      <c r="AP298" s="264"/>
      <c r="AQ298" s="270"/>
      <c r="AR298" s="263"/>
      <c r="AS298" s="263"/>
      <c r="AT298" s="263"/>
      <c r="AU298" s="263"/>
      <c r="AV298" s="263"/>
      <c r="AW298" s="263"/>
      <c r="AX298" s="263"/>
      <c r="AY298" s="263"/>
    </row>
    <row r="299" spans="5:51">
      <c r="E299" s="261"/>
      <c r="F299" s="261"/>
      <c r="G299" s="261"/>
      <c r="H299" s="261"/>
      <c r="I299" s="261"/>
      <c r="J299" s="261"/>
      <c r="K299" s="261"/>
      <c r="L299" s="261"/>
      <c r="M299" s="261"/>
      <c r="N299" s="261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  <c r="AA299" s="261"/>
      <c r="AB299" s="261"/>
      <c r="AC299" s="261"/>
      <c r="AD299" s="261"/>
      <c r="AE299" s="261"/>
      <c r="AF299" s="261"/>
      <c r="AG299" s="261"/>
      <c r="AH299" s="261"/>
      <c r="AI299" s="261"/>
      <c r="AJ299" s="261"/>
      <c r="AK299" s="261"/>
      <c r="AL299" s="261"/>
      <c r="AM299" s="261"/>
      <c r="AN299" s="261"/>
      <c r="AO299" s="261"/>
      <c r="AP299" s="264"/>
      <c r="AQ299" s="270"/>
      <c r="AR299" s="263"/>
      <c r="AS299" s="263"/>
      <c r="AT299" s="263"/>
      <c r="AU299" s="263"/>
      <c r="AV299" s="263"/>
      <c r="AW299" s="263"/>
      <c r="AX299" s="263"/>
      <c r="AY299" s="263"/>
    </row>
    <row r="300" spans="5:51">
      <c r="E300" s="261"/>
      <c r="F300" s="261"/>
      <c r="G300" s="261"/>
      <c r="H300" s="261"/>
      <c r="I300" s="261"/>
      <c r="J300" s="261"/>
      <c r="K300" s="261"/>
      <c r="L300" s="261"/>
      <c r="M300" s="261"/>
      <c r="N300" s="261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  <c r="AA300" s="261"/>
      <c r="AB300" s="261"/>
      <c r="AC300" s="261"/>
      <c r="AD300" s="261"/>
      <c r="AE300" s="261"/>
      <c r="AF300" s="261"/>
      <c r="AG300" s="261"/>
      <c r="AH300" s="261"/>
      <c r="AI300" s="261"/>
      <c r="AJ300" s="261"/>
      <c r="AK300" s="261"/>
      <c r="AL300" s="261"/>
      <c r="AM300" s="261"/>
      <c r="AN300" s="261"/>
      <c r="AO300" s="261"/>
      <c r="AP300" s="264"/>
      <c r="AQ300" s="270"/>
      <c r="AR300" s="263"/>
      <c r="AS300" s="263"/>
      <c r="AT300" s="263"/>
      <c r="AU300" s="263"/>
      <c r="AV300" s="263"/>
      <c r="AW300" s="263"/>
      <c r="AX300" s="263"/>
      <c r="AY300" s="263"/>
    </row>
    <row r="301" spans="5:51">
      <c r="E301" s="261"/>
      <c r="F301" s="261"/>
      <c r="G301" s="261"/>
      <c r="H301" s="261"/>
      <c r="I301" s="261"/>
      <c r="J301" s="261"/>
      <c r="K301" s="261"/>
      <c r="L301" s="261"/>
      <c r="M301" s="261"/>
      <c r="N301" s="261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  <c r="AA301" s="261"/>
      <c r="AB301" s="261"/>
      <c r="AC301" s="261"/>
      <c r="AD301" s="261"/>
      <c r="AE301" s="261"/>
      <c r="AF301" s="261"/>
      <c r="AG301" s="261"/>
      <c r="AH301" s="261"/>
      <c r="AI301" s="261"/>
      <c r="AJ301" s="261"/>
      <c r="AK301" s="261"/>
      <c r="AL301" s="261"/>
      <c r="AM301" s="261"/>
      <c r="AN301" s="261"/>
      <c r="AO301" s="261"/>
      <c r="AP301" s="264"/>
      <c r="AQ301" s="270"/>
      <c r="AR301" s="263"/>
      <c r="AS301" s="263"/>
      <c r="AT301" s="263"/>
      <c r="AU301" s="263"/>
      <c r="AV301" s="263"/>
      <c r="AW301" s="263"/>
      <c r="AX301" s="263"/>
      <c r="AY301" s="263"/>
    </row>
    <row r="302" spans="5:51">
      <c r="E302" s="261"/>
      <c r="F302" s="261"/>
      <c r="G302" s="261"/>
      <c r="H302" s="261"/>
      <c r="I302" s="261"/>
      <c r="J302" s="261"/>
      <c r="K302" s="261"/>
      <c r="L302" s="261"/>
      <c r="M302" s="261"/>
      <c r="N302" s="261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  <c r="AA302" s="261"/>
      <c r="AB302" s="261"/>
      <c r="AC302" s="261"/>
      <c r="AD302" s="261"/>
      <c r="AE302" s="261"/>
      <c r="AF302" s="261"/>
      <c r="AG302" s="261"/>
      <c r="AH302" s="261"/>
      <c r="AI302" s="261"/>
      <c r="AJ302" s="261"/>
      <c r="AK302" s="261"/>
      <c r="AL302" s="261"/>
      <c r="AM302" s="261"/>
      <c r="AN302" s="261"/>
      <c r="AO302" s="261"/>
      <c r="AP302" s="264"/>
      <c r="AQ302" s="270"/>
      <c r="AR302" s="263"/>
      <c r="AS302" s="263"/>
      <c r="AT302" s="263"/>
      <c r="AU302" s="263"/>
      <c r="AV302" s="263"/>
      <c r="AW302" s="263"/>
      <c r="AX302" s="263"/>
      <c r="AY302" s="263"/>
    </row>
    <row r="303" spans="5:51">
      <c r="E303" s="261"/>
      <c r="F303" s="261"/>
      <c r="G303" s="261"/>
      <c r="H303" s="261"/>
      <c r="I303" s="261"/>
      <c r="J303" s="261"/>
      <c r="K303" s="261"/>
      <c r="L303" s="261"/>
      <c r="M303" s="261"/>
      <c r="N303" s="261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  <c r="AA303" s="261"/>
      <c r="AB303" s="261"/>
      <c r="AC303" s="261"/>
      <c r="AD303" s="261"/>
      <c r="AE303" s="261"/>
      <c r="AF303" s="261"/>
      <c r="AG303" s="261"/>
      <c r="AH303" s="261"/>
      <c r="AI303" s="261"/>
      <c r="AJ303" s="261"/>
      <c r="AK303" s="261"/>
      <c r="AL303" s="261"/>
      <c r="AM303" s="261"/>
      <c r="AN303" s="261"/>
      <c r="AO303" s="261"/>
      <c r="AP303" s="264"/>
      <c r="AQ303" s="270"/>
      <c r="AR303" s="263"/>
      <c r="AS303" s="263"/>
      <c r="AT303" s="263"/>
      <c r="AU303" s="263"/>
      <c r="AV303" s="263"/>
      <c r="AW303" s="263"/>
      <c r="AX303" s="263"/>
      <c r="AY303" s="263"/>
    </row>
    <row r="304" spans="5:51">
      <c r="E304" s="261"/>
      <c r="F304" s="261"/>
      <c r="G304" s="261"/>
      <c r="H304" s="261"/>
      <c r="I304" s="261"/>
      <c r="J304" s="261"/>
      <c r="K304" s="261"/>
      <c r="L304" s="261"/>
      <c r="M304" s="261"/>
      <c r="N304" s="261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  <c r="AA304" s="261"/>
      <c r="AB304" s="261"/>
      <c r="AC304" s="261"/>
      <c r="AD304" s="261"/>
      <c r="AE304" s="261"/>
      <c r="AF304" s="261"/>
      <c r="AG304" s="261"/>
      <c r="AH304" s="261"/>
      <c r="AI304" s="261"/>
      <c r="AJ304" s="261"/>
      <c r="AK304" s="261"/>
      <c r="AL304" s="261"/>
      <c r="AM304" s="261"/>
      <c r="AN304" s="261"/>
      <c r="AO304" s="261"/>
      <c r="AP304" s="264"/>
      <c r="AQ304" s="270"/>
      <c r="AR304" s="263"/>
      <c r="AS304" s="263"/>
      <c r="AT304" s="263"/>
      <c r="AU304" s="263"/>
      <c r="AV304" s="263"/>
      <c r="AW304" s="263"/>
      <c r="AX304" s="263"/>
      <c r="AY304" s="263"/>
    </row>
    <row r="305" spans="5:51">
      <c r="E305" s="261"/>
      <c r="F305" s="261"/>
      <c r="G305" s="261"/>
      <c r="H305" s="261"/>
      <c r="I305" s="261"/>
      <c r="J305" s="261"/>
      <c r="K305" s="261"/>
      <c r="L305" s="261"/>
      <c r="M305" s="261"/>
      <c r="N305" s="261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  <c r="AA305" s="261"/>
      <c r="AB305" s="261"/>
      <c r="AC305" s="261"/>
      <c r="AD305" s="261"/>
      <c r="AE305" s="261"/>
      <c r="AF305" s="261"/>
      <c r="AG305" s="261"/>
      <c r="AH305" s="261"/>
      <c r="AI305" s="261"/>
      <c r="AJ305" s="261"/>
      <c r="AK305" s="261"/>
      <c r="AL305" s="261"/>
      <c r="AM305" s="261"/>
      <c r="AN305" s="261"/>
      <c r="AO305" s="261"/>
      <c r="AP305" s="264"/>
      <c r="AQ305" s="270"/>
      <c r="AR305" s="263"/>
      <c r="AS305" s="263"/>
      <c r="AT305" s="263"/>
      <c r="AU305" s="263"/>
      <c r="AV305" s="263"/>
      <c r="AW305" s="263"/>
      <c r="AX305" s="263"/>
      <c r="AY305" s="263"/>
    </row>
    <row r="306" spans="5:51">
      <c r="E306" s="261"/>
      <c r="F306" s="261"/>
      <c r="G306" s="261"/>
      <c r="H306" s="261"/>
      <c r="I306" s="261"/>
      <c r="J306" s="261"/>
      <c r="K306" s="261"/>
      <c r="L306" s="261"/>
      <c r="M306" s="261"/>
      <c r="N306" s="261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  <c r="AA306" s="261"/>
      <c r="AB306" s="261"/>
      <c r="AC306" s="261"/>
      <c r="AD306" s="261"/>
      <c r="AE306" s="261"/>
      <c r="AF306" s="261"/>
      <c r="AG306" s="261"/>
      <c r="AH306" s="261"/>
      <c r="AI306" s="261"/>
      <c r="AJ306" s="261"/>
      <c r="AK306" s="261"/>
      <c r="AL306" s="261"/>
      <c r="AM306" s="261"/>
      <c r="AN306" s="261"/>
      <c r="AO306" s="261"/>
      <c r="AP306" s="264"/>
      <c r="AQ306" s="270"/>
      <c r="AR306" s="263"/>
      <c r="AS306" s="263"/>
      <c r="AT306" s="263"/>
      <c r="AU306" s="263"/>
      <c r="AV306" s="263"/>
      <c r="AW306" s="263"/>
      <c r="AX306" s="263"/>
      <c r="AY306" s="263"/>
    </row>
    <row r="307" spans="5:51">
      <c r="E307" s="261"/>
      <c r="F307" s="261"/>
      <c r="G307" s="261"/>
      <c r="H307" s="261"/>
      <c r="I307" s="261"/>
      <c r="J307" s="261"/>
      <c r="K307" s="261"/>
      <c r="L307" s="261"/>
      <c r="M307" s="261"/>
      <c r="N307" s="261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  <c r="AA307" s="261"/>
      <c r="AB307" s="261"/>
      <c r="AC307" s="261"/>
      <c r="AD307" s="261"/>
      <c r="AE307" s="261"/>
      <c r="AF307" s="261"/>
      <c r="AG307" s="261"/>
      <c r="AH307" s="261"/>
      <c r="AI307" s="261"/>
      <c r="AJ307" s="261"/>
      <c r="AK307" s="261"/>
      <c r="AL307" s="261"/>
      <c r="AM307" s="261"/>
      <c r="AN307" s="261"/>
      <c r="AO307" s="261"/>
      <c r="AP307" s="264"/>
      <c r="AQ307" s="270"/>
      <c r="AR307" s="263"/>
      <c r="AS307" s="263"/>
      <c r="AT307" s="263"/>
      <c r="AU307" s="263"/>
      <c r="AV307" s="263"/>
      <c r="AW307" s="263"/>
      <c r="AX307" s="263"/>
      <c r="AY307" s="263"/>
    </row>
    <row r="308" spans="5:51">
      <c r="E308" s="261"/>
      <c r="F308" s="261"/>
      <c r="G308" s="261"/>
      <c r="H308" s="261"/>
      <c r="I308" s="261"/>
      <c r="J308" s="261"/>
      <c r="K308" s="261"/>
      <c r="L308" s="261"/>
      <c r="M308" s="261"/>
      <c r="N308" s="261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  <c r="AA308" s="261"/>
      <c r="AB308" s="261"/>
      <c r="AC308" s="261"/>
      <c r="AD308" s="261"/>
      <c r="AE308" s="261"/>
      <c r="AF308" s="261"/>
      <c r="AG308" s="261"/>
      <c r="AH308" s="261"/>
      <c r="AI308" s="261"/>
      <c r="AJ308" s="261"/>
      <c r="AK308" s="261"/>
      <c r="AL308" s="261"/>
      <c r="AM308" s="261"/>
      <c r="AN308" s="261"/>
      <c r="AO308" s="261"/>
      <c r="AP308" s="264"/>
      <c r="AQ308" s="270"/>
      <c r="AR308" s="263"/>
      <c r="AS308" s="263"/>
      <c r="AT308" s="263"/>
      <c r="AU308" s="263"/>
      <c r="AV308" s="263"/>
      <c r="AW308" s="263"/>
      <c r="AX308" s="263"/>
      <c r="AY308" s="263"/>
    </row>
    <row r="309" spans="5:51">
      <c r="E309" s="261"/>
      <c r="F309" s="261"/>
      <c r="G309" s="261"/>
      <c r="H309" s="261"/>
      <c r="I309" s="261"/>
      <c r="J309" s="261"/>
      <c r="K309" s="261"/>
      <c r="L309" s="261"/>
      <c r="M309" s="261"/>
      <c r="N309" s="261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  <c r="AA309" s="261"/>
      <c r="AB309" s="261"/>
      <c r="AC309" s="261"/>
      <c r="AD309" s="261"/>
      <c r="AE309" s="261"/>
      <c r="AF309" s="261"/>
      <c r="AG309" s="261"/>
      <c r="AH309" s="261"/>
      <c r="AI309" s="261"/>
      <c r="AJ309" s="261"/>
      <c r="AK309" s="261"/>
      <c r="AL309" s="261"/>
      <c r="AM309" s="261"/>
      <c r="AN309" s="261"/>
      <c r="AO309" s="261"/>
      <c r="AP309" s="264"/>
      <c r="AQ309" s="270"/>
      <c r="AR309" s="263"/>
      <c r="AS309" s="263"/>
      <c r="AT309" s="263"/>
      <c r="AU309" s="263"/>
      <c r="AV309" s="263"/>
      <c r="AW309" s="263"/>
      <c r="AX309" s="263"/>
      <c r="AY309" s="263"/>
    </row>
    <row r="310" spans="5:51">
      <c r="E310" s="261"/>
      <c r="F310" s="261"/>
      <c r="G310" s="261"/>
      <c r="H310" s="261"/>
      <c r="I310" s="261"/>
      <c r="J310" s="261"/>
      <c r="K310" s="261"/>
      <c r="L310" s="261"/>
      <c r="M310" s="261"/>
      <c r="N310" s="261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  <c r="AA310" s="261"/>
      <c r="AB310" s="261"/>
      <c r="AC310" s="261"/>
      <c r="AD310" s="261"/>
      <c r="AE310" s="261"/>
      <c r="AF310" s="261"/>
      <c r="AG310" s="261"/>
      <c r="AH310" s="261"/>
      <c r="AI310" s="261"/>
      <c r="AJ310" s="261"/>
      <c r="AK310" s="261"/>
      <c r="AL310" s="261"/>
      <c r="AM310" s="261"/>
      <c r="AN310" s="261"/>
      <c r="AO310" s="261"/>
      <c r="AP310" s="264"/>
      <c r="AQ310" s="270"/>
      <c r="AR310" s="263"/>
      <c r="AS310" s="263"/>
      <c r="AT310" s="263"/>
      <c r="AU310" s="263"/>
      <c r="AV310" s="263"/>
      <c r="AW310" s="263"/>
      <c r="AX310" s="263"/>
      <c r="AY310" s="263"/>
    </row>
    <row r="311" spans="5:51">
      <c r="E311" s="261"/>
      <c r="F311" s="261"/>
      <c r="G311" s="261"/>
      <c r="H311" s="261"/>
      <c r="I311" s="261"/>
      <c r="J311" s="261"/>
      <c r="K311" s="261"/>
      <c r="L311" s="261"/>
      <c r="M311" s="261"/>
      <c r="N311" s="261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  <c r="AA311" s="261"/>
      <c r="AB311" s="261"/>
      <c r="AC311" s="261"/>
      <c r="AD311" s="261"/>
      <c r="AE311" s="261"/>
      <c r="AF311" s="261"/>
      <c r="AG311" s="261"/>
      <c r="AH311" s="261"/>
      <c r="AI311" s="261"/>
      <c r="AJ311" s="261"/>
      <c r="AK311" s="261"/>
      <c r="AL311" s="261"/>
      <c r="AM311" s="261"/>
      <c r="AN311" s="261"/>
      <c r="AO311" s="261"/>
      <c r="AP311" s="264"/>
      <c r="AQ311" s="270"/>
      <c r="AR311" s="263"/>
      <c r="AS311" s="263"/>
      <c r="AT311" s="263"/>
      <c r="AU311" s="263"/>
      <c r="AV311" s="263"/>
      <c r="AW311" s="263"/>
      <c r="AX311" s="263"/>
      <c r="AY311" s="263"/>
    </row>
    <row r="312" spans="5:51">
      <c r="E312" s="261"/>
      <c r="F312" s="261"/>
      <c r="G312" s="261"/>
      <c r="H312" s="261"/>
      <c r="I312" s="261"/>
      <c r="J312" s="261"/>
      <c r="K312" s="261"/>
      <c r="L312" s="261"/>
      <c r="M312" s="261"/>
      <c r="N312" s="261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  <c r="AA312" s="261"/>
      <c r="AB312" s="261"/>
      <c r="AC312" s="261"/>
      <c r="AD312" s="261"/>
      <c r="AE312" s="261"/>
      <c r="AF312" s="261"/>
      <c r="AG312" s="261"/>
      <c r="AH312" s="261"/>
      <c r="AI312" s="261"/>
      <c r="AJ312" s="261"/>
      <c r="AK312" s="261"/>
      <c r="AL312" s="261"/>
      <c r="AM312" s="261"/>
      <c r="AN312" s="261"/>
      <c r="AO312" s="261"/>
      <c r="AP312" s="264"/>
      <c r="AQ312" s="270"/>
      <c r="AR312" s="263"/>
      <c r="AS312" s="263"/>
      <c r="AT312" s="263"/>
      <c r="AU312" s="263"/>
      <c r="AV312" s="263"/>
      <c r="AW312" s="263"/>
      <c r="AX312" s="263"/>
      <c r="AY312" s="263"/>
    </row>
    <row r="313" spans="5:51">
      <c r="E313" s="261"/>
      <c r="F313" s="261"/>
      <c r="G313" s="261"/>
      <c r="H313" s="261"/>
      <c r="I313" s="261"/>
      <c r="J313" s="261"/>
      <c r="K313" s="261"/>
      <c r="L313" s="261"/>
      <c r="M313" s="261"/>
      <c r="N313" s="261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  <c r="AA313" s="261"/>
      <c r="AB313" s="261"/>
      <c r="AC313" s="261"/>
      <c r="AD313" s="261"/>
      <c r="AE313" s="261"/>
      <c r="AF313" s="261"/>
      <c r="AG313" s="261"/>
      <c r="AH313" s="261"/>
      <c r="AI313" s="261"/>
      <c r="AJ313" s="261"/>
      <c r="AK313" s="261"/>
      <c r="AL313" s="261"/>
      <c r="AM313" s="261"/>
      <c r="AN313" s="261"/>
      <c r="AO313" s="261"/>
      <c r="AP313" s="264"/>
      <c r="AQ313" s="270"/>
      <c r="AR313" s="263"/>
      <c r="AS313" s="263"/>
      <c r="AT313" s="263"/>
      <c r="AU313" s="263"/>
      <c r="AV313" s="263"/>
      <c r="AW313" s="263"/>
      <c r="AX313" s="263"/>
      <c r="AY313" s="263"/>
    </row>
    <row r="314" spans="5:51">
      <c r="E314" s="261"/>
      <c r="F314" s="261"/>
      <c r="G314" s="261"/>
      <c r="H314" s="261"/>
      <c r="I314" s="261"/>
      <c r="J314" s="261"/>
      <c r="K314" s="261"/>
      <c r="L314" s="261"/>
      <c r="M314" s="261"/>
      <c r="N314" s="261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  <c r="AA314" s="261"/>
      <c r="AB314" s="261"/>
      <c r="AC314" s="261"/>
      <c r="AD314" s="261"/>
      <c r="AE314" s="261"/>
      <c r="AF314" s="261"/>
      <c r="AG314" s="261"/>
      <c r="AH314" s="261"/>
      <c r="AI314" s="261"/>
      <c r="AJ314" s="261"/>
      <c r="AK314" s="261"/>
      <c r="AL314" s="261"/>
      <c r="AM314" s="261"/>
      <c r="AN314" s="261"/>
      <c r="AO314" s="261"/>
      <c r="AP314" s="264"/>
      <c r="AQ314" s="270"/>
      <c r="AR314" s="263"/>
      <c r="AS314" s="263"/>
      <c r="AT314" s="263"/>
      <c r="AU314" s="263"/>
      <c r="AV314" s="263"/>
      <c r="AW314" s="263"/>
      <c r="AX314" s="263"/>
      <c r="AY314" s="263"/>
    </row>
    <row r="315" spans="5:51">
      <c r="E315" s="261"/>
      <c r="F315" s="261"/>
      <c r="G315" s="261"/>
      <c r="H315" s="261"/>
      <c r="I315" s="261"/>
      <c r="J315" s="261"/>
      <c r="K315" s="261"/>
      <c r="L315" s="261"/>
      <c r="M315" s="261"/>
      <c r="N315" s="261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  <c r="AA315" s="261"/>
      <c r="AB315" s="261"/>
      <c r="AC315" s="261"/>
      <c r="AD315" s="261"/>
      <c r="AE315" s="261"/>
      <c r="AF315" s="261"/>
      <c r="AG315" s="261"/>
      <c r="AH315" s="261"/>
      <c r="AI315" s="261"/>
      <c r="AJ315" s="261"/>
      <c r="AK315" s="261"/>
      <c r="AL315" s="261"/>
      <c r="AM315" s="261"/>
      <c r="AN315" s="261"/>
      <c r="AO315" s="261"/>
      <c r="AP315" s="264"/>
      <c r="AQ315" s="270"/>
      <c r="AR315" s="263"/>
      <c r="AS315" s="263"/>
      <c r="AT315" s="263"/>
      <c r="AU315" s="263"/>
      <c r="AV315" s="263"/>
      <c r="AW315" s="263"/>
      <c r="AX315" s="263"/>
      <c r="AY315" s="263"/>
    </row>
    <row r="316" spans="5:51">
      <c r="E316" s="261"/>
      <c r="F316" s="261"/>
      <c r="G316" s="261"/>
      <c r="H316" s="261"/>
      <c r="I316" s="261"/>
      <c r="J316" s="261"/>
      <c r="K316" s="261"/>
      <c r="L316" s="261"/>
      <c r="M316" s="261"/>
      <c r="N316" s="261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  <c r="AA316" s="261"/>
      <c r="AB316" s="261"/>
      <c r="AC316" s="261"/>
      <c r="AD316" s="261"/>
      <c r="AE316" s="261"/>
      <c r="AF316" s="261"/>
      <c r="AG316" s="261"/>
      <c r="AH316" s="261"/>
      <c r="AI316" s="261"/>
      <c r="AJ316" s="261"/>
      <c r="AK316" s="261"/>
      <c r="AL316" s="261"/>
      <c r="AM316" s="261"/>
      <c r="AN316" s="261"/>
      <c r="AO316" s="261"/>
      <c r="AP316" s="264"/>
      <c r="AQ316" s="270"/>
      <c r="AR316" s="263"/>
      <c r="AS316" s="263"/>
      <c r="AT316" s="263"/>
      <c r="AU316" s="263"/>
      <c r="AV316" s="263"/>
      <c r="AW316" s="263"/>
      <c r="AX316" s="263"/>
      <c r="AY316" s="263"/>
    </row>
    <row r="317" spans="5:51">
      <c r="E317" s="261"/>
      <c r="F317" s="261"/>
      <c r="G317" s="261"/>
      <c r="H317" s="261"/>
      <c r="I317" s="261"/>
      <c r="J317" s="261"/>
      <c r="K317" s="261"/>
      <c r="L317" s="261"/>
      <c r="M317" s="261"/>
      <c r="N317" s="261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  <c r="AA317" s="261"/>
      <c r="AB317" s="261"/>
      <c r="AC317" s="261"/>
      <c r="AD317" s="261"/>
      <c r="AE317" s="261"/>
      <c r="AF317" s="261"/>
      <c r="AG317" s="261"/>
      <c r="AH317" s="261"/>
      <c r="AI317" s="261"/>
      <c r="AJ317" s="261"/>
      <c r="AK317" s="261"/>
      <c r="AL317" s="261"/>
      <c r="AM317" s="261"/>
      <c r="AN317" s="261"/>
      <c r="AO317" s="261"/>
      <c r="AP317" s="264"/>
      <c r="AQ317" s="270"/>
      <c r="AR317" s="263"/>
      <c r="AS317" s="263"/>
      <c r="AT317" s="263"/>
      <c r="AU317" s="263"/>
      <c r="AV317" s="263"/>
      <c r="AW317" s="263"/>
      <c r="AX317" s="263"/>
      <c r="AY317" s="263"/>
    </row>
    <row r="318" spans="5:51">
      <c r="E318" s="261"/>
      <c r="F318" s="261"/>
      <c r="G318" s="261"/>
      <c r="H318" s="261"/>
      <c r="I318" s="261"/>
      <c r="J318" s="261"/>
      <c r="K318" s="261"/>
      <c r="L318" s="261"/>
      <c r="M318" s="261"/>
      <c r="N318" s="261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  <c r="AA318" s="261"/>
      <c r="AB318" s="261"/>
      <c r="AC318" s="261"/>
      <c r="AD318" s="261"/>
      <c r="AE318" s="261"/>
      <c r="AF318" s="261"/>
      <c r="AG318" s="261"/>
      <c r="AH318" s="261"/>
      <c r="AI318" s="261"/>
      <c r="AJ318" s="261"/>
      <c r="AK318" s="261"/>
      <c r="AL318" s="261"/>
      <c r="AM318" s="261"/>
      <c r="AN318" s="261"/>
      <c r="AO318" s="261"/>
      <c r="AP318" s="264"/>
      <c r="AQ318" s="270"/>
      <c r="AR318" s="263"/>
      <c r="AS318" s="263"/>
      <c r="AT318" s="263"/>
      <c r="AU318" s="263"/>
      <c r="AV318" s="263"/>
      <c r="AW318" s="263"/>
      <c r="AX318" s="263"/>
      <c r="AY318" s="263"/>
    </row>
    <row r="319" spans="5:51">
      <c r="E319" s="261"/>
      <c r="F319" s="261"/>
      <c r="G319" s="261"/>
      <c r="H319" s="261"/>
      <c r="I319" s="261"/>
      <c r="J319" s="261"/>
      <c r="K319" s="261"/>
      <c r="L319" s="261"/>
      <c r="M319" s="261"/>
      <c r="N319" s="261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  <c r="AA319" s="261"/>
      <c r="AB319" s="261"/>
      <c r="AC319" s="261"/>
      <c r="AD319" s="261"/>
      <c r="AE319" s="261"/>
      <c r="AF319" s="261"/>
      <c r="AG319" s="261"/>
      <c r="AH319" s="261"/>
      <c r="AI319" s="261"/>
      <c r="AJ319" s="261"/>
      <c r="AK319" s="261"/>
      <c r="AL319" s="261"/>
      <c r="AM319" s="261"/>
      <c r="AN319" s="261"/>
      <c r="AO319" s="261"/>
      <c r="AP319" s="264"/>
      <c r="AQ319" s="270"/>
      <c r="AR319" s="263"/>
      <c r="AS319" s="263"/>
      <c r="AT319" s="263"/>
      <c r="AU319" s="263"/>
      <c r="AV319" s="263"/>
      <c r="AW319" s="263"/>
      <c r="AX319" s="263"/>
      <c r="AY319" s="263"/>
    </row>
    <row r="320" spans="5:51">
      <c r="E320" s="261"/>
      <c r="F320" s="261"/>
      <c r="G320" s="261"/>
      <c r="H320" s="261"/>
      <c r="I320" s="261"/>
      <c r="J320" s="261"/>
      <c r="K320" s="261"/>
      <c r="L320" s="261"/>
      <c r="M320" s="261"/>
      <c r="N320" s="261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  <c r="AA320" s="261"/>
      <c r="AB320" s="261"/>
      <c r="AC320" s="261"/>
      <c r="AD320" s="261"/>
      <c r="AE320" s="261"/>
      <c r="AF320" s="261"/>
      <c r="AG320" s="261"/>
      <c r="AH320" s="261"/>
      <c r="AI320" s="261"/>
      <c r="AJ320" s="261"/>
      <c r="AK320" s="261"/>
      <c r="AL320" s="261"/>
      <c r="AM320" s="261"/>
      <c r="AN320" s="261"/>
      <c r="AO320" s="261"/>
      <c r="AP320" s="264"/>
      <c r="AQ320" s="270"/>
      <c r="AR320" s="263"/>
      <c r="AS320" s="263"/>
      <c r="AT320" s="263"/>
      <c r="AU320" s="263"/>
      <c r="AV320" s="263"/>
      <c r="AW320" s="263"/>
      <c r="AX320" s="263"/>
      <c r="AY320" s="263"/>
    </row>
    <row r="321" spans="5:51">
      <c r="E321" s="261"/>
      <c r="F321" s="261"/>
      <c r="G321" s="261"/>
      <c r="H321" s="261"/>
      <c r="I321" s="261"/>
      <c r="J321" s="261"/>
      <c r="K321" s="261"/>
      <c r="L321" s="261"/>
      <c r="M321" s="261"/>
      <c r="N321" s="261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  <c r="AA321" s="261"/>
      <c r="AB321" s="261"/>
      <c r="AC321" s="261"/>
      <c r="AD321" s="261"/>
      <c r="AE321" s="261"/>
      <c r="AF321" s="261"/>
      <c r="AG321" s="261"/>
      <c r="AH321" s="261"/>
      <c r="AI321" s="261"/>
      <c r="AJ321" s="261"/>
      <c r="AK321" s="261"/>
      <c r="AL321" s="261"/>
      <c r="AM321" s="261"/>
      <c r="AN321" s="261"/>
      <c r="AO321" s="261"/>
      <c r="AP321" s="264"/>
      <c r="AQ321" s="270"/>
      <c r="AR321" s="263"/>
      <c r="AS321" s="263"/>
      <c r="AT321" s="263"/>
      <c r="AU321" s="263"/>
      <c r="AV321" s="263"/>
      <c r="AW321" s="263"/>
      <c r="AX321" s="263"/>
      <c r="AY321" s="263"/>
    </row>
    <row r="322" spans="5:51">
      <c r="E322" s="261"/>
      <c r="F322" s="261"/>
      <c r="G322" s="261"/>
      <c r="H322" s="261"/>
      <c r="I322" s="261"/>
      <c r="J322" s="261"/>
      <c r="K322" s="261"/>
      <c r="L322" s="261"/>
      <c r="M322" s="261"/>
      <c r="N322" s="261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  <c r="AA322" s="261"/>
      <c r="AB322" s="261"/>
      <c r="AC322" s="261"/>
      <c r="AD322" s="261"/>
      <c r="AE322" s="261"/>
      <c r="AF322" s="261"/>
      <c r="AG322" s="261"/>
      <c r="AH322" s="261"/>
      <c r="AI322" s="261"/>
      <c r="AJ322" s="261"/>
      <c r="AK322" s="261"/>
      <c r="AL322" s="261"/>
      <c r="AM322" s="261"/>
      <c r="AN322" s="261"/>
      <c r="AO322" s="261"/>
      <c r="AP322" s="264"/>
      <c r="AQ322" s="270"/>
      <c r="AR322" s="263"/>
      <c r="AS322" s="263"/>
      <c r="AT322" s="263"/>
      <c r="AU322" s="263"/>
      <c r="AV322" s="263"/>
      <c r="AW322" s="263"/>
      <c r="AX322" s="263"/>
      <c r="AY322" s="263"/>
    </row>
    <row r="323" spans="5:51">
      <c r="E323" s="261"/>
      <c r="F323" s="261"/>
      <c r="G323" s="261"/>
      <c r="H323" s="261"/>
      <c r="I323" s="261"/>
      <c r="J323" s="261"/>
      <c r="K323" s="261"/>
      <c r="L323" s="261"/>
      <c r="M323" s="261"/>
      <c r="N323" s="261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  <c r="AA323" s="261"/>
      <c r="AB323" s="261"/>
      <c r="AC323" s="261"/>
      <c r="AD323" s="261"/>
      <c r="AE323" s="261"/>
      <c r="AF323" s="261"/>
      <c r="AG323" s="261"/>
      <c r="AH323" s="261"/>
      <c r="AI323" s="261"/>
      <c r="AJ323" s="261"/>
      <c r="AK323" s="261"/>
      <c r="AL323" s="261"/>
      <c r="AM323" s="261"/>
      <c r="AN323" s="261"/>
      <c r="AO323" s="261"/>
      <c r="AP323" s="264"/>
      <c r="AQ323" s="270"/>
      <c r="AR323" s="263"/>
      <c r="AS323" s="263"/>
      <c r="AT323" s="263"/>
      <c r="AU323" s="263"/>
      <c r="AV323" s="263"/>
      <c r="AW323" s="263"/>
      <c r="AX323" s="263"/>
      <c r="AY323" s="263"/>
    </row>
    <row r="324" spans="5:51">
      <c r="E324" s="261"/>
      <c r="F324" s="261"/>
      <c r="G324" s="261"/>
      <c r="H324" s="261"/>
      <c r="I324" s="261"/>
      <c r="J324" s="261"/>
      <c r="K324" s="261"/>
      <c r="L324" s="261"/>
      <c r="M324" s="261"/>
      <c r="N324" s="261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  <c r="AA324" s="261"/>
      <c r="AB324" s="261"/>
      <c r="AC324" s="261"/>
      <c r="AD324" s="261"/>
      <c r="AE324" s="261"/>
      <c r="AF324" s="261"/>
      <c r="AG324" s="261"/>
      <c r="AH324" s="261"/>
      <c r="AI324" s="261"/>
      <c r="AJ324" s="261"/>
      <c r="AK324" s="261"/>
      <c r="AL324" s="261"/>
      <c r="AM324" s="261"/>
      <c r="AN324" s="261"/>
      <c r="AO324" s="261"/>
      <c r="AP324" s="264"/>
      <c r="AQ324" s="270"/>
      <c r="AR324" s="263"/>
      <c r="AS324" s="263"/>
      <c r="AT324" s="263"/>
      <c r="AU324" s="263"/>
      <c r="AV324" s="263"/>
      <c r="AW324" s="263"/>
      <c r="AX324" s="263"/>
      <c r="AY324" s="263"/>
    </row>
    <row r="325" spans="5:51">
      <c r="E325" s="261"/>
      <c r="F325" s="261"/>
      <c r="G325" s="261"/>
      <c r="H325" s="261"/>
      <c r="I325" s="261"/>
      <c r="J325" s="261"/>
      <c r="K325" s="261"/>
      <c r="L325" s="261"/>
      <c r="M325" s="261"/>
      <c r="N325" s="261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  <c r="AA325" s="261"/>
      <c r="AB325" s="261"/>
      <c r="AC325" s="261"/>
      <c r="AD325" s="261"/>
      <c r="AE325" s="261"/>
      <c r="AF325" s="261"/>
      <c r="AG325" s="261"/>
      <c r="AH325" s="261"/>
      <c r="AI325" s="261"/>
      <c r="AJ325" s="261"/>
      <c r="AK325" s="261"/>
      <c r="AL325" s="261"/>
      <c r="AM325" s="261"/>
      <c r="AN325" s="261"/>
      <c r="AO325" s="261"/>
      <c r="AP325" s="264"/>
      <c r="AQ325" s="270"/>
      <c r="AR325" s="263"/>
      <c r="AS325" s="263"/>
      <c r="AT325" s="263"/>
      <c r="AU325" s="263"/>
      <c r="AV325" s="263"/>
      <c r="AW325" s="263"/>
      <c r="AX325" s="263"/>
      <c r="AY325" s="263"/>
    </row>
    <row r="326" spans="5:51">
      <c r="E326" s="261"/>
      <c r="F326" s="261"/>
      <c r="G326" s="261"/>
      <c r="H326" s="261"/>
      <c r="I326" s="261"/>
      <c r="J326" s="261"/>
      <c r="K326" s="261"/>
      <c r="L326" s="261"/>
      <c r="M326" s="261"/>
      <c r="N326" s="261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  <c r="AA326" s="261"/>
      <c r="AB326" s="261"/>
      <c r="AC326" s="261"/>
      <c r="AD326" s="261"/>
      <c r="AE326" s="261"/>
      <c r="AF326" s="261"/>
      <c r="AG326" s="261"/>
      <c r="AH326" s="261"/>
      <c r="AI326" s="261"/>
      <c r="AJ326" s="261"/>
      <c r="AK326" s="261"/>
      <c r="AL326" s="261"/>
      <c r="AM326" s="261"/>
      <c r="AN326" s="261"/>
      <c r="AO326" s="261"/>
      <c r="AP326" s="264"/>
      <c r="AQ326" s="270"/>
      <c r="AR326" s="263"/>
      <c r="AS326" s="263"/>
      <c r="AT326" s="263"/>
      <c r="AU326" s="263"/>
      <c r="AV326" s="263"/>
      <c r="AW326" s="263"/>
      <c r="AX326" s="263"/>
      <c r="AY326" s="263"/>
    </row>
    <row r="327" spans="5:51">
      <c r="E327" s="261"/>
      <c r="F327" s="261"/>
      <c r="G327" s="261"/>
      <c r="H327" s="261"/>
      <c r="I327" s="261"/>
      <c r="J327" s="261"/>
      <c r="K327" s="261"/>
      <c r="L327" s="261"/>
      <c r="M327" s="261"/>
      <c r="N327" s="261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  <c r="AA327" s="261"/>
      <c r="AB327" s="261"/>
      <c r="AC327" s="261"/>
      <c r="AD327" s="261"/>
      <c r="AE327" s="261"/>
      <c r="AF327" s="261"/>
      <c r="AG327" s="261"/>
      <c r="AH327" s="261"/>
      <c r="AI327" s="261"/>
      <c r="AJ327" s="261"/>
      <c r="AK327" s="261"/>
      <c r="AL327" s="261"/>
      <c r="AM327" s="261"/>
      <c r="AN327" s="261"/>
      <c r="AO327" s="261"/>
      <c r="AP327" s="264"/>
      <c r="AQ327" s="270"/>
      <c r="AR327" s="263"/>
      <c r="AS327" s="263"/>
      <c r="AT327" s="263"/>
      <c r="AU327" s="263"/>
      <c r="AV327" s="263"/>
      <c r="AW327" s="263"/>
      <c r="AX327" s="263"/>
      <c r="AY327" s="263"/>
    </row>
    <row r="328" spans="5:51">
      <c r="E328" s="261"/>
      <c r="F328" s="261"/>
      <c r="G328" s="261"/>
      <c r="H328" s="261"/>
      <c r="I328" s="261"/>
      <c r="J328" s="261"/>
      <c r="K328" s="261"/>
      <c r="L328" s="261"/>
      <c r="M328" s="261"/>
      <c r="N328" s="261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  <c r="AA328" s="261"/>
      <c r="AB328" s="261"/>
      <c r="AC328" s="261"/>
      <c r="AD328" s="261"/>
      <c r="AE328" s="261"/>
      <c r="AF328" s="261"/>
      <c r="AG328" s="261"/>
      <c r="AH328" s="261"/>
      <c r="AI328" s="261"/>
      <c r="AJ328" s="261"/>
      <c r="AK328" s="261"/>
      <c r="AL328" s="261"/>
      <c r="AM328" s="261"/>
      <c r="AN328" s="261"/>
      <c r="AO328" s="261"/>
      <c r="AP328" s="264"/>
      <c r="AQ328" s="270"/>
      <c r="AR328" s="263"/>
      <c r="AS328" s="263"/>
      <c r="AT328" s="263"/>
      <c r="AU328" s="263"/>
      <c r="AV328" s="263"/>
      <c r="AW328" s="263"/>
      <c r="AX328" s="263"/>
      <c r="AY328" s="263"/>
    </row>
    <row r="329" spans="5:51">
      <c r="E329" s="261"/>
      <c r="F329" s="261"/>
      <c r="G329" s="261"/>
      <c r="H329" s="261"/>
      <c r="I329" s="261"/>
      <c r="J329" s="261"/>
      <c r="K329" s="261"/>
      <c r="L329" s="261"/>
      <c r="M329" s="261"/>
      <c r="N329" s="261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  <c r="AA329" s="261"/>
      <c r="AB329" s="261"/>
      <c r="AC329" s="261"/>
      <c r="AD329" s="261"/>
      <c r="AE329" s="261"/>
      <c r="AF329" s="261"/>
      <c r="AG329" s="261"/>
      <c r="AH329" s="261"/>
      <c r="AI329" s="261"/>
      <c r="AJ329" s="261"/>
      <c r="AK329" s="261"/>
      <c r="AL329" s="261"/>
      <c r="AM329" s="261"/>
      <c r="AN329" s="261"/>
      <c r="AO329" s="261"/>
      <c r="AP329" s="264"/>
      <c r="AQ329" s="270"/>
      <c r="AR329" s="263"/>
      <c r="AS329" s="263"/>
      <c r="AT329" s="263"/>
      <c r="AU329" s="263"/>
      <c r="AV329" s="263"/>
      <c r="AW329" s="263"/>
      <c r="AX329" s="263"/>
      <c r="AY329" s="263"/>
    </row>
    <row r="330" spans="5:51"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  <c r="AA330" s="261"/>
      <c r="AB330" s="261"/>
      <c r="AC330" s="261"/>
      <c r="AD330" s="261"/>
      <c r="AE330" s="261"/>
      <c r="AF330" s="261"/>
      <c r="AG330" s="261"/>
      <c r="AH330" s="261"/>
      <c r="AI330" s="261"/>
      <c r="AJ330" s="261"/>
      <c r="AK330" s="261"/>
      <c r="AL330" s="261"/>
      <c r="AM330" s="261"/>
      <c r="AN330" s="261"/>
      <c r="AO330" s="261"/>
      <c r="AP330" s="264"/>
      <c r="AQ330" s="270"/>
      <c r="AR330" s="263"/>
      <c r="AS330" s="263"/>
      <c r="AT330" s="263"/>
      <c r="AU330" s="263"/>
      <c r="AV330" s="263"/>
      <c r="AW330" s="263"/>
      <c r="AX330" s="263"/>
      <c r="AY330" s="263"/>
    </row>
    <row r="331" spans="5:51">
      <c r="E331" s="261"/>
      <c r="F331" s="261"/>
      <c r="G331" s="261"/>
      <c r="H331" s="261"/>
      <c r="I331" s="261"/>
      <c r="J331" s="261"/>
      <c r="K331" s="261"/>
      <c r="L331" s="261"/>
      <c r="M331" s="261"/>
      <c r="N331" s="261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  <c r="AA331" s="261"/>
      <c r="AB331" s="261"/>
      <c r="AC331" s="261"/>
      <c r="AD331" s="261"/>
      <c r="AE331" s="261"/>
      <c r="AF331" s="261"/>
      <c r="AG331" s="261"/>
      <c r="AH331" s="261"/>
      <c r="AI331" s="261"/>
      <c r="AJ331" s="261"/>
      <c r="AK331" s="261"/>
      <c r="AL331" s="261"/>
      <c r="AM331" s="261"/>
      <c r="AN331" s="261"/>
      <c r="AO331" s="261"/>
      <c r="AP331" s="264"/>
      <c r="AQ331" s="270"/>
      <c r="AR331" s="263"/>
      <c r="AS331" s="263"/>
      <c r="AT331" s="263"/>
      <c r="AU331" s="263"/>
      <c r="AV331" s="263"/>
      <c r="AW331" s="263"/>
      <c r="AX331" s="263"/>
      <c r="AY331" s="263"/>
    </row>
    <row r="332" spans="5:51">
      <c r="E332" s="261"/>
      <c r="F332" s="261"/>
      <c r="G332" s="261"/>
      <c r="H332" s="261"/>
      <c r="I332" s="261"/>
      <c r="J332" s="261"/>
      <c r="K332" s="261"/>
      <c r="L332" s="261"/>
      <c r="M332" s="261"/>
      <c r="N332" s="261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  <c r="AA332" s="261"/>
      <c r="AB332" s="261"/>
      <c r="AC332" s="261"/>
      <c r="AD332" s="261"/>
      <c r="AE332" s="261"/>
      <c r="AF332" s="261"/>
      <c r="AG332" s="261"/>
      <c r="AH332" s="261"/>
      <c r="AI332" s="261"/>
      <c r="AJ332" s="261"/>
      <c r="AK332" s="261"/>
      <c r="AL332" s="261"/>
      <c r="AM332" s="261"/>
      <c r="AN332" s="261"/>
      <c r="AO332" s="261"/>
      <c r="AP332" s="264"/>
      <c r="AQ332" s="270"/>
      <c r="AR332" s="263"/>
      <c r="AS332" s="263"/>
      <c r="AT332" s="263"/>
      <c r="AU332" s="263"/>
      <c r="AV332" s="263"/>
      <c r="AW332" s="263"/>
      <c r="AX332" s="263"/>
      <c r="AY332" s="263"/>
    </row>
    <row r="333" spans="5:51">
      <c r="E333" s="261"/>
      <c r="F333" s="261"/>
      <c r="G333" s="261"/>
      <c r="H333" s="261"/>
      <c r="I333" s="261"/>
      <c r="J333" s="261"/>
      <c r="K333" s="261"/>
      <c r="L333" s="261"/>
      <c r="M333" s="261"/>
      <c r="N333" s="261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  <c r="AA333" s="261"/>
      <c r="AB333" s="261"/>
      <c r="AC333" s="261"/>
      <c r="AD333" s="261"/>
      <c r="AE333" s="261"/>
      <c r="AF333" s="261"/>
      <c r="AG333" s="261"/>
      <c r="AH333" s="261"/>
      <c r="AI333" s="261"/>
      <c r="AJ333" s="261"/>
      <c r="AK333" s="261"/>
      <c r="AL333" s="261"/>
      <c r="AM333" s="261"/>
      <c r="AN333" s="261"/>
      <c r="AO333" s="261"/>
      <c r="AP333" s="264"/>
      <c r="AQ333" s="270"/>
      <c r="AR333" s="263"/>
      <c r="AS333" s="263"/>
      <c r="AT333" s="263"/>
      <c r="AU333" s="263"/>
      <c r="AV333" s="263"/>
      <c r="AW333" s="263"/>
      <c r="AX333" s="263"/>
      <c r="AY333" s="263"/>
    </row>
    <row r="334" spans="5:51">
      <c r="E334" s="261"/>
      <c r="F334" s="261"/>
      <c r="G334" s="261"/>
      <c r="H334" s="261"/>
      <c r="I334" s="261"/>
      <c r="J334" s="261"/>
      <c r="K334" s="261"/>
      <c r="L334" s="261"/>
      <c r="M334" s="261"/>
      <c r="N334" s="261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  <c r="AA334" s="261"/>
      <c r="AB334" s="261"/>
      <c r="AC334" s="261"/>
      <c r="AD334" s="261"/>
      <c r="AE334" s="261"/>
      <c r="AF334" s="261"/>
      <c r="AG334" s="261"/>
      <c r="AH334" s="261"/>
      <c r="AI334" s="261"/>
      <c r="AJ334" s="261"/>
      <c r="AK334" s="261"/>
      <c r="AL334" s="261"/>
      <c r="AM334" s="261"/>
      <c r="AN334" s="261"/>
      <c r="AO334" s="261"/>
      <c r="AP334" s="261"/>
      <c r="AQ334" s="270"/>
      <c r="AR334" s="263"/>
      <c r="AS334" s="263"/>
      <c r="AT334" s="263"/>
      <c r="AU334" s="263"/>
      <c r="AV334" s="263"/>
      <c r="AW334" s="263"/>
      <c r="AX334" s="263"/>
      <c r="AY334" s="263"/>
    </row>
    <row r="335" spans="5:51">
      <c r="E335" s="261"/>
      <c r="F335" s="261"/>
      <c r="G335" s="261"/>
      <c r="H335" s="261"/>
      <c r="I335" s="261"/>
      <c r="J335" s="261"/>
      <c r="K335" s="261"/>
      <c r="L335" s="261"/>
      <c r="M335" s="261"/>
      <c r="N335" s="261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  <c r="AA335" s="261"/>
      <c r="AB335" s="261"/>
      <c r="AC335" s="261"/>
      <c r="AD335" s="261"/>
      <c r="AE335" s="261"/>
      <c r="AF335" s="261"/>
      <c r="AG335" s="261"/>
      <c r="AH335" s="261"/>
      <c r="AI335" s="261"/>
      <c r="AJ335" s="261"/>
      <c r="AK335" s="261"/>
      <c r="AL335" s="261"/>
      <c r="AM335" s="261"/>
      <c r="AN335" s="261"/>
      <c r="AO335" s="261"/>
      <c r="AP335" s="261"/>
      <c r="AQ335" s="270"/>
      <c r="AR335" s="263"/>
      <c r="AS335" s="263"/>
      <c r="AT335" s="263"/>
      <c r="AU335" s="263"/>
      <c r="AV335" s="263"/>
      <c r="AW335" s="263"/>
      <c r="AX335" s="263"/>
      <c r="AY335" s="263"/>
    </row>
    <row r="336" spans="5:51">
      <c r="E336" s="261"/>
      <c r="F336" s="261"/>
      <c r="G336" s="261"/>
      <c r="H336" s="261"/>
      <c r="I336" s="261"/>
      <c r="J336" s="261"/>
      <c r="K336" s="261"/>
      <c r="L336" s="261"/>
      <c r="M336" s="261"/>
      <c r="N336" s="261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  <c r="AA336" s="261"/>
      <c r="AB336" s="261"/>
      <c r="AC336" s="261"/>
      <c r="AD336" s="261"/>
      <c r="AE336" s="261"/>
      <c r="AF336" s="261"/>
      <c r="AG336" s="261"/>
      <c r="AH336" s="261"/>
      <c r="AI336" s="261"/>
      <c r="AJ336" s="261"/>
      <c r="AK336" s="261"/>
      <c r="AL336" s="261"/>
      <c r="AM336" s="261"/>
      <c r="AN336" s="261"/>
      <c r="AO336" s="261"/>
      <c r="AP336" s="261"/>
      <c r="AQ336" s="270"/>
      <c r="AR336" s="263"/>
      <c r="AS336" s="263"/>
      <c r="AT336" s="263"/>
      <c r="AU336" s="263"/>
      <c r="AV336" s="263"/>
      <c r="AW336" s="263"/>
      <c r="AX336" s="263"/>
      <c r="AY336" s="263"/>
    </row>
    <row r="337" spans="5:51">
      <c r="E337" s="261"/>
      <c r="F337" s="261"/>
      <c r="G337" s="261"/>
      <c r="H337" s="261"/>
      <c r="I337" s="261"/>
      <c r="J337" s="261"/>
      <c r="K337" s="261"/>
      <c r="L337" s="261"/>
      <c r="M337" s="261"/>
      <c r="N337" s="261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  <c r="AA337" s="261"/>
      <c r="AB337" s="261"/>
      <c r="AC337" s="261"/>
      <c r="AD337" s="261"/>
      <c r="AE337" s="261"/>
      <c r="AF337" s="261"/>
      <c r="AG337" s="261"/>
      <c r="AH337" s="261"/>
      <c r="AI337" s="261"/>
      <c r="AJ337" s="261"/>
      <c r="AK337" s="261"/>
      <c r="AL337" s="261"/>
      <c r="AM337" s="261"/>
      <c r="AN337" s="261"/>
      <c r="AO337" s="261"/>
      <c r="AP337" s="261"/>
      <c r="AQ337" s="270"/>
      <c r="AR337" s="263"/>
      <c r="AS337" s="263"/>
      <c r="AT337" s="263"/>
      <c r="AU337" s="263"/>
      <c r="AV337" s="263"/>
      <c r="AW337" s="263"/>
      <c r="AX337" s="263"/>
      <c r="AY337" s="263"/>
    </row>
    <row r="338" spans="5:51">
      <c r="E338" s="261"/>
      <c r="F338" s="261"/>
      <c r="G338" s="261"/>
      <c r="H338" s="261"/>
      <c r="I338" s="261"/>
      <c r="J338" s="261"/>
      <c r="K338" s="261"/>
      <c r="L338" s="261"/>
      <c r="M338" s="261"/>
      <c r="N338" s="261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  <c r="AA338" s="261"/>
      <c r="AB338" s="261"/>
      <c r="AC338" s="261"/>
      <c r="AD338" s="261"/>
      <c r="AE338" s="261"/>
      <c r="AF338" s="261"/>
      <c r="AG338" s="261"/>
      <c r="AH338" s="261"/>
      <c r="AI338" s="261"/>
      <c r="AJ338" s="261"/>
      <c r="AK338" s="261"/>
      <c r="AL338" s="261"/>
      <c r="AM338" s="261"/>
      <c r="AN338" s="261"/>
      <c r="AO338" s="261"/>
      <c r="AP338" s="261"/>
      <c r="AQ338" s="270"/>
      <c r="AR338" s="263"/>
      <c r="AS338" s="263"/>
      <c r="AT338" s="263"/>
      <c r="AU338" s="263"/>
      <c r="AV338" s="263"/>
      <c r="AW338" s="263"/>
      <c r="AX338" s="263"/>
      <c r="AY338" s="263"/>
    </row>
    <row r="339" spans="5:51">
      <c r="E339" s="261"/>
      <c r="F339" s="261"/>
      <c r="G339" s="261"/>
      <c r="H339" s="261"/>
      <c r="I339" s="261"/>
      <c r="J339" s="261"/>
      <c r="K339" s="261"/>
      <c r="L339" s="261"/>
      <c r="M339" s="261"/>
      <c r="N339" s="261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  <c r="AA339" s="261"/>
      <c r="AB339" s="261"/>
      <c r="AC339" s="261"/>
      <c r="AD339" s="261"/>
      <c r="AE339" s="261"/>
      <c r="AF339" s="261"/>
      <c r="AG339" s="261"/>
      <c r="AH339" s="261"/>
      <c r="AI339" s="261"/>
      <c r="AJ339" s="261"/>
      <c r="AK339" s="261"/>
      <c r="AL339" s="261"/>
      <c r="AM339" s="261"/>
      <c r="AN339" s="261"/>
      <c r="AO339" s="261"/>
      <c r="AP339" s="261"/>
      <c r="AQ339" s="270"/>
      <c r="AR339" s="263"/>
      <c r="AS339" s="263"/>
      <c r="AT339" s="263"/>
      <c r="AU339" s="263"/>
      <c r="AV339" s="263"/>
      <c r="AW339" s="263"/>
      <c r="AX339" s="263"/>
      <c r="AY339" s="263"/>
    </row>
    <row r="340" spans="5:51"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  <c r="AA340" s="261"/>
      <c r="AB340" s="261"/>
      <c r="AC340" s="261"/>
      <c r="AD340" s="261"/>
      <c r="AE340" s="261"/>
      <c r="AF340" s="261"/>
      <c r="AG340" s="261"/>
      <c r="AH340" s="261"/>
      <c r="AI340" s="261"/>
      <c r="AJ340" s="261"/>
      <c r="AK340" s="261"/>
      <c r="AL340" s="261"/>
      <c r="AM340" s="261"/>
      <c r="AN340" s="261"/>
      <c r="AO340" s="261"/>
      <c r="AP340" s="261"/>
      <c r="AQ340" s="270"/>
      <c r="AR340" s="263"/>
      <c r="AS340" s="263"/>
      <c r="AT340" s="263"/>
      <c r="AU340" s="263"/>
      <c r="AV340" s="263"/>
      <c r="AW340" s="263"/>
      <c r="AX340" s="263"/>
      <c r="AY340" s="263"/>
    </row>
    <row r="341" spans="5:51">
      <c r="E341" s="261"/>
      <c r="F341" s="261"/>
      <c r="G341" s="261"/>
      <c r="H341" s="261"/>
      <c r="I341" s="261"/>
      <c r="J341" s="261"/>
      <c r="K341" s="261"/>
      <c r="L341" s="261"/>
      <c r="M341" s="261"/>
      <c r="N341" s="261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  <c r="AA341" s="261"/>
      <c r="AB341" s="261"/>
      <c r="AC341" s="261"/>
      <c r="AD341" s="261"/>
      <c r="AE341" s="261"/>
      <c r="AF341" s="261"/>
      <c r="AG341" s="261"/>
      <c r="AH341" s="261"/>
      <c r="AI341" s="261"/>
      <c r="AJ341" s="261"/>
      <c r="AK341" s="261"/>
      <c r="AL341" s="261"/>
      <c r="AM341" s="261"/>
      <c r="AN341" s="261"/>
      <c r="AO341" s="261"/>
      <c r="AP341" s="261"/>
      <c r="AQ341" s="270"/>
      <c r="AR341" s="263"/>
      <c r="AS341" s="263"/>
      <c r="AT341" s="263"/>
      <c r="AU341" s="263"/>
      <c r="AV341" s="263"/>
      <c r="AW341" s="263"/>
      <c r="AX341" s="263"/>
      <c r="AY341" s="263"/>
    </row>
    <row r="342" spans="5:51">
      <c r="E342" s="261"/>
      <c r="F342" s="261"/>
      <c r="G342" s="261"/>
      <c r="H342" s="261"/>
      <c r="I342" s="261"/>
      <c r="J342" s="261"/>
      <c r="K342" s="261"/>
      <c r="L342" s="261"/>
      <c r="M342" s="261"/>
      <c r="N342" s="261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  <c r="AA342" s="261"/>
      <c r="AB342" s="261"/>
      <c r="AC342" s="261"/>
      <c r="AD342" s="261"/>
      <c r="AE342" s="261"/>
      <c r="AF342" s="261"/>
      <c r="AG342" s="261"/>
      <c r="AH342" s="261"/>
      <c r="AI342" s="261"/>
      <c r="AJ342" s="261"/>
      <c r="AK342" s="261"/>
      <c r="AL342" s="261"/>
      <c r="AM342" s="261"/>
      <c r="AN342" s="261"/>
      <c r="AO342" s="261"/>
      <c r="AP342" s="261"/>
      <c r="AQ342" s="270"/>
      <c r="AR342" s="263"/>
      <c r="AS342" s="263"/>
      <c r="AT342" s="263"/>
      <c r="AU342" s="263"/>
      <c r="AV342" s="263"/>
      <c r="AW342" s="263"/>
      <c r="AX342" s="263"/>
      <c r="AY342" s="263"/>
    </row>
    <row r="343" spans="5:51">
      <c r="E343" s="261"/>
      <c r="F343" s="261"/>
      <c r="G343" s="261"/>
      <c r="H343" s="261"/>
      <c r="I343" s="261"/>
      <c r="J343" s="261"/>
      <c r="K343" s="261"/>
      <c r="L343" s="261"/>
      <c r="M343" s="261"/>
      <c r="N343" s="261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  <c r="AA343" s="261"/>
      <c r="AB343" s="261"/>
      <c r="AC343" s="261"/>
      <c r="AD343" s="261"/>
      <c r="AE343" s="261"/>
      <c r="AF343" s="261"/>
      <c r="AG343" s="261"/>
      <c r="AH343" s="261"/>
      <c r="AI343" s="261"/>
      <c r="AJ343" s="261"/>
      <c r="AK343" s="261"/>
      <c r="AL343" s="261"/>
      <c r="AM343" s="261"/>
      <c r="AN343" s="261"/>
      <c r="AO343" s="261"/>
      <c r="AP343" s="261"/>
      <c r="AQ343" s="270"/>
      <c r="AR343" s="263"/>
      <c r="AS343" s="263"/>
      <c r="AT343" s="263"/>
      <c r="AU343" s="263"/>
      <c r="AV343" s="263"/>
      <c r="AW343" s="263"/>
      <c r="AX343" s="263"/>
      <c r="AY343" s="263"/>
    </row>
    <row r="344" spans="5:51">
      <c r="E344" s="261"/>
      <c r="F344" s="261"/>
      <c r="G344" s="261"/>
      <c r="H344" s="261"/>
      <c r="I344" s="261"/>
      <c r="J344" s="261"/>
      <c r="K344" s="261"/>
      <c r="L344" s="261"/>
      <c r="M344" s="261"/>
      <c r="N344" s="261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  <c r="AA344" s="261"/>
      <c r="AB344" s="261"/>
      <c r="AC344" s="261"/>
      <c r="AD344" s="261"/>
      <c r="AE344" s="261"/>
      <c r="AF344" s="261"/>
      <c r="AG344" s="261"/>
      <c r="AH344" s="261"/>
      <c r="AI344" s="261"/>
      <c r="AJ344" s="261"/>
      <c r="AK344" s="261"/>
      <c r="AL344" s="261"/>
      <c r="AM344" s="261"/>
      <c r="AN344" s="261"/>
      <c r="AO344" s="261"/>
      <c r="AP344" s="261"/>
      <c r="AQ344" s="270"/>
      <c r="AR344" s="263"/>
      <c r="AS344" s="263"/>
      <c r="AT344" s="263"/>
      <c r="AU344" s="263"/>
      <c r="AV344" s="263"/>
      <c r="AW344" s="263"/>
      <c r="AX344" s="263"/>
      <c r="AY344" s="263"/>
    </row>
    <row r="345" spans="5:51">
      <c r="E345" s="261"/>
      <c r="F345" s="261"/>
      <c r="G345" s="261"/>
      <c r="H345" s="261"/>
      <c r="I345" s="261"/>
      <c r="J345" s="261"/>
      <c r="K345" s="261"/>
      <c r="L345" s="261"/>
      <c r="M345" s="261"/>
      <c r="N345" s="261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  <c r="AA345" s="261"/>
      <c r="AB345" s="261"/>
      <c r="AC345" s="261"/>
      <c r="AD345" s="261"/>
      <c r="AE345" s="261"/>
      <c r="AF345" s="261"/>
      <c r="AG345" s="261"/>
      <c r="AH345" s="261"/>
      <c r="AI345" s="261"/>
      <c r="AJ345" s="261"/>
      <c r="AK345" s="261"/>
      <c r="AL345" s="261"/>
      <c r="AM345" s="261"/>
      <c r="AN345" s="261"/>
      <c r="AO345" s="261"/>
      <c r="AP345" s="261"/>
      <c r="AQ345" s="270"/>
      <c r="AR345" s="263"/>
      <c r="AS345" s="263"/>
      <c r="AT345" s="263"/>
      <c r="AU345" s="263"/>
      <c r="AV345" s="263"/>
      <c r="AW345" s="263"/>
      <c r="AX345" s="263"/>
      <c r="AY345" s="263"/>
    </row>
    <row r="346" spans="5:51">
      <c r="E346" s="261"/>
      <c r="F346" s="261"/>
      <c r="G346" s="261"/>
      <c r="H346" s="261"/>
      <c r="I346" s="261"/>
      <c r="J346" s="261"/>
      <c r="K346" s="261"/>
      <c r="L346" s="261"/>
      <c r="M346" s="261"/>
      <c r="N346" s="261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  <c r="AA346" s="261"/>
      <c r="AB346" s="261"/>
      <c r="AC346" s="261"/>
      <c r="AD346" s="261"/>
      <c r="AE346" s="261"/>
      <c r="AF346" s="261"/>
      <c r="AG346" s="261"/>
      <c r="AH346" s="261"/>
      <c r="AI346" s="261"/>
      <c r="AJ346" s="261"/>
      <c r="AK346" s="261"/>
      <c r="AL346" s="261"/>
      <c r="AM346" s="261"/>
      <c r="AN346" s="261"/>
      <c r="AO346" s="261"/>
      <c r="AP346" s="261"/>
      <c r="AQ346" s="270"/>
      <c r="AR346" s="263"/>
      <c r="AS346" s="263"/>
      <c r="AT346" s="263"/>
      <c r="AU346" s="263"/>
      <c r="AV346" s="263"/>
      <c r="AW346" s="263"/>
      <c r="AX346" s="263"/>
      <c r="AY346" s="263"/>
    </row>
    <row r="347" spans="5:51">
      <c r="E347" s="261"/>
      <c r="F347" s="261"/>
      <c r="G347" s="261"/>
      <c r="H347" s="261"/>
      <c r="I347" s="261"/>
      <c r="J347" s="261"/>
      <c r="K347" s="261"/>
      <c r="L347" s="261"/>
      <c r="M347" s="261"/>
      <c r="N347" s="261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  <c r="AA347" s="261"/>
      <c r="AB347" s="261"/>
      <c r="AC347" s="261"/>
      <c r="AD347" s="261"/>
      <c r="AE347" s="261"/>
      <c r="AF347" s="261"/>
      <c r="AG347" s="261"/>
      <c r="AH347" s="261"/>
      <c r="AI347" s="261"/>
      <c r="AJ347" s="261"/>
      <c r="AK347" s="261"/>
      <c r="AL347" s="261"/>
      <c r="AM347" s="261"/>
      <c r="AN347" s="261"/>
      <c r="AO347" s="261"/>
      <c r="AP347" s="261"/>
      <c r="AQ347" s="270"/>
      <c r="AR347" s="263"/>
      <c r="AS347" s="263"/>
      <c r="AT347" s="263"/>
      <c r="AU347" s="263"/>
      <c r="AV347" s="263"/>
      <c r="AW347" s="263"/>
      <c r="AX347" s="263"/>
      <c r="AY347" s="263"/>
    </row>
    <row r="348" spans="5:51">
      <c r="E348" s="261"/>
      <c r="F348" s="261"/>
      <c r="G348" s="261"/>
      <c r="H348" s="261"/>
      <c r="I348" s="261"/>
      <c r="J348" s="261"/>
      <c r="K348" s="261"/>
      <c r="L348" s="261"/>
      <c r="M348" s="261"/>
      <c r="N348" s="261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  <c r="AA348" s="261"/>
      <c r="AB348" s="261"/>
      <c r="AC348" s="261"/>
      <c r="AD348" s="261"/>
      <c r="AE348" s="261"/>
      <c r="AF348" s="261"/>
      <c r="AG348" s="261"/>
      <c r="AH348" s="261"/>
      <c r="AI348" s="261"/>
      <c r="AJ348" s="261"/>
      <c r="AK348" s="261"/>
      <c r="AL348" s="261"/>
      <c r="AM348" s="261"/>
      <c r="AN348" s="261"/>
      <c r="AO348" s="261"/>
      <c r="AP348" s="261"/>
      <c r="AQ348" s="270"/>
      <c r="AR348" s="263"/>
      <c r="AS348" s="263"/>
      <c r="AT348" s="263"/>
      <c r="AU348" s="263"/>
      <c r="AV348" s="263"/>
      <c r="AW348" s="263"/>
      <c r="AX348" s="263"/>
      <c r="AY348" s="263"/>
    </row>
    <row r="349" spans="5:51">
      <c r="E349" s="261"/>
      <c r="F349" s="261"/>
      <c r="G349" s="261"/>
      <c r="H349" s="261"/>
      <c r="I349" s="261"/>
      <c r="J349" s="261"/>
      <c r="K349" s="261"/>
      <c r="L349" s="261"/>
      <c r="M349" s="261"/>
      <c r="N349" s="261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  <c r="AA349" s="261"/>
      <c r="AB349" s="261"/>
      <c r="AC349" s="261"/>
      <c r="AD349" s="261"/>
      <c r="AE349" s="261"/>
      <c r="AF349" s="261"/>
      <c r="AG349" s="261"/>
      <c r="AH349" s="261"/>
      <c r="AI349" s="261"/>
      <c r="AJ349" s="261"/>
      <c r="AK349" s="261"/>
      <c r="AL349" s="261"/>
      <c r="AM349" s="261"/>
      <c r="AN349" s="261"/>
      <c r="AO349" s="261"/>
      <c r="AP349" s="261"/>
      <c r="AQ349" s="270"/>
      <c r="AR349" s="263"/>
      <c r="AS349" s="263"/>
      <c r="AT349" s="263"/>
      <c r="AU349" s="263"/>
      <c r="AV349" s="263"/>
      <c r="AW349" s="263"/>
      <c r="AX349" s="263"/>
      <c r="AY349" s="263"/>
    </row>
  </sheetData>
  <mergeCells count="8">
    <mergeCell ref="BA1:BL1"/>
    <mergeCell ref="BG8:BL8"/>
    <mergeCell ref="BD10:BF10"/>
    <mergeCell ref="E1:J1"/>
    <mergeCell ref="K1:P1"/>
    <mergeCell ref="Q1:AB1"/>
    <mergeCell ref="AC1:AN1"/>
    <mergeCell ref="AO1:AZ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5D57-7C39-E947-B7C5-FAB3FA4ED6E4}">
  <dimension ref="A1:DH41"/>
  <sheetViews>
    <sheetView workbookViewId="0">
      <selection activeCell="H36" sqref="H36"/>
    </sheetView>
  </sheetViews>
  <sheetFormatPr defaultColWidth="11.85546875" defaultRowHeight="12.75"/>
  <cols>
    <col min="8" max="8" width="12.85546875" bestFit="1" customWidth="1"/>
    <col min="17" max="17" width="14.5703125" bestFit="1" customWidth="1"/>
    <col min="29" max="29" width="14.5703125" bestFit="1" customWidth="1"/>
    <col min="41" max="41" width="14.5703125" bestFit="1" customWidth="1"/>
    <col min="53" max="53" width="15.5703125" bestFit="1" customWidth="1"/>
  </cols>
  <sheetData>
    <row r="1" spans="1:112">
      <c r="E1" s="6">
        <v>2021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>
        <f>E1+1</f>
        <v>2022</v>
      </c>
      <c r="AC1" s="6">
        <f>Q1+1</f>
        <v>2023</v>
      </c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>
        <f t="shared" ref="AO1" si="0">AC1+1</f>
        <v>2024</v>
      </c>
      <c r="BA1" s="6">
        <f t="shared" ref="BA1" si="1">AO1+1</f>
        <v>2025</v>
      </c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N1" s="4" t="s">
        <v>122</v>
      </c>
      <c r="BP1">
        <f>E1</f>
        <v>2021</v>
      </c>
      <c r="BT1" s="6">
        <f>BP1+1</f>
        <v>2022</v>
      </c>
      <c r="BX1">
        <f>BT1+1</f>
        <v>2023</v>
      </c>
      <c r="CB1" s="6">
        <f>BX1+1</f>
        <v>2024</v>
      </c>
      <c r="CF1">
        <f>CB1+1</f>
        <v>2025</v>
      </c>
      <c r="CL1" s="6">
        <f>BA1+1</f>
        <v>2026</v>
      </c>
      <c r="CN1">
        <f>CL1+1</f>
        <v>2027</v>
      </c>
      <c r="CP1" s="6">
        <f t="shared" ref="CP1" si="2">CN1+1</f>
        <v>2028</v>
      </c>
      <c r="CR1">
        <f>CP1+1</f>
        <v>2029</v>
      </c>
      <c r="CT1" s="6">
        <f>CR1+1</f>
        <v>2030</v>
      </c>
      <c r="CV1">
        <f>CT1+1</f>
        <v>2031</v>
      </c>
      <c r="CX1" s="6">
        <f>CV1+1</f>
        <v>2032</v>
      </c>
      <c r="CZ1">
        <f>CX1+1</f>
        <v>2033</v>
      </c>
      <c r="DB1" s="6">
        <f>CZ1+1</f>
        <v>2034</v>
      </c>
      <c r="DD1">
        <f>DB1+1</f>
        <v>2035</v>
      </c>
      <c r="DF1" s="6">
        <f>DD1+1</f>
        <v>2036</v>
      </c>
      <c r="DH1">
        <f>DF1+1</f>
        <v>2037</v>
      </c>
    </row>
    <row r="2" spans="1:112"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34</v>
      </c>
      <c r="U2" s="4" t="s">
        <v>35</v>
      </c>
      <c r="V2" s="4" t="s">
        <v>36</v>
      </c>
      <c r="W2" s="4" t="s">
        <v>37</v>
      </c>
      <c r="X2" s="4" t="s">
        <v>38</v>
      </c>
      <c r="Y2" s="4" t="s">
        <v>39</v>
      </c>
      <c r="Z2" s="4" t="s">
        <v>40</v>
      </c>
      <c r="AA2" s="4" t="s">
        <v>41</v>
      </c>
      <c r="AB2" s="4" t="s">
        <v>42</v>
      </c>
      <c r="AC2" s="4" t="s">
        <v>43</v>
      </c>
      <c r="AD2" s="4" t="s">
        <v>44</v>
      </c>
      <c r="AE2" s="4" t="s">
        <v>45</v>
      </c>
      <c r="AF2" s="4" t="s">
        <v>46</v>
      </c>
      <c r="AG2" s="4" t="s">
        <v>47</v>
      </c>
      <c r="AH2" s="4" t="s">
        <v>48</v>
      </c>
      <c r="AI2" s="4" t="s">
        <v>49</v>
      </c>
      <c r="AJ2" s="4" t="s">
        <v>50</v>
      </c>
      <c r="AK2" s="4" t="s">
        <v>51</v>
      </c>
      <c r="AL2" s="4" t="s">
        <v>52</v>
      </c>
      <c r="AM2" s="4" t="s">
        <v>53</v>
      </c>
      <c r="AN2" s="4" t="s">
        <v>54</v>
      </c>
      <c r="AO2" s="4" t="s">
        <v>55</v>
      </c>
      <c r="AP2" s="4" t="s">
        <v>56</v>
      </c>
      <c r="AQ2" s="4" t="s">
        <v>57</v>
      </c>
      <c r="AR2" s="4" t="s">
        <v>58</v>
      </c>
      <c r="AS2" s="4" t="s">
        <v>59</v>
      </c>
      <c r="AT2" s="4" t="s">
        <v>60</v>
      </c>
      <c r="AU2" s="4" t="s">
        <v>61</v>
      </c>
      <c r="AV2" s="4" t="s">
        <v>62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67</v>
      </c>
      <c r="BB2" s="4" t="s">
        <v>68</v>
      </c>
      <c r="BC2" s="4" t="s">
        <v>69</v>
      </c>
      <c r="BD2" s="4" t="s">
        <v>70</v>
      </c>
      <c r="BE2" s="4" t="s">
        <v>71</v>
      </c>
      <c r="BF2" s="4" t="s">
        <v>72</v>
      </c>
      <c r="BG2" s="4" t="s">
        <v>73</v>
      </c>
      <c r="BH2" s="4" t="s">
        <v>74</v>
      </c>
      <c r="BI2" s="4" t="s">
        <v>75</v>
      </c>
      <c r="BJ2" s="4" t="s">
        <v>76</v>
      </c>
      <c r="BK2" s="4" t="s">
        <v>77</v>
      </c>
      <c r="BL2" s="4" t="s">
        <v>78</v>
      </c>
      <c r="BN2" s="4" t="s">
        <v>123</v>
      </c>
      <c r="BP2" s="4" t="s">
        <v>124</v>
      </c>
      <c r="BQ2" s="4" t="s">
        <v>125</v>
      </c>
      <c r="BR2" s="4" t="s">
        <v>126</v>
      </c>
      <c r="BS2" s="4" t="s">
        <v>127</v>
      </c>
      <c r="BT2" s="4" t="s">
        <v>124</v>
      </c>
      <c r="BU2" s="4" t="s">
        <v>125</v>
      </c>
      <c r="BV2" s="4" t="s">
        <v>126</v>
      </c>
      <c r="BW2" s="4" t="s">
        <v>127</v>
      </c>
      <c r="BX2" s="4" t="s">
        <v>124</v>
      </c>
      <c r="BY2" s="4" t="s">
        <v>125</v>
      </c>
      <c r="BZ2" s="4" t="s">
        <v>126</v>
      </c>
      <c r="CA2" s="4" t="s">
        <v>127</v>
      </c>
      <c r="CB2" s="4" t="s">
        <v>124</v>
      </c>
      <c r="CC2" s="4" t="s">
        <v>125</v>
      </c>
      <c r="CD2" s="4" t="s">
        <v>126</v>
      </c>
      <c r="CE2" s="4" t="s">
        <v>127</v>
      </c>
      <c r="CF2" s="4" t="s">
        <v>124</v>
      </c>
      <c r="CG2" s="4" t="s">
        <v>125</v>
      </c>
      <c r="CH2" s="4" t="s">
        <v>126</v>
      </c>
      <c r="CI2" s="4" t="s">
        <v>127</v>
      </c>
      <c r="CJ2" s="4"/>
    </row>
    <row r="3" spans="1:112">
      <c r="H3" s="2"/>
      <c r="I3" s="2"/>
      <c r="J3" s="2"/>
      <c r="N3" s="2"/>
      <c r="O3" s="2"/>
      <c r="P3" s="2"/>
      <c r="T3" s="2"/>
      <c r="U3" s="2"/>
      <c r="V3" s="2"/>
      <c r="Z3" s="2"/>
      <c r="AA3" s="2"/>
      <c r="AB3" s="2"/>
      <c r="AF3" s="2"/>
      <c r="AG3" s="2"/>
      <c r="AH3" s="2"/>
      <c r="AL3" s="2"/>
      <c r="AM3" s="2"/>
      <c r="AN3" s="2"/>
      <c r="AR3" s="2"/>
      <c r="AS3" s="2"/>
      <c r="AT3" s="2"/>
      <c r="AX3" s="2"/>
      <c r="AY3" s="2"/>
      <c r="AZ3" s="2"/>
      <c r="BD3" s="2"/>
      <c r="BE3" s="2"/>
      <c r="BF3" s="2"/>
      <c r="BJ3" s="2"/>
      <c r="BK3" s="2"/>
      <c r="BL3" s="2"/>
      <c r="BN3" s="4" t="s">
        <v>123</v>
      </c>
      <c r="BP3" s="2">
        <f>SUM(E3:G3)</f>
        <v>0</v>
      </c>
      <c r="BQ3" s="2">
        <f>SUM(H3:J3)</f>
        <v>0</v>
      </c>
      <c r="BR3" s="2">
        <f>SUM(K3:M3)</f>
        <v>0</v>
      </c>
      <c r="BS3" s="2">
        <f>SUM(N3:P3)</f>
        <v>0</v>
      </c>
      <c r="BT3">
        <f>SUM(Q3:S3)</f>
        <v>0</v>
      </c>
      <c r="BU3">
        <f>SUM(T3:V3)</f>
        <v>0</v>
      </c>
      <c r="BV3">
        <f>SUM(W3:Y3)</f>
        <v>0</v>
      </c>
      <c r="BW3">
        <f>SUM(Z3:AB3)</f>
        <v>0</v>
      </c>
      <c r="BX3" s="2">
        <f>SUM(AC3:AE3)</f>
        <v>0</v>
      </c>
      <c r="BY3" s="2">
        <f>SUM(AF3:AH3)</f>
        <v>0</v>
      </c>
      <c r="BZ3" s="2">
        <f>SUM(AI3:AK3)</f>
        <v>0</v>
      </c>
      <c r="CA3" s="2">
        <f>SUM(AL3:AN3)</f>
        <v>0</v>
      </c>
      <c r="CB3">
        <f>SUM(AO3:AQ3)</f>
        <v>0</v>
      </c>
      <c r="CC3">
        <f>SUM(AR3:AT3)</f>
        <v>0</v>
      </c>
      <c r="CD3">
        <f>SUM(AU3:AW3)</f>
        <v>0</v>
      </c>
      <c r="CE3">
        <f>SUM(AX3:AZ3)</f>
        <v>0</v>
      </c>
      <c r="CF3" s="2">
        <f>SUM(BA3:BC3)</f>
        <v>0</v>
      </c>
      <c r="CG3" s="2">
        <f>SUM(BD3:BF3)</f>
        <v>0</v>
      </c>
      <c r="CH3" s="2">
        <f>SUM(BG3:BI3)</f>
        <v>0</v>
      </c>
      <c r="CI3" s="2">
        <f>SUM(BJ3:BL3)</f>
        <v>0</v>
      </c>
      <c r="CK3" s="5">
        <v>0.05</v>
      </c>
      <c r="CL3">
        <f>SUM(CF3:CI3)*(-1-$CK3)</f>
        <v>0</v>
      </c>
      <c r="CM3" s="5">
        <f>CK3</f>
        <v>0.05</v>
      </c>
      <c r="CN3">
        <f>SUM(CL3)*(-1-$CM3)</f>
        <v>0</v>
      </c>
      <c r="CO3" s="5">
        <f>CM3</f>
        <v>0.05</v>
      </c>
      <c r="CP3">
        <f>SUM(CN3)*(-1-$CM3)</f>
        <v>0</v>
      </c>
      <c r="CQ3" s="5">
        <f>CO3</f>
        <v>0.05</v>
      </c>
      <c r="CR3">
        <f>SUM(CP3)*(-1-$CM3)</f>
        <v>0</v>
      </c>
      <c r="CS3" s="5">
        <f>CQ3</f>
        <v>0.05</v>
      </c>
      <c r="CT3">
        <f>SUM(CR3)*(-1-$CM3)</f>
        <v>0</v>
      </c>
      <c r="CU3" s="5">
        <f>CS3</f>
        <v>0.05</v>
      </c>
      <c r="CV3">
        <f>SUM(CT3)*(-1-$CM3)</f>
        <v>0</v>
      </c>
      <c r="CW3" s="5">
        <f>CU3</f>
        <v>0.05</v>
      </c>
      <c r="CX3">
        <f>SUM(CV3)*(-1-$CM3)</f>
        <v>0</v>
      </c>
      <c r="CY3" s="5">
        <f>CW3</f>
        <v>0.05</v>
      </c>
      <c r="CZ3">
        <f>SUM(CX3)*(-1-$CM3)</f>
        <v>0</v>
      </c>
      <c r="DA3" s="5">
        <f>CY3</f>
        <v>0.05</v>
      </c>
      <c r="DB3">
        <f>SUM(CZ3)*(-1-$CM3)</f>
        <v>0</v>
      </c>
      <c r="DC3" s="5">
        <f>DA3</f>
        <v>0.05</v>
      </c>
      <c r="DD3">
        <f>SUM(DB3)*(-1-$CM3)</f>
        <v>0</v>
      </c>
      <c r="DE3" s="5">
        <f>DC3</f>
        <v>0.05</v>
      </c>
      <c r="DF3">
        <f>SUM(DD3)*(-1-$CM3)</f>
        <v>0</v>
      </c>
      <c r="DG3" s="5">
        <f>DE3</f>
        <v>0.05</v>
      </c>
      <c r="DH3">
        <f>SUM(DF3)*(-1-$CM3)</f>
        <v>0</v>
      </c>
    </row>
    <row r="4" spans="1:112" ht="13.5" thickBot="1">
      <c r="D4" s="4" t="s">
        <v>128</v>
      </c>
      <c r="E4" s="375">
        <f>SUM(E7,E17,E26)</f>
        <v>50000</v>
      </c>
      <c r="F4" s="375">
        <f t="shared" ref="F4:BL4" si="3">SUM(F7,F17,F26)</f>
        <v>0</v>
      </c>
      <c r="G4" s="375">
        <f t="shared" si="3"/>
        <v>0</v>
      </c>
      <c r="H4" s="375">
        <f t="shared" si="3"/>
        <v>350000</v>
      </c>
      <c r="I4" s="375">
        <f t="shared" si="3"/>
        <v>0</v>
      </c>
      <c r="J4" s="375">
        <f t="shared" si="3"/>
        <v>0</v>
      </c>
      <c r="K4" s="375">
        <f t="shared" si="3"/>
        <v>0</v>
      </c>
      <c r="L4" s="375">
        <f t="shared" si="3"/>
        <v>0</v>
      </c>
      <c r="M4" s="375">
        <f t="shared" si="3"/>
        <v>0</v>
      </c>
      <c r="N4" s="375">
        <f t="shared" si="3"/>
        <v>0</v>
      </c>
      <c r="O4" s="375">
        <f t="shared" si="3"/>
        <v>0</v>
      </c>
      <c r="P4" s="375">
        <f t="shared" si="3"/>
        <v>0</v>
      </c>
      <c r="Q4" s="375">
        <f t="shared" si="3"/>
        <v>1000000</v>
      </c>
      <c r="R4" s="375">
        <f t="shared" si="3"/>
        <v>0</v>
      </c>
      <c r="S4" s="375">
        <f t="shared" si="3"/>
        <v>0</v>
      </c>
      <c r="T4" s="375">
        <f t="shared" si="3"/>
        <v>0</v>
      </c>
      <c r="U4" s="375">
        <f t="shared" si="3"/>
        <v>0</v>
      </c>
      <c r="V4" s="375">
        <f t="shared" si="3"/>
        <v>0</v>
      </c>
      <c r="W4" s="375">
        <f t="shared" si="3"/>
        <v>0</v>
      </c>
      <c r="X4" s="375">
        <f t="shared" si="3"/>
        <v>0</v>
      </c>
      <c r="Y4" s="375">
        <f t="shared" si="3"/>
        <v>0</v>
      </c>
      <c r="Z4" s="375">
        <f t="shared" si="3"/>
        <v>0</v>
      </c>
      <c r="AA4" s="375">
        <f t="shared" si="3"/>
        <v>0</v>
      </c>
      <c r="AB4" s="375">
        <f t="shared" si="3"/>
        <v>0</v>
      </c>
      <c r="AC4" s="375">
        <f t="shared" si="3"/>
        <v>3500000</v>
      </c>
      <c r="AD4" s="375">
        <f t="shared" si="3"/>
        <v>0</v>
      </c>
      <c r="AE4" s="375">
        <f t="shared" si="3"/>
        <v>0</v>
      </c>
      <c r="AF4" s="375">
        <f t="shared" si="3"/>
        <v>0</v>
      </c>
      <c r="AG4" s="375">
        <f t="shared" si="3"/>
        <v>0</v>
      </c>
      <c r="AH4" s="375">
        <f t="shared" si="3"/>
        <v>0</v>
      </c>
      <c r="AI4" s="375">
        <f t="shared" si="3"/>
        <v>0</v>
      </c>
      <c r="AJ4" s="375">
        <f t="shared" si="3"/>
        <v>0</v>
      </c>
      <c r="AK4" s="375">
        <f t="shared" si="3"/>
        <v>0</v>
      </c>
      <c r="AL4" s="375">
        <f t="shared" si="3"/>
        <v>0</v>
      </c>
      <c r="AM4" s="375">
        <f t="shared" si="3"/>
        <v>0</v>
      </c>
      <c r="AN4" s="375">
        <f t="shared" si="3"/>
        <v>0</v>
      </c>
      <c r="AO4" s="375">
        <f t="shared" si="3"/>
        <v>5000000</v>
      </c>
      <c r="AP4" s="375">
        <f t="shared" si="3"/>
        <v>0</v>
      </c>
      <c r="AQ4" s="375">
        <f t="shared" si="3"/>
        <v>0</v>
      </c>
      <c r="AR4" s="375">
        <f t="shared" si="3"/>
        <v>0</v>
      </c>
      <c r="AS4" s="375">
        <f t="shared" si="3"/>
        <v>0</v>
      </c>
      <c r="AT4" s="375">
        <f t="shared" si="3"/>
        <v>0</v>
      </c>
      <c r="AU4" s="375">
        <f t="shared" si="3"/>
        <v>0</v>
      </c>
      <c r="AV4" s="375">
        <f t="shared" si="3"/>
        <v>0</v>
      </c>
      <c r="AW4" s="375">
        <f t="shared" si="3"/>
        <v>0</v>
      </c>
      <c r="AX4" s="375">
        <f t="shared" si="3"/>
        <v>0</v>
      </c>
      <c r="AY4" s="375">
        <f t="shared" si="3"/>
        <v>0</v>
      </c>
      <c r="AZ4" s="375">
        <f t="shared" si="3"/>
        <v>0</v>
      </c>
      <c r="BA4" s="375">
        <f t="shared" si="3"/>
        <v>0</v>
      </c>
      <c r="BB4" s="375">
        <f t="shared" si="3"/>
        <v>0</v>
      </c>
      <c r="BC4" s="375">
        <f t="shared" si="3"/>
        <v>0</v>
      </c>
      <c r="BD4" s="375">
        <f t="shared" si="3"/>
        <v>0</v>
      </c>
      <c r="BE4" s="375">
        <f t="shared" si="3"/>
        <v>0</v>
      </c>
      <c r="BF4" s="375">
        <f t="shared" si="3"/>
        <v>0</v>
      </c>
      <c r="BG4" s="375">
        <f t="shared" si="3"/>
        <v>0</v>
      </c>
      <c r="BH4" s="375">
        <f t="shared" si="3"/>
        <v>0</v>
      </c>
      <c r="BI4" s="375">
        <f t="shared" si="3"/>
        <v>0</v>
      </c>
      <c r="BJ4" s="375">
        <f t="shared" si="3"/>
        <v>0</v>
      </c>
      <c r="BK4" s="375">
        <f t="shared" si="3"/>
        <v>0</v>
      </c>
      <c r="BL4" s="375">
        <f t="shared" si="3"/>
        <v>0</v>
      </c>
      <c r="BN4" s="4" t="s">
        <v>123</v>
      </c>
    </row>
    <row r="5" spans="1:112">
      <c r="E5" s="376"/>
      <c r="F5" s="376"/>
      <c r="G5" s="376"/>
      <c r="H5" s="376"/>
      <c r="I5" s="376"/>
      <c r="J5" s="376"/>
      <c r="K5" s="376"/>
      <c r="L5" s="376"/>
      <c r="M5" s="376"/>
      <c r="N5" s="376"/>
      <c r="O5" s="376"/>
      <c r="P5" s="376"/>
      <c r="Q5" s="376"/>
      <c r="R5" s="376"/>
      <c r="S5" s="376"/>
      <c r="T5" s="376"/>
      <c r="U5" s="376"/>
      <c r="V5" s="376"/>
      <c r="W5" s="376"/>
      <c r="X5" s="376"/>
      <c r="Y5" s="376"/>
      <c r="Z5" s="376"/>
      <c r="AA5" s="376"/>
      <c r="AB5" s="376"/>
      <c r="AC5" s="376"/>
      <c r="AD5" s="376"/>
      <c r="AE5" s="376"/>
      <c r="AF5" s="376"/>
      <c r="AG5" s="376"/>
      <c r="AH5" s="376"/>
      <c r="AI5" s="376"/>
      <c r="AJ5" s="376"/>
      <c r="AK5" s="376"/>
      <c r="AL5" s="376"/>
      <c r="AM5" s="376"/>
      <c r="AN5" s="376"/>
      <c r="AO5" s="376"/>
      <c r="AP5" s="376"/>
      <c r="AQ5" s="376"/>
      <c r="AR5" s="376"/>
      <c r="AS5" s="376"/>
      <c r="AT5" s="376"/>
      <c r="AU5" s="376"/>
      <c r="AV5" s="376"/>
      <c r="AW5" s="376"/>
      <c r="AX5" s="376"/>
      <c r="AY5" s="376"/>
      <c r="AZ5" s="376"/>
      <c r="BA5" s="376"/>
      <c r="BB5" s="376"/>
      <c r="BC5" s="376"/>
      <c r="BD5" s="376"/>
      <c r="BE5" s="376"/>
      <c r="BF5" s="376"/>
      <c r="BG5" s="376"/>
      <c r="BH5" s="376"/>
      <c r="BI5" s="376"/>
      <c r="BJ5" s="376"/>
      <c r="BK5" s="376"/>
      <c r="BL5" s="376"/>
      <c r="BN5" s="4" t="s">
        <v>123</v>
      </c>
    </row>
    <row r="6" spans="1:112">
      <c r="E6" s="376"/>
      <c r="F6" s="376"/>
      <c r="G6" s="376"/>
      <c r="H6" s="376"/>
      <c r="I6" s="376"/>
      <c r="J6" s="376"/>
      <c r="K6" s="376"/>
      <c r="L6" s="376"/>
      <c r="M6" s="376"/>
      <c r="N6" s="376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6"/>
      <c r="Z6" s="376"/>
      <c r="AA6" s="376"/>
      <c r="AB6" s="376"/>
      <c r="AC6" s="376"/>
      <c r="AD6" s="376"/>
      <c r="AE6" s="376"/>
      <c r="AF6" s="376"/>
      <c r="AG6" s="376"/>
      <c r="AH6" s="376"/>
      <c r="AI6" s="376"/>
      <c r="AJ6" s="376"/>
      <c r="AK6" s="376"/>
      <c r="AL6" s="376"/>
      <c r="AM6" s="376"/>
      <c r="AN6" s="376"/>
      <c r="AO6" s="376"/>
      <c r="AP6" s="376"/>
      <c r="AQ6" s="376"/>
      <c r="AR6" s="376"/>
      <c r="AS6" s="376"/>
      <c r="AT6" s="376"/>
      <c r="AU6" s="376"/>
      <c r="AV6" s="376"/>
      <c r="AW6" s="376"/>
      <c r="AX6" s="376"/>
      <c r="AY6" s="376"/>
      <c r="AZ6" s="376"/>
      <c r="BA6" s="376"/>
      <c r="BB6" s="376"/>
      <c r="BC6" s="376"/>
      <c r="BD6" s="376"/>
      <c r="BE6" s="376"/>
      <c r="BF6" s="376"/>
      <c r="BG6" s="376"/>
      <c r="BH6" s="376"/>
      <c r="BI6" s="376"/>
      <c r="BJ6" s="376"/>
      <c r="BK6" s="376"/>
      <c r="BL6" s="376"/>
      <c r="BN6" s="4" t="s">
        <v>123</v>
      </c>
    </row>
    <row r="7" spans="1:112">
      <c r="A7" s="133"/>
      <c r="B7" s="133" t="s">
        <v>129</v>
      </c>
      <c r="C7" s="133"/>
      <c r="D7" s="132" t="s">
        <v>130</v>
      </c>
      <c r="E7" s="377">
        <f>SUM(E9:E13)</f>
        <v>50000</v>
      </c>
      <c r="F7" s="377">
        <f t="shared" ref="F7:BL7" si="4">SUM(F9:F13)</f>
        <v>0</v>
      </c>
      <c r="G7" s="377">
        <f t="shared" si="4"/>
        <v>0</v>
      </c>
      <c r="H7" s="377">
        <f t="shared" si="4"/>
        <v>350000</v>
      </c>
      <c r="I7" s="377">
        <f t="shared" si="4"/>
        <v>0</v>
      </c>
      <c r="J7" s="377">
        <f t="shared" si="4"/>
        <v>0</v>
      </c>
      <c r="K7" s="377">
        <f t="shared" si="4"/>
        <v>0</v>
      </c>
      <c r="L7" s="377">
        <f t="shared" si="4"/>
        <v>0</v>
      </c>
      <c r="M7" s="377">
        <f t="shared" si="4"/>
        <v>0</v>
      </c>
      <c r="N7" s="377">
        <f t="shared" si="4"/>
        <v>0</v>
      </c>
      <c r="O7" s="377">
        <f t="shared" si="4"/>
        <v>0</v>
      </c>
      <c r="P7" s="377">
        <f t="shared" si="4"/>
        <v>0</v>
      </c>
      <c r="Q7" s="377">
        <f t="shared" si="4"/>
        <v>1000000</v>
      </c>
      <c r="R7" s="377">
        <f t="shared" si="4"/>
        <v>0</v>
      </c>
      <c r="S7" s="377">
        <f t="shared" si="4"/>
        <v>0</v>
      </c>
      <c r="T7" s="377">
        <f t="shared" si="4"/>
        <v>0</v>
      </c>
      <c r="U7" s="377">
        <f t="shared" si="4"/>
        <v>0</v>
      </c>
      <c r="V7" s="377">
        <f t="shared" si="4"/>
        <v>0</v>
      </c>
      <c r="W7" s="377">
        <f t="shared" si="4"/>
        <v>0</v>
      </c>
      <c r="X7" s="377">
        <f t="shared" si="4"/>
        <v>0</v>
      </c>
      <c r="Y7" s="377">
        <f t="shared" si="4"/>
        <v>0</v>
      </c>
      <c r="Z7" s="377">
        <f t="shared" si="4"/>
        <v>0</v>
      </c>
      <c r="AA7" s="377">
        <f t="shared" si="4"/>
        <v>0</v>
      </c>
      <c r="AB7" s="377">
        <f t="shared" si="4"/>
        <v>0</v>
      </c>
      <c r="AC7" s="377">
        <f t="shared" si="4"/>
        <v>3500000</v>
      </c>
      <c r="AD7" s="377">
        <f t="shared" si="4"/>
        <v>0</v>
      </c>
      <c r="AE7" s="377">
        <f t="shared" si="4"/>
        <v>0</v>
      </c>
      <c r="AF7" s="377">
        <f t="shared" si="4"/>
        <v>0</v>
      </c>
      <c r="AG7" s="377">
        <f t="shared" si="4"/>
        <v>0</v>
      </c>
      <c r="AH7" s="377">
        <f t="shared" si="4"/>
        <v>0</v>
      </c>
      <c r="AI7" s="377">
        <f t="shared" si="4"/>
        <v>0</v>
      </c>
      <c r="AJ7" s="377">
        <f t="shared" si="4"/>
        <v>0</v>
      </c>
      <c r="AK7" s="377">
        <f t="shared" si="4"/>
        <v>0</v>
      </c>
      <c r="AL7" s="377">
        <f t="shared" si="4"/>
        <v>0</v>
      </c>
      <c r="AM7" s="377">
        <f t="shared" si="4"/>
        <v>0</v>
      </c>
      <c r="AN7" s="377">
        <f t="shared" si="4"/>
        <v>0</v>
      </c>
      <c r="AO7" s="377">
        <f t="shared" si="4"/>
        <v>5000000</v>
      </c>
      <c r="AP7" s="377">
        <f t="shared" si="4"/>
        <v>0</v>
      </c>
      <c r="AQ7" s="377">
        <f t="shared" si="4"/>
        <v>0</v>
      </c>
      <c r="AR7" s="377">
        <f t="shared" si="4"/>
        <v>0</v>
      </c>
      <c r="AS7" s="377">
        <f t="shared" si="4"/>
        <v>0</v>
      </c>
      <c r="AT7" s="377">
        <f t="shared" si="4"/>
        <v>0</v>
      </c>
      <c r="AU7" s="377">
        <f t="shared" si="4"/>
        <v>0</v>
      </c>
      <c r="AV7" s="377">
        <f t="shared" si="4"/>
        <v>0</v>
      </c>
      <c r="AW7" s="377">
        <f t="shared" si="4"/>
        <v>0</v>
      </c>
      <c r="AX7" s="377">
        <f t="shared" si="4"/>
        <v>0</v>
      </c>
      <c r="AY7" s="377">
        <f t="shared" si="4"/>
        <v>0</v>
      </c>
      <c r="AZ7" s="377">
        <f t="shared" si="4"/>
        <v>0</v>
      </c>
      <c r="BA7" s="377">
        <f t="shared" si="4"/>
        <v>0</v>
      </c>
      <c r="BB7" s="377">
        <f t="shared" si="4"/>
        <v>0</v>
      </c>
      <c r="BC7" s="377">
        <f t="shared" si="4"/>
        <v>0</v>
      </c>
      <c r="BD7" s="377">
        <f t="shared" si="4"/>
        <v>0</v>
      </c>
      <c r="BE7" s="377">
        <f t="shared" si="4"/>
        <v>0</v>
      </c>
      <c r="BF7" s="377">
        <f t="shared" si="4"/>
        <v>0</v>
      </c>
      <c r="BG7" s="377">
        <f t="shared" si="4"/>
        <v>0</v>
      </c>
      <c r="BH7" s="377">
        <f t="shared" si="4"/>
        <v>0</v>
      </c>
      <c r="BI7" s="377">
        <f t="shared" si="4"/>
        <v>0</v>
      </c>
      <c r="BJ7" s="377">
        <f t="shared" si="4"/>
        <v>0</v>
      </c>
      <c r="BK7" s="377">
        <f t="shared" si="4"/>
        <v>0</v>
      </c>
      <c r="BL7" s="377">
        <f t="shared" si="4"/>
        <v>0</v>
      </c>
      <c r="BN7" s="4" t="s">
        <v>123</v>
      </c>
    </row>
    <row r="8" spans="1:112">
      <c r="C8" s="148"/>
      <c r="E8" s="376"/>
      <c r="F8" s="376"/>
      <c r="G8" s="376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  <c r="AE8" s="376"/>
      <c r="AF8" s="376"/>
      <c r="AG8" s="376"/>
      <c r="AH8" s="376"/>
      <c r="AI8" s="376"/>
      <c r="AJ8" s="376"/>
      <c r="AK8" s="376"/>
      <c r="AL8" s="376"/>
      <c r="AM8" s="376"/>
      <c r="AN8" s="376"/>
      <c r="AO8" s="376"/>
      <c r="AP8" s="376"/>
      <c r="AQ8" s="376"/>
      <c r="AR8" s="376"/>
      <c r="AS8" s="376"/>
      <c r="AT8" s="376"/>
      <c r="AU8" s="376"/>
      <c r="AV8" s="376"/>
      <c r="AW8" s="376"/>
      <c r="AX8" s="376"/>
      <c r="AY8" s="376"/>
      <c r="AZ8" s="376"/>
      <c r="BA8" s="376"/>
      <c r="BB8" s="376"/>
      <c r="BC8" s="376"/>
      <c r="BD8" s="376"/>
      <c r="BE8" s="376"/>
      <c r="BF8" s="376"/>
      <c r="BG8" s="376"/>
      <c r="BH8" s="376"/>
      <c r="BI8" s="376"/>
      <c r="BJ8" s="376"/>
      <c r="BK8" s="376"/>
      <c r="BL8" s="376"/>
      <c r="BN8" s="4" t="s">
        <v>123</v>
      </c>
    </row>
    <row r="9" spans="1:112">
      <c r="B9" t="s">
        <v>131</v>
      </c>
      <c r="C9" s="148">
        <f>'Cap Table'!B36</f>
        <v>50000</v>
      </c>
      <c r="D9" s="135" t="s">
        <v>19</v>
      </c>
      <c r="E9" s="376">
        <f>IF(E$2=$D9,$C9,0)</f>
        <v>50000</v>
      </c>
      <c r="F9" s="376">
        <f t="shared" ref="F9:BL13" si="5">IF(F$2=$D9,$C9,0)</f>
        <v>0</v>
      </c>
      <c r="G9" s="376">
        <f t="shared" si="5"/>
        <v>0</v>
      </c>
      <c r="H9" s="376">
        <f t="shared" si="5"/>
        <v>0</v>
      </c>
      <c r="I9" s="376">
        <f t="shared" si="5"/>
        <v>0</v>
      </c>
      <c r="J9" s="376">
        <f t="shared" si="5"/>
        <v>0</v>
      </c>
      <c r="K9" s="376">
        <f t="shared" si="5"/>
        <v>0</v>
      </c>
      <c r="L9" s="376">
        <f t="shared" si="5"/>
        <v>0</v>
      </c>
      <c r="M9" s="376">
        <f t="shared" si="5"/>
        <v>0</v>
      </c>
      <c r="N9" s="376">
        <f t="shared" si="5"/>
        <v>0</v>
      </c>
      <c r="O9" s="376">
        <f t="shared" si="5"/>
        <v>0</v>
      </c>
      <c r="P9" s="376">
        <f t="shared" si="5"/>
        <v>0</v>
      </c>
      <c r="Q9" s="376">
        <f t="shared" si="5"/>
        <v>0</v>
      </c>
      <c r="R9" s="376">
        <f t="shared" si="5"/>
        <v>0</v>
      </c>
      <c r="S9" s="376">
        <f t="shared" si="5"/>
        <v>0</v>
      </c>
      <c r="T9" s="376">
        <f t="shared" si="5"/>
        <v>0</v>
      </c>
      <c r="U9" s="376">
        <f t="shared" si="5"/>
        <v>0</v>
      </c>
      <c r="V9" s="376">
        <f t="shared" si="5"/>
        <v>0</v>
      </c>
      <c r="W9" s="376">
        <f t="shared" si="5"/>
        <v>0</v>
      </c>
      <c r="X9" s="376">
        <f t="shared" si="5"/>
        <v>0</v>
      </c>
      <c r="Y9" s="376">
        <f t="shared" si="5"/>
        <v>0</v>
      </c>
      <c r="Z9" s="376">
        <f t="shared" si="5"/>
        <v>0</v>
      </c>
      <c r="AA9" s="376">
        <f t="shared" si="5"/>
        <v>0</v>
      </c>
      <c r="AB9" s="376">
        <f t="shared" si="5"/>
        <v>0</v>
      </c>
      <c r="AC9" s="376">
        <f t="shared" si="5"/>
        <v>0</v>
      </c>
      <c r="AD9" s="376">
        <f t="shared" si="5"/>
        <v>0</v>
      </c>
      <c r="AE9" s="376">
        <f t="shared" si="5"/>
        <v>0</v>
      </c>
      <c r="AF9" s="376">
        <f t="shared" si="5"/>
        <v>0</v>
      </c>
      <c r="AG9" s="376">
        <f t="shared" si="5"/>
        <v>0</v>
      </c>
      <c r="AH9" s="376">
        <f t="shared" si="5"/>
        <v>0</v>
      </c>
      <c r="AI9" s="376">
        <f t="shared" si="5"/>
        <v>0</v>
      </c>
      <c r="AJ9" s="376">
        <f t="shared" si="5"/>
        <v>0</v>
      </c>
      <c r="AK9" s="376">
        <f t="shared" si="5"/>
        <v>0</v>
      </c>
      <c r="AL9" s="376">
        <f t="shared" si="5"/>
        <v>0</v>
      </c>
      <c r="AM9" s="376">
        <f t="shared" si="5"/>
        <v>0</v>
      </c>
      <c r="AN9" s="376">
        <f t="shared" si="5"/>
        <v>0</v>
      </c>
      <c r="AO9" s="376">
        <f t="shared" si="5"/>
        <v>0</v>
      </c>
      <c r="AP9" s="376">
        <f t="shared" si="5"/>
        <v>0</v>
      </c>
      <c r="AQ9" s="376">
        <f t="shared" si="5"/>
        <v>0</v>
      </c>
      <c r="AR9" s="376">
        <f t="shared" si="5"/>
        <v>0</v>
      </c>
      <c r="AS9" s="376">
        <f t="shared" si="5"/>
        <v>0</v>
      </c>
      <c r="AT9" s="376">
        <f t="shared" si="5"/>
        <v>0</v>
      </c>
      <c r="AU9" s="376">
        <f t="shared" si="5"/>
        <v>0</v>
      </c>
      <c r="AV9" s="376">
        <f t="shared" si="5"/>
        <v>0</v>
      </c>
      <c r="AW9" s="376">
        <f t="shared" si="5"/>
        <v>0</v>
      </c>
      <c r="AX9" s="376">
        <f t="shared" si="5"/>
        <v>0</v>
      </c>
      <c r="AY9" s="376">
        <f t="shared" si="5"/>
        <v>0</v>
      </c>
      <c r="AZ9" s="376">
        <f t="shared" si="5"/>
        <v>0</v>
      </c>
      <c r="BA9" s="376">
        <f t="shared" si="5"/>
        <v>0</v>
      </c>
      <c r="BB9" s="376">
        <f t="shared" si="5"/>
        <v>0</v>
      </c>
      <c r="BC9" s="376">
        <f t="shared" si="5"/>
        <v>0</v>
      </c>
      <c r="BD9" s="376">
        <f t="shared" si="5"/>
        <v>0</v>
      </c>
      <c r="BE9" s="376">
        <f t="shared" si="5"/>
        <v>0</v>
      </c>
      <c r="BF9" s="376">
        <f t="shared" si="5"/>
        <v>0</v>
      </c>
      <c r="BG9" s="376">
        <f t="shared" si="5"/>
        <v>0</v>
      </c>
      <c r="BH9" s="376">
        <f t="shared" si="5"/>
        <v>0</v>
      </c>
      <c r="BI9" s="376">
        <f t="shared" si="5"/>
        <v>0</v>
      </c>
      <c r="BJ9" s="376">
        <f t="shared" si="5"/>
        <v>0</v>
      </c>
      <c r="BK9" s="376">
        <f t="shared" si="5"/>
        <v>0</v>
      </c>
      <c r="BL9" s="376">
        <f t="shared" si="5"/>
        <v>0</v>
      </c>
      <c r="BN9" s="4" t="s">
        <v>123</v>
      </c>
    </row>
    <row r="10" spans="1:112">
      <c r="B10" t="s">
        <v>132</v>
      </c>
      <c r="C10" s="148">
        <f>'Cap Table'!F36</f>
        <v>350000</v>
      </c>
      <c r="D10" s="135" t="s">
        <v>22</v>
      </c>
      <c r="E10" s="376">
        <f t="shared" ref="E10:T14" si="6">IF(E$2=$D10,$C10,0)</f>
        <v>0</v>
      </c>
      <c r="F10" s="376">
        <f t="shared" si="6"/>
        <v>0</v>
      </c>
      <c r="G10" s="376">
        <f t="shared" si="6"/>
        <v>0</v>
      </c>
      <c r="H10" s="376">
        <f t="shared" si="6"/>
        <v>350000</v>
      </c>
      <c r="I10" s="376">
        <f t="shared" si="6"/>
        <v>0</v>
      </c>
      <c r="J10" s="376">
        <f t="shared" si="6"/>
        <v>0</v>
      </c>
      <c r="K10" s="376">
        <f t="shared" si="6"/>
        <v>0</v>
      </c>
      <c r="L10" s="376">
        <f t="shared" si="6"/>
        <v>0</v>
      </c>
      <c r="M10" s="376">
        <f t="shared" si="6"/>
        <v>0</v>
      </c>
      <c r="N10" s="376">
        <f t="shared" si="6"/>
        <v>0</v>
      </c>
      <c r="O10" s="376">
        <f t="shared" si="6"/>
        <v>0</v>
      </c>
      <c r="P10" s="376">
        <f t="shared" si="6"/>
        <v>0</v>
      </c>
      <c r="Q10" s="376">
        <f t="shared" si="6"/>
        <v>0</v>
      </c>
      <c r="R10" s="376">
        <f t="shared" si="6"/>
        <v>0</v>
      </c>
      <c r="S10" s="376">
        <f t="shared" si="6"/>
        <v>0</v>
      </c>
      <c r="T10" s="376">
        <f t="shared" si="6"/>
        <v>0</v>
      </c>
      <c r="U10" s="376">
        <f t="shared" si="5"/>
        <v>0</v>
      </c>
      <c r="V10" s="376">
        <f t="shared" si="5"/>
        <v>0</v>
      </c>
      <c r="W10" s="376">
        <f t="shared" si="5"/>
        <v>0</v>
      </c>
      <c r="X10" s="376">
        <f t="shared" si="5"/>
        <v>0</v>
      </c>
      <c r="Y10" s="376">
        <f t="shared" si="5"/>
        <v>0</v>
      </c>
      <c r="Z10" s="376">
        <f t="shared" si="5"/>
        <v>0</v>
      </c>
      <c r="AA10" s="376">
        <f t="shared" si="5"/>
        <v>0</v>
      </c>
      <c r="AB10" s="376">
        <f t="shared" si="5"/>
        <v>0</v>
      </c>
      <c r="AC10" s="376">
        <f t="shared" si="5"/>
        <v>0</v>
      </c>
      <c r="AD10" s="376">
        <f t="shared" si="5"/>
        <v>0</v>
      </c>
      <c r="AE10" s="376">
        <f t="shared" si="5"/>
        <v>0</v>
      </c>
      <c r="AF10" s="376">
        <f t="shared" si="5"/>
        <v>0</v>
      </c>
      <c r="AG10" s="376">
        <f t="shared" si="5"/>
        <v>0</v>
      </c>
      <c r="AH10" s="376">
        <f t="shared" si="5"/>
        <v>0</v>
      </c>
      <c r="AI10" s="376">
        <f t="shared" si="5"/>
        <v>0</v>
      </c>
      <c r="AJ10" s="376">
        <f t="shared" si="5"/>
        <v>0</v>
      </c>
      <c r="AK10" s="376">
        <f t="shared" si="5"/>
        <v>0</v>
      </c>
      <c r="AL10" s="376">
        <f t="shared" si="5"/>
        <v>0</v>
      </c>
      <c r="AM10" s="376">
        <f t="shared" si="5"/>
        <v>0</v>
      </c>
      <c r="AN10" s="376">
        <f t="shared" si="5"/>
        <v>0</v>
      </c>
      <c r="AO10" s="376">
        <f t="shared" si="5"/>
        <v>0</v>
      </c>
      <c r="AP10" s="376">
        <f t="shared" si="5"/>
        <v>0</v>
      </c>
      <c r="AQ10" s="376">
        <f t="shared" si="5"/>
        <v>0</v>
      </c>
      <c r="AR10" s="376">
        <f t="shared" si="5"/>
        <v>0</v>
      </c>
      <c r="AS10" s="376">
        <f t="shared" si="5"/>
        <v>0</v>
      </c>
      <c r="AT10" s="376">
        <f t="shared" si="5"/>
        <v>0</v>
      </c>
      <c r="AU10" s="376">
        <f t="shared" si="5"/>
        <v>0</v>
      </c>
      <c r="AV10" s="376">
        <f t="shared" si="5"/>
        <v>0</v>
      </c>
      <c r="AW10" s="376">
        <f t="shared" si="5"/>
        <v>0</v>
      </c>
      <c r="AX10" s="376">
        <f t="shared" si="5"/>
        <v>0</v>
      </c>
      <c r="AY10" s="376">
        <f t="shared" si="5"/>
        <v>0</v>
      </c>
      <c r="AZ10" s="376">
        <f t="shared" si="5"/>
        <v>0</v>
      </c>
      <c r="BA10" s="376">
        <f t="shared" si="5"/>
        <v>0</v>
      </c>
      <c r="BB10" s="376">
        <f t="shared" si="5"/>
        <v>0</v>
      </c>
      <c r="BC10" s="376">
        <f t="shared" si="5"/>
        <v>0</v>
      </c>
      <c r="BD10" s="376">
        <f t="shared" si="5"/>
        <v>0</v>
      </c>
      <c r="BE10" s="376">
        <f t="shared" si="5"/>
        <v>0</v>
      </c>
      <c r="BF10" s="376">
        <f t="shared" si="5"/>
        <v>0</v>
      </c>
      <c r="BG10" s="376">
        <f t="shared" si="5"/>
        <v>0</v>
      </c>
      <c r="BH10" s="376">
        <f t="shared" si="5"/>
        <v>0</v>
      </c>
      <c r="BI10" s="376">
        <f t="shared" si="5"/>
        <v>0</v>
      </c>
      <c r="BJ10" s="376">
        <f t="shared" si="5"/>
        <v>0</v>
      </c>
      <c r="BK10" s="376">
        <f t="shared" si="5"/>
        <v>0</v>
      </c>
      <c r="BL10" s="376">
        <f t="shared" si="5"/>
        <v>0</v>
      </c>
      <c r="BN10" s="4" t="s">
        <v>123</v>
      </c>
    </row>
    <row r="11" spans="1:112">
      <c r="B11" t="s">
        <v>133</v>
      </c>
      <c r="C11" s="148">
        <f>'Cap Table'!J36</f>
        <v>1000000</v>
      </c>
      <c r="D11" s="135" t="s">
        <v>31</v>
      </c>
      <c r="E11" s="376">
        <f t="shared" si="6"/>
        <v>0</v>
      </c>
      <c r="F11" s="376">
        <f t="shared" si="5"/>
        <v>0</v>
      </c>
      <c r="G11" s="376">
        <f t="shared" si="5"/>
        <v>0</v>
      </c>
      <c r="H11" s="376">
        <f t="shared" si="5"/>
        <v>0</v>
      </c>
      <c r="I11" s="376">
        <f t="shared" si="5"/>
        <v>0</v>
      </c>
      <c r="J11" s="376">
        <f t="shared" si="5"/>
        <v>0</v>
      </c>
      <c r="K11" s="376">
        <f t="shared" si="5"/>
        <v>0</v>
      </c>
      <c r="L11" s="376">
        <f t="shared" si="5"/>
        <v>0</v>
      </c>
      <c r="M11" s="376">
        <f t="shared" si="5"/>
        <v>0</v>
      </c>
      <c r="N11" s="376">
        <f t="shared" si="5"/>
        <v>0</v>
      </c>
      <c r="O11" s="376">
        <f t="shared" si="5"/>
        <v>0</v>
      </c>
      <c r="P11" s="376">
        <f t="shared" si="5"/>
        <v>0</v>
      </c>
      <c r="Q11" s="376">
        <f t="shared" si="5"/>
        <v>1000000</v>
      </c>
      <c r="R11" s="376">
        <f t="shared" si="5"/>
        <v>0</v>
      </c>
      <c r="S11" s="376">
        <f t="shared" si="5"/>
        <v>0</v>
      </c>
      <c r="T11" s="376">
        <f t="shared" si="5"/>
        <v>0</v>
      </c>
      <c r="U11" s="376">
        <f t="shared" si="5"/>
        <v>0</v>
      </c>
      <c r="V11" s="376">
        <f t="shared" si="5"/>
        <v>0</v>
      </c>
      <c r="W11" s="376">
        <f t="shared" si="5"/>
        <v>0</v>
      </c>
      <c r="X11" s="376">
        <f t="shared" si="5"/>
        <v>0</v>
      </c>
      <c r="Y11" s="376">
        <f t="shared" si="5"/>
        <v>0</v>
      </c>
      <c r="Z11" s="376">
        <f t="shared" si="5"/>
        <v>0</v>
      </c>
      <c r="AA11" s="376">
        <f t="shared" si="5"/>
        <v>0</v>
      </c>
      <c r="AB11" s="376">
        <f t="shared" si="5"/>
        <v>0</v>
      </c>
      <c r="AC11" s="376">
        <f t="shared" si="5"/>
        <v>0</v>
      </c>
      <c r="AD11" s="376">
        <f t="shared" si="5"/>
        <v>0</v>
      </c>
      <c r="AE11" s="376">
        <f t="shared" si="5"/>
        <v>0</v>
      </c>
      <c r="AF11" s="376">
        <f t="shared" si="5"/>
        <v>0</v>
      </c>
      <c r="AG11" s="376">
        <f t="shared" si="5"/>
        <v>0</v>
      </c>
      <c r="AH11" s="376">
        <f t="shared" si="5"/>
        <v>0</v>
      </c>
      <c r="AI11" s="376">
        <f t="shared" si="5"/>
        <v>0</v>
      </c>
      <c r="AJ11" s="376">
        <f t="shared" si="5"/>
        <v>0</v>
      </c>
      <c r="AK11" s="376">
        <f t="shared" si="5"/>
        <v>0</v>
      </c>
      <c r="AL11" s="376">
        <f t="shared" si="5"/>
        <v>0</v>
      </c>
      <c r="AM11" s="376">
        <f t="shared" si="5"/>
        <v>0</v>
      </c>
      <c r="AN11" s="376">
        <f t="shared" si="5"/>
        <v>0</v>
      </c>
      <c r="AO11" s="376">
        <f t="shared" si="5"/>
        <v>0</v>
      </c>
      <c r="AP11" s="376">
        <f t="shared" si="5"/>
        <v>0</v>
      </c>
      <c r="AQ11" s="376">
        <f t="shared" si="5"/>
        <v>0</v>
      </c>
      <c r="AR11" s="376">
        <f t="shared" si="5"/>
        <v>0</v>
      </c>
      <c r="AS11" s="376">
        <f t="shared" si="5"/>
        <v>0</v>
      </c>
      <c r="AT11" s="376">
        <f t="shared" si="5"/>
        <v>0</v>
      </c>
      <c r="AU11" s="376">
        <f t="shared" si="5"/>
        <v>0</v>
      </c>
      <c r="AV11" s="376">
        <f t="shared" si="5"/>
        <v>0</v>
      </c>
      <c r="AW11" s="376">
        <f t="shared" si="5"/>
        <v>0</v>
      </c>
      <c r="AX11" s="376">
        <f t="shared" si="5"/>
        <v>0</v>
      </c>
      <c r="AY11" s="376">
        <f t="shared" si="5"/>
        <v>0</v>
      </c>
      <c r="AZ11" s="376">
        <f t="shared" si="5"/>
        <v>0</v>
      </c>
      <c r="BA11" s="376">
        <f t="shared" si="5"/>
        <v>0</v>
      </c>
      <c r="BB11" s="376">
        <f t="shared" si="5"/>
        <v>0</v>
      </c>
      <c r="BC11" s="376">
        <f t="shared" si="5"/>
        <v>0</v>
      </c>
      <c r="BD11" s="376">
        <f t="shared" si="5"/>
        <v>0</v>
      </c>
      <c r="BE11" s="376">
        <f t="shared" si="5"/>
        <v>0</v>
      </c>
      <c r="BF11" s="376">
        <f t="shared" si="5"/>
        <v>0</v>
      </c>
      <c r="BG11" s="376">
        <f t="shared" si="5"/>
        <v>0</v>
      </c>
      <c r="BH11" s="376">
        <f t="shared" si="5"/>
        <v>0</v>
      </c>
      <c r="BI11" s="376">
        <f t="shared" si="5"/>
        <v>0</v>
      </c>
      <c r="BJ11" s="376">
        <f t="shared" si="5"/>
        <v>0</v>
      </c>
      <c r="BK11" s="376">
        <f t="shared" si="5"/>
        <v>0</v>
      </c>
      <c r="BL11" s="376">
        <f t="shared" si="5"/>
        <v>0</v>
      </c>
      <c r="BN11" s="4" t="s">
        <v>123</v>
      </c>
    </row>
    <row r="12" spans="1:112">
      <c r="B12" t="s">
        <v>134</v>
      </c>
      <c r="C12" s="148">
        <f>'Cap Table'!N36</f>
        <v>3500000</v>
      </c>
      <c r="D12" s="135" t="s">
        <v>43</v>
      </c>
      <c r="E12" s="376">
        <f t="shared" si="6"/>
        <v>0</v>
      </c>
      <c r="F12" s="376">
        <f t="shared" si="5"/>
        <v>0</v>
      </c>
      <c r="G12" s="376">
        <f t="shared" si="5"/>
        <v>0</v>
      </c>
      <c r="H12" s="376">
        <f t="shared" si="5"/>
        <v>0</v>
      </c>
      <c r="I12" s="376">
        <f t="shared" si="5"/>
        <v>0</v>
      </c>
      <c r="J12" s="376">
        <f t="shared" si="5"/>
        <v>0</v>
      </c>
      <c r="K12" s="376">
        <f t="shared" si="5"/>
        <v>0</v>
      </c>
      <c r="L12" s="376">
        <f t="shared" si="5"/>
        <v>0</v>
      </c>
      <c r="M12" s="376">
        <f t="shared" si="5"/>
        <v>0</v>
      </c>
      <c r="N12" s="376">
        <f t="shared" si="5"/>
        <v>0</v>
      </c>
      <c r="O12" s="376">
        <f t="shared" si="5"/>
        <v>0</v>
      </c>
      <c r="P12" s="376">
        <f t="shared" si="5"/>
        <v>0</v>
      </c>
      <c r="Q12" s="376">
        <f t="shared" si="5"/>
        <v>0</v>
      </c>
      <c r="R12" s="376">
        <f t="shared" si="5"/>
        <v>0</v>
      </c>
      <c r="S12" s="376">
        <f t="shared" si="5"/>
        <v>0</v>
      </c>
      <c r="T12" s="376">
        <f t="shared" si="5"/>
        <v>0</v>
      </c>
      <c r="U12" s="376">
        <f t="shared" si="5"/>
        <v>0</v>
      </c>
      <c r="V12" s="376">
        <f t="shared" si="5"/>
        <v>0</v>
      </c>
      <c r="W12" s="376">
        <f t="shared" si="5"/>
        <v>0</v>
      </c>
      <c r="X12" s="376">
        <f t="shared" si="5"/>
        <v>0</v>
      </c>
      <c r="Y12" s="376">
        <f t="shared" si="5"/>
        <v>0</v>
      </c>
      <c r="Z12" s="376">
        <f t="shared" si="5"/>
        <v>0</v>
      </c>
      <c r="AA12" s="376">
        <f t="shared" si="5"/>
        <v>0</v>
      </c>
      <c r="AB12" s="376">
        <f t="shared" si="5"/>
        <v>0</v>
      </c>
      <c r="AC12" s="376">
        <f t="shared" si="5"/>
        <v>3500000</v>
      </c>
      <c r="AD12" s="376">
        <f t="shared" si="5"/>
        <v>0</v>
      </c>
      <c r="AE12" s="376">
        <f t="shared" si="5"/>
        <v>0</v>
      </c>
      <c r="AF12" s="376">
        <f t="shared" si="5"/>
        <v>0</v>
      </c>
      <c r="AG12" s="376">
        <f t="shared" si="5"/>
        <v>0</v>
      </c>
      <c r="AH12" s="376">
        <f t="shared" si="5"/>
        <v>0</v>
      </c>
      <c r="AI12" s="376">
        <f t="shared" si="5"/>
        <v>0</v>
      </c>
      <c r="AJ12" s="376">
        <f t="shared" si="5"/>
        <v>0</v>
      </c>
      <c r="AK12" s="376">
        <f t="shared" si="5"/>
        <v>0</v>
      </c>
      <c r="AL12" s="376">
        <f t="shared" si="5"/>
        <v>0</v>
      </c>
      <c r="AM12" s="376">
        <f t="shared" si="5"/>
        <v>0</v>
      </c>
      <c r="AN12" s="376">
        <f t="shared" si="5"/>
        <v>0</v>
      </c>
      <c r="AO12" s="376">
        <f t="shared" si="5"/>
        <v>0</v>
      </c>
      <c r="AP12" s="376">
        <f t="shared" si="5"/>
        <v>0</v>
      </c>
      <c r="AQ12" s="376">
        <f t="shared" si="5"/>
        <v>0</v>
      </c>
      <c r="AR12" s="376">
        <f t="shared" si="5"/>
        <v>0</v>
      </c>
      <c r="AS12" s="376">
        <f t="shared" si="5"/>
        <v>0</v>
      </c>
      <c r="AT12" s="376">
        <f t="shared" si="5"/>
        <v>0</v>
      </c>
      <c r="AU12" s="376">
        <f t="shared" si="5"/>
        <v>0</v>
      </c>
      <c r="AV12" s="376">
        <f t="shared" si="5"/>
        <v>0</v>
      </c>
      <c r="AW12" s="376">
        <f t="shared" si="5"/>
        <v>0</v>
      </c>
      <c r="AX12" s="376">
        <f t="shared" si="5"/>
        <v>0</v>
      </c>
      <c r="AY12" s="376">
        <f t="shared" si="5"/>
        <v>0</v>
      </c>
      <c r="AZ12" s="376">
        <f t="shared" si="5"/>
        <v>0</v>
      </c>
      <c r="BA12" s="376">
        <f t="shared" si="5"/>
        <v>0</v>
      </c>
      <c r="BB12" s="376">
        <f t="shared" si="5"/>
        <v>0</v>
      </c>
      <c r="BC12" s="376">
        <f t="shared" si="5"/>
        <v>0</v>
      </c>
      <c r="BD12" s="376">
        <f t="shared" si="5"/>
        <v>0</v>
      </c>
      <c r="BE12" s="376">
        <f t="shared" si="5"/>
        <v>0</v>
      </c>
      <c r="BF12" s="376">
        <f t="shared" si="5"/>
        <v>0</v>
      </c>
      <c r="BG12" s="376">
        <f t="shared" si="5"/>
        <v>0</v>
      </c>
      <c r="BH12" s="376">
        <f t="shared" si="5"/>
        <v>0</v>
      </c>
      <c r="BI12" s="376">
        <f t="shared" si="5"/>
        <v>0</v>
      </c>
      <c r="BJ12" s="376">
        <f t="shared" si="5"/>
        <v>0</v>
      </c>
      <c r="BK12" s="376">
        <f t="shared" si="5"/>
        <v>0</v>
      </c>
      <c r="BL12" s="376">
        <f t="shared" si="5"/>
        <v>0</v>
      </c>
      <c r="BN12" s="4" t="s">
        <v>123</v>
      </c>
    </row>
    <row r="13" spans="1:112">
      <c r="B13" t="s">
        <v>135</v>
      </c>
      <c r="C13" s="148">
        <f>'Cap Table'!R36</f>
        <v>5000000</v>
      </c>
      <c r="D13" s="135" t="s">
        <v>55</v>
      </c>
      <c r="E13" s="376">
        <f t="shared" si="6"/>
        <v>0</v>
      </c>
      <c r="F13" s="376">
        <f t="shared" si="5"/>
        <v>0</v>
      </c>
      <c r="G13" s="376">
        <f t="shared" si="5"/>
        <v>0</v>
      </c>
      <c r="H13" s="376">
        <f t="shared" si="5"/>
        <v>0</v>
      </c>
      <c r="I13" s="376">
        <f t="shared" si="5"/>
        <v>0</v>
      </c>
      <c r="J13" s="376">
        <f t="shared" si="5"/>
        <v>0</v>
      </c>
      <c r="K13" s="376">
        <f t="shared" si="5"/>
        <v>0</v>
      </c>
      <c r="L13" s="376">
        <f t="shared" si="5"/>
        <v>0</v>
      </c>
      <c r="M13" s="376">
        <f t="shared" si="5"/>
        <v>0</v>
      </c>
      <c r="N13" s="376">
        <f t="shared" si="5"/>
        <v>0</v>
      </c>
      <c r="O13" s="376">
        <f t="shared" si="5"/>
        <v>0</v>
      </c>
      <c r="P13" s="376">
        <f t="shared" si="5"/>
        <v>0</v>
      </c>
      <c r="Q13" s="376">
        <f t="shared" si="5"/>
        <v>0</v>
      </c>
      <c r="R13" s="376">
        <f t="shared" si="5"/>
        <v>0</v>
      </c>
      <c r="S13" s="376">
        <f t="shared" si="5"/>
        <v>0</v>
      </c>
      <c r="T13" s="376">
        <f t="shared" si="5"/>
        <v>0</v>
      </c>
      <c r="U13" s="376">
        <f t="shared" si="5"/>
        <v>0</v>
      </c>
      <c r="V13" s="376">
        <f t="shared" si="5"/>
        <v>0</v>
      </c>
      <c r="W13" s="376">
        <f t="shared" si="5"/>
        <v>0</v>
      </c>
      <c r="X13" s="376">
        <f t="shared" si="5"/>
        <v>0</v>
      </c>
      <c r="Y13" s="376">
        <f t="shared" si="5"/>
        <v>0</v>
      </c>
      <c r="Z13" s="376">
        <f t="shared" si="5"/>
        <v>0</v>
      </c>
      <c r="AA13" s="376">
        <f t="shared" si="5"/>
        <v>0</v>
      </c>
      <c r="AB13" s="376">
        <f t="shared" si="5"/>
        <v>0</v>
      </c>
      <c r="AC13" s="376">
        <f t="shared" si="5"/>
        <v>0</v>
      </c>
      <c r="AD13" s="376">
        <f t="shared" si="5"/>
        <v>0</v>
      </c>
      <c r="AE13" s="376">
        <f t="shared" si="5"/>
        <v>0</v>
      </c>
      <c r="AF13" s="376">
        <f t="shared" si="5"/>
        <v>0</v>
      </c>
      <c r="AG13" s="376">
        <f t="shared" si="5"/>
        <v>0</v>
      </c>
      <c r="AH13" s="376">
        <f t="shared" si="5"/>
        <v>0</v>
      </c>
      <c r="AI13" s="376">
        <f t="shared" si="5"/>
        <v>0</v>
      </c>
      <c r="AJ13" s="376">
        <f t="shared" si="5"/>
        <v>0</v>
      </c>
      <c r="AK13" s="376">
        <f t="shared" si="5"/>
        <v>0</v>
      </c>
      <c r="AL13" s="376">
        <f t="shared" si="5"/>
        <v>0</v>
      </c>
      <c r="AM13" s="376">
        <f t="shared" si="5"/>
        <v>0</v>
      </c>
      <c r="AN13" s="376">
        <f t="shared" ref="AN13:BL14" si="7">IF(AN$2=$D13,$C13,0)</f>
        <v>0</v>
      </c>
      <c r="AO13" s="376">
        <f t="shared" si="7"/>
        <v>5000000</v>
      </c>
      <c r="AP13" s="376">
        <f t="shared" si="7"/>
        <v>0</v>
      </c>
      <c r="AQ13" s="376">
        <f t="shared" si="7"/>
        <v>0</v>
      </c>
      <c r="AR13" s="376">
        <f t="shared" si="7"/>
        <v>0</v>
      </c>
      <c r="AS13" s="376">
        <f t="shared" si="7"/>
        <v>0</v>
      </c>
      <c r="AT13" s="376">
        <f t="shared" si="7"/>
        <v>0</v>
      </c>
      <c r="AU13" s="376">
        <f t="shared" si="7"/>
        <v>0</v>
      </c>
      <c r="AV13" s="376">
        <f t="shared" si="7"/>
        <v>0</v>
      </c>
      <c r="AW13" s="376">
        <f t="shared" si="7"/>
        <v>0</v>
      </c>
      <c r="AX13" s="376">
        <f t="shared" si="7"/>
        <v>0</v>
      </c>
      <c r="AY13" s="376">
        <f t="shared" si="7"/>
        <v>0</v>
      </c>
      <c r="AZ13" s="376">
        <f t="shared" si="7"/>
        <v>0</v>
      </c>
      <c r="BA13" s="376">
        <f t="shared" si="7"/>
        <v>0</v>
      </c>
      <c r="BB13" s="376">
        <f t="shared" si="7"/>
        <v>0</v>
      </c>
      <c r="BC13" s="376">
        <f t="shared" si="7"/>
        <v>0</v>
      </c>
      <c r="BD13" s="376">
        <f t="shared" si="7"/>
        <v>0</v>
      </c>
      <c r="BE13" s="376">
        <f t="shared" si="7"/>
        <v>0</v>
      </c>
      <c r="BF13" s="376">
        <f t="shared" si="7"/>
        <v>0</v>
      </c>
      <c r="BG13" s="376">
        <f t="shared" si="7"/>
        <v>0</v>
      </c>
      <c r="BH13" s="376">
        <f t="shared" si="7"/>
        <v>0</v>
      </c>
      <c r="BI13" s="376">
        <f t="shared" si="7"/>
        <v>0</v>
      </c>
      <c r="BJ13" s="376">
        <f t="shared" si="7"/>
        <v>0</v>
      </c>
      <c r="BK13" s="376">
        <f t="shared" si="7"/>
        <v>0</v>
      </c>
      <c r="BL13" s="376">
        <f t="shared" si="7"/>
        <v>0</v>
      </c>
      <c r="BN13" s="4" t="s">
        <v>123</v>
      </c>
    </row>
    <row r="14" spans="1:112">
      <c r="B14" t="s">
        <v>136</v>
      </c>
      <c r="C14" s="148">
        <f>'Cap Table'!V36</f>
        <v>10000000</v>
      </c>
      <c r="D14" s="135" t="s">
        <v>67</v>
      </c>
      <c r="E14" s="376">
        <f t="shared" si="6"/>
        <v>0</v>
      </c>
      <c r="F14" s="376">
        <f t="shared" si="6"/>
        <v>0</v>
      </c>
      <c r="G14" s="376">
        <f t="shared" si="6"/>
        <v>0</v>
      </c>
      <c r="H14" s="376">
        <f t="shared" si="6"/>
        <v>0</v>
      </c>
      <c r="I14" s="376">
        <f t="shared" si="6"/>
        <v>0</v>
      </c>
      <c r="J14" s="376">
        <f t="shared" si="6"/>
        <v>0</v>
      </c>
      <c r="K14" s="376">
        <f t="shared" si="6"/>
        <v>0</v>
      </c>
      <c r="L14" s="376">
        <f t="shared" si="6"/>
        <v>0</v>
      </c>
      <c r="M14" s="376">
        <f t="shared" si="6"/>
        <v>0</v>
      </c>
      <c r="N14" s="376">
        <f t="shared" si="6"/>
        <v>0</v>
      </c>
      <c r="O14" s="376">
        <f t="shared" si="6"/>
        <v>0</v>
      </c>
      <c r="P14" s="376">
        <f t="shared" si="6"/>
        <v>0</v>
      </c>
      <c r="Q14" s="376">
        <f t="shared" si="6"/>
        <v>0</v>
      </c>
      <c r="R14" s="376">
        <f t="shared" si="6"/>
        <v>0</v>
      </c>
      <c r="S14" s="376">
        <f t="shared" si="6"/>
        <v>0</v>
      </c>
      <c r="T14" s="376">
        <f t="shared" si="6"/>
        <v>0</v>
      </c>
      <c r="U14" s="376">
        <f t="shared" ref="U14:AM14" si="8">IF(U$2=$D14,$C14,0)</f>
        <v>0</v>
      </c>
      <c r="V14" s="376">
        <f t="shared" si="8"/>
        <v>0</v>
      </c>
      <c r="W14" s="376">
        <f t="shared" si="8"/>
        <v>0</v>
      </c>
      <c r="X14" s="376">
        <f t="shared" si="8"/>
        <v>0</v>
      </c>
      <c r="Y14" s="376">
        <f t="shared" si="8"/>
        <v>0</v>
      </c>
      <c r="Z14" s="376">
        <f t="shared" si="8"/>
        <v>0</v>
      </c>
      <c r="AA14" s="376">
        <f t="shared" si="8"/>
        <v>0</v>
      </c>
      <c r="AB14" s="376">
        <f t="shared" si="8"/>
        <v>0</v>
      </c>
      <c r="AC14" s="376">
        <f t="shared" si="8"/>
        <v>0</v>
      </c>
      <c r="AD14" s="376">
        <f t="shared" si="8"/>
        <v>0</v>
      </c>
      <c r="AE14" s="376">
        <f t="shared" si="8"/>
        <v>0</v>
      </c>
      <c r="AF14" s="376">
        <f t="shared" si="8"/>
        <v>0</v>
      </c>
      <c r="AG14" s="376">
        <f t="shared" si="8"/>
        <v>0</v>
      </c>
      <c r="AH14" s="376">
        <f t="shared" si="8"/>
        <v>0</v>
      </c>
      <c r="AI14" s="376">
        <f t="shared" si="8"/>
        <v>0</v>
      </c>
      <c r="AJ14" s="376">
        <f t="shared" si="8"/>
        <v>0</v>
      </c>
      <c r="AK14" s="376">
        <f t="shared" si="8"/>
        <v>0</v>
      </c>
      <c r="AL14" s="376">
        <f t="shared" si="8"/>
        <v>0</v>
      </c>
      <c r="AM14" s="376">
        <f t="shared" si="8"/>
        <v>0</v>
      </c>
      <c r="AN14" s="376">
        <f t="shared" si="7"/>
        <v>0</v>
      </c>
      <c r="AO14" s="376">
        <f t="shared" si="7"/>
        <v>0</v>
      </c>
      <c r="AP14" s="376">
        <f t="shared" si="7"/>
        <v>0</v>
      </c>
      <c r="AQ14" s="376">
        <f t="shared" si="7"/>
        <v>0</v>
      </c>
      <c r="AR14" s="376">
        <f t="shared" si="7"/>
        <v>0</v>
      </c>
      <c r="AS14" s="376">
        <f t="shared" si="7"/>
        <v>0</v>
      </c>
      <c r="AT14" s="376">
        <f t="shared" si="7"/>
        <v>0</v>
      </c>
      <c r="AU14" s="376">
        <f t="shared" si="7"/>
        <v>0</v>
      </c>
      <c r="AV14" s="376">
        <f t="shared" si="7"/>
        <v>0</v>
      </c>
      <c r="AW14" s="376">
        <f t="shared" si="7"/>
        <v>0</v>
      </c>
      <c r="AX14" s="376">
        <f t="shared" si="7"/>
        <v>0</v>
      </c>
      <c r="AY14" s="376">
        <f t="shared" si="7"/>
        <v>0</v>
      </c>
      <c r="AZ14" s="376">
        <f t="shared" si="7"/>
        <v>0</v>
      </c>
      <c r="BA14" s="376">
        <f t="shared" si="7"/>
        <v>10000000</v>
      </c>
      <c r="BB14" s="376">
        <f t="shared" si="7"/>
        <v>0</v>
      </c>
      <c r="BC14" s="376">
        <f t="shared" si="7"/>
        <v>0</v>
      </c>
      <c r="BD14" s="376">
        <f t="shared" si="7"/>
        <v>0</v>
      </c>
      <c r="BE14" s="376">
        <f t="shared" si="7"/>
        <v>0</v>
      </c>
      <c r="BF14" s="376">
        <f t="shared" si="7"/>
        <v>0</v>
      </c>
      <c r="BG14" s="376">
        <f t="shared" si="7"/>
        <v>0</v>
      </c>
      <c r="BH14" s="376">
        <f t="shared" si="7"/>
        <v>0</v>
      </c>
      <c r="BI14" s="376">
        <f t="shared" si="7"/>
        <v>0</v>
      </c>
      <c r="BJ14" s="376">
        <f t="shared" si="7"/>
        <v>0</v>
      </c>
      <c r="BK14" s="376">
        <f t="shared" si="7"/>
        <v>0</v>
      </c>
      <c r="BL14" s="376">
        <f t="shared" si="7"/>
        <v>0</v>
      </c>
      <c r="BN14" s="4" t="s">
        <v>123</v>
      </c>
    </row>
    <row r="15" spans="1:112">
      <c r="C15" s="148"/>
      <c r="E15" s="376"/>
      <c r="F15" s="376"/>
      <c r="G15" s="376"/>
      <c r="H15" s="376"/>
      <c r="I15" s="376"/>
      <c r="J15" s="376"/>
      <c r="K15" s="376"/>
      <c r="L15" s="376"/>
      <c r="M15" s="376"/>
      <c r="N15" s="376"/>
      <c r="O15" s="376"/>
      <c r="P15" s="376"/>
      <c r="Q15" s="376"/>
      <c r="R15" s="376"/>
      <c r="S15" s="376"/>
      <c r="T15" s="376"/>
      <c r="U15" s="376"/>
      <c r="V15" s="376"/>
      <c r="W15" s="376"/>
      <c r="X15" s="376"/>
      <c r="Y15" s="376"/>
      <c r="Z15" s="376"/>
      <c r="AA15" s="376"/>
      <c r="AB15" s="376"/>
      <c r="AC15" s="376"/>
      <c r="AD15" s="376"/>
      <c r="AE15" s="376"/>
      <c r="AF15" s="376"/>
      <c r="AG15" s="376"/>
      <c r="AH15" s="376"/>
      <c r="AI15" s="376"/>
      <c r="AJ15" s="376"/>
      <c r="AK15" s="376"/>
      <c r="AL15" s="376"/>
      <c r="AM15" s="376"/>
      <c r="AN15" s="376"/>
      <c r="AO15" s="376"/>
      <c r="AP15" s="376"/>
      <c r="AQ15" s="376"/>
      <c r="AR15" s="376"/>
      <c r="AS15" s="376"/>
      <c r="AT15" s="376"/>
      <c r="AU15" s="376"/>
      <c r="AV15" s="376"/>
      <c r="AW15" s="376"/>
      <c r="AX15" s="376"/>
      <c r="AY15" s="376"/>
      <c r="AZ15" s="376"/>
      <c r="BA15" s="376"/>
      <c r="BB15" s="376"/>
      <c r="BC15" s="376"/>
      <c r="BD15" s="376"/>
      <c r="BE15" s="376"/>
      <c r="BF15" s="376"/>
      <c r="BG15" s="376"/>
      <c r="BH15" s="376"/>
      <c r="BI15" s="376"/>
      <c r="BJ15" s="376"/>
      <c r="BK15" s="376"/>
      <c r="BL15" s="376"/>
      <c r="BN15" s="4"/>
    </row>
    <row r="16" spans="1:112">
      <c r="E16" s="376"/>
      <c r="F16" s="376"/>
      <c r="G16" s="376"/>
      <c r="H16" s="376"/>
      <c r="I16" s="376"/>
      <c r="J16" s="376"/>
      <c r="K16" s="376"/>
      <c r="L16" s="376"/>
      <c r="M16" s="376"/>
      <c r="N16" s="376"/>
      <c r="O16" s="376"/>
      <c r="P16" s="376"/>
      <c r="Q16" s="376"/>
      <c r="R16" s="376"/>
      <c r="S16" s="376"/>
      <c r="T16" s="376"/>
      <c r="U16" s="376"/>
      <c r="V16" s="376"/>
      <c r="W16" s="376"/>
      <c r="X16" s="376"/>
      <c r="Y16" s="376"/>
      <c r="Z16" s="376"/>
      <c r="AA16" s="376"/>
      <c r="AB16" s="376"/>
      <c r="AC16" s="376"/>
      <c r="AD16" s="376"/>
      <c r="AE16" s="376"/>
      <c r="AF16" s="376"/>
      <c r="AG16" s="376"/>
      <c r="AH16" s="376"/>
      <c r="AI16" s="376"/>
      <c r="AJ16" s="376"/>
      <c r="AK16" s="376"/>
      <c r="AL16" s="376"/>
      <c r="AM16" s="376"/>
      <c r="AN16" s="376"/>
      <c r="AO16" s="376"/>
      <c r="AP16" s="376"/>
      <c r="AQ16" s="376"/>
      <c r="AR16" s="376"/>
      <c r="AS16" s="376"/>
      <c r="AT16" s="376"/>
      <c r="AU16" s="376"/>
      <c r="AV16" s="376"/>
      <c r="AW16" s="376"/>
      <c r="AX16" s="376"/>
      <c r="AY16" s="376"/>
      <c r="AZ16" s="376"/>
      <c r="BA16" s="376"/>
      <c r="BB16" s="376"/>
      <c r="BC16" s="376"/>
      <c r="BD16" s="376"/>
      <c r="BE16" s="376"/>
      <c r="BF16" s="376"/>
      <c r="BG16" s="376"/>
      <c r="BH16" s="376"/>
      <c r="BI16" s="376"/>
      <c r="BJ16" s="376"/>
      <c r="BK16" s="376"/>
      <c r="BL16" s="376"/>
      <c r="BN16" s="4" t="s">
        <v>123</v>
      </c>
    </row>
    <row r="17" spans="1:66">
      <c r="A17" s="133"/>
      <c r="B17" s="133" t="s">
        <v>137</v>
      </c>
      <c r="C17" s="133"/>
      <c r="D17" s="132" t="s">
        <v>130</v>
      </c>
      <c r="E17" s="377">
        <f>SUM(E19:E23)</f>
        <v>0</v>
      </c>
      <c r="F17" s="377">
        <f t="shared" ref="F17:BL17" si="9">SUM(F19:F23)</f>
        <v>0</v>
      </c>
      <c r="G17" s="377">
        <f t="shared" si="9"/>
        <v>0</v>
      </c>
      <c r="H17" s="377">
        <f t="shared" si="9"/>
        <v>0</v>
      </c>
      <c r="I17" s="377">
        <f t="shared" si="9"/>
        <v>0</v>
      </c>
      <c r="J17" s="377">
        <f t="shared" si="9"/>
        <v>0</v>
      </c>
      <c r="K17" s="377">
        <f t="shared" si="9"/>
        <v>0</v>
      </c>
      <c r="L17" s="377">
        <f t="shared" si="9"/>
        <v>0</v>
      </c>
      <c r="M17" s="377">
        <f t="shared" si="9"/>
        <v>0</v>
      </c>
      <c r="N17" s="377">
        <f t="shared" si="9"/>
        <v>0</v>
      </c>
      <c r="O17" s="377">
        <f t="shared" si="9"/>
        <v>0</v>
      </c>
      <c r="P17" s="377">
        <f t="shared" si="9"/>
        <v>0</v>
      </c>
      <c r="Q17" s="377">
        <f t="shared" si="9"/>
        <v>0</v>
      </c>
      <c r="R17" s="377">
        <f t="shared" si="9"/>
        <v>0</v>
      </c>
      <c r="S17" s="377">
        <f t="shared" si="9"/>
        <v>0</v>
      </c>
      <c r="T17" s="377">
        <f t="shared" si="9"/>
        <v>0</v>
      </c>
      <c r="U17" s="377">
        <f t="shared" si="9"/>
        <v>0</v>
      </c>
      <c r="V17" s="377">
        <f t="shared" si="9"/>
        <v>0</v>
      </c>
      <c r="W17" s="377">
        <f t="shared" si="9"/>
        <v>0</v>
      </c>
      <c r="X17" s="377">
        <f t="shared" si="9"/>
        <v>0</v>
      </c>
      <c r="Y17" s="377">
        <f t="shared" si="9"/>
        <v>0</v>
      </c>
      <c r="Z17" s="377">
        <f t="shared" si="9"/>
        <v>0</v>
      </c>
      <c r="AA17" s="377">
        <f t="shared" si="9"/>
        <v>0</v>
      </c>
      <c r="AB17" s="377">
        <f t="shared" si="9"/>
        <v>0</v>
      </c>
      <c r="AC17" s="377">
        <f t="shared" si="9"/>
        <v>0</v>
      </c>
      <c r="AD17" s="377">
        <f t="shared" si="9"/>
        <v>0</v>
      </c>
      <c r="AE17" s="377">
        <f t="shared" si="9"/>
        <v>0</v>
      </c>
      <c r="AF17" s="377">
        <f t="shared" si="9"/>
        <v>0</v>
      </c>
      <c r="AG17" s="377">
        <f t="shared" si="9"/>
        <v>0</v>
      </c>
      <c r="AH17" s="377">
        <f t="shared" si="9"/>
        <v>0</v>
      </c>
      <c r="AI17" s="377">
        <f t="shared" si="9"/>
        <v>0</v>
      </c>
      <c r="AJ17" s="377">
        <f t="shared" si="9"/>
        <v>0</v>
      </c>
      <c r="AK17" s="377">
        <f t="shared" si="9"/>
        <v>0</v>
      </c>
      <c r="AL17" s="377">
        <f t="shared" si="9"/>
        <v>0</v>
      </c>
      <c r="AM17" s="377">
        <f t="shared" si="9"/>
        <v>0</v>
      </c>
      <c r="AN17" s="377">
        <f t="shared" si="9"/>
        <v>0</v>
      </c>
      <c r="AO17" s="377">
        <f t="shared" si="9"/>
        <v>0</v>
      </c>
      <c r="AP17" s="377">
        <f t="shared" si="9"/>
        <v>0</v>
      </c>
      <c r="AQ17" s="377">
        <f t="shared" si="9"/>
        <v>0</v>
      </c>
      <c r="AR17" s="377">
        <f t="shared" si="9"/>
        <v>0</v>
      </c>
      <c r="AS17" s="377">
        <f t="shared" si="9"/>
        <v>0</v>
      </c>
      <c r="AT17" s="377">
        <f t="shared" si="9"/>
        <v>0</v>
      </c>
      <c r="AU17" s="377">
        <f t="shared" si="9"/>
        <v>0</v>
      </c>
      <c r="AV17" s="377">
        <f t="shared" si="9"/>
        <v>0</v>
      </c>
      <c r="AW17" s="377">
        <f t="shared" si="9"/>
        <v>0</v>
      </c>
      <c r="AX17" s="377">
        <f t="shared" si="9"/>
        <v>0</v>
      </c>
      <c r="AY17" s="377">
        <f t="shared" si="9"/>
        <v>0</v>
      </c>
      <c r="AZ17" s="377">
        <f t="shared" si="9"/>
        <v>0</v>
      </c>
      <c r="BA17" s="377">
        <f t="shared" si="9"/>
        <v>0</v>
      </c>
      <c r="BB17" s="377">
        <f t="shared" si="9"/>
        <v>0</v>
      </c>
      <c r="BC17" s="377">
        <f t="shared" si="9"/>
        <v>0</v>
      </c>
      <c r="BD17" s="377">
        <f t="shared" si="9"/>
        <v>0</v>
      </c>
      <c r="BE17" s="377">
        <f t="shared" si="9"/>
        <v>0</v>
      </c>
      <c r="BF17" s="377">
        <f t="shared" si="9"/>
        <v>0</v>
      </c>
      <c r="BG17" s="377">
        <f t="shared" si="9"/>
        <v>0</v>
      </c>
      <c r="BH17" s="377">
        <f t="shared" si="9"/>
        <v>0</v>
      </c>
      <c r="BI17" s="377">
        <f t="shared" si="9"/>
        <v>0</v>
      </c>
      <c r="BJ17" s="377">
        <f t="shared" si="9"/>
        <v>0</v>
      </c>
      <c r="BK17" s="377">
        <f t="shared" si="9"/>
        <v>0</v>
      </c>
      <c r="BL17" s="377">
        <f t="shared" si="9"/>
        <v>0</v>
      </c>
      <c r="BN17" s="4" t="s">
        <v>123</v>
      </c>
    </row>
    <row r="18" spans="1:66">
      <c r="E18" s="376"/>
      <c r="F18" s="376"/>
      <c r="G18" s="376"/>
      <c r="H18" s="376"/>
      <c r="I18" s="376"/>
      <c r="J18" s="376"/>
      <c r="K18" s="376"/>
      <c r="L18" s="376"/>
      <c r="M18" s="376"/>
      <c r="N18" s="376"/>
      <c r="O18" s="376"/>
      <c r="P18" s="376"/>
      <c r="Q18" s="376"/>
      <c r="R18" s="376"/>
      <c r="S18" s="376"/>
      <c r="T18" s="376"/>
      <c r="U18" s="376"/>
      <c r="V18" s="376"/>
      <c r="W18" s="376"/>
      <c r="X18" s="376"/>
      <c r="Y18" s="376"/>
      <c r="Z18" s="376"/>
      <c r="AA18" s="376"/>
      <c r="AB18" s="376"/>
      <c r="AC18" s="376"/>
      <c r="AD18" s="376"/>
      <c r="AE18" s="376"/>
      <c r="AF18" s="376"/>
      <c r="AG18" s="376"/>
      <c r="AH18" s="376"/>
      <c r="AI18" s="376"/>
      <c r="AJ18" s="376"/>
      <c r="AK18" s="376"/>
      <c r="AL18" s="376"/>
      <c r="AM18" s="376"/>
      <c r="AN18" s="376"/>
      <c r="AO18" s="376"/>
      <c r="AP18" s="376"/>
      <c r="AQ18" s="376"/>
      <c r="AR18" s="376"/>
      <c r="AS18" s="376"/>
      <c r="AT18" s="376"/>
      <c r="AU18" s="376"/>
      <c r="AV18" s="376"/>
      <c r="AW18" s="376"/>
      <c r="AX18" s="376"/>
      <c r="AY18" s="376"/>
      <c r="AZ18" s="376"/>
      <c r="BA18" s="376"/>
      <c r="BB18" s="376"/>
      <c r="BC18" s="376"/>
      <c r="BD18" s="376"/>
      <c r="BE18" s="376"/>
      <c r="BF18" s="376"/>
      <c r="BG18" s="376"/>
      <c r="BH18" s="376"/>
      <c r="BI18" s="376"/>
      <c r="BJ18" s="376"/>
      <c r="BK18" s="376"/>
      <c r="BL18" s="376"/>
      <c r="BN18" s="4" t="s">
        <v>123</v>
      </c>
    </row>
    <row r="19" spans="1:66">
      <c r="B19" t="s">
        <v>138</v>
      </c>
      <c r="E19" s="376">
        <v>0</v>
      </c>
      <c r="F19" s="376">
        <v>0</v>
      </c>
      <c r="G19" s="376">
        <v>0</v>
      </c>
      <c r="H19" s="376">
        <v>0</v>
      </c>
      <c r="I19" s="376">
        <v>0</v>
      </c>
      <c r="J19" s="376">
        <v>0</v>
      </c>
      <c r="K19" s="376">
        <v>0</v>
      </c>
      <c r="L19" s="376">
        <v>0</v>
      </c>
      <c r="M19" s="376">
        <v>0</v>
      </c>
      <c r="N19" s="376">
        <v>0</v>
      </c>
      <c r="O19" s="376">
        <v>0</v>
      </c>
      <c r="P19" s="376">
        <v>0</v>
      </c>
      <c r="Q19" s="376">
        <v>0</v>
      </c>
      <c r="R19" s="376">
        <v>0</v>
      </c>
      <c r="S19" s="376">
        <v>0</v>
      </c>
      <c r="T19" s="376">
        <v>0</v>
      </c>
      <c r="U19" s="376">
        <v>0</v>
      </c>
      <c r="V19" s="376">
        <v>0</v>
      </c>
      <c r="W19" s="376">
        <v>0</v>
      </c>
      <c r="X19" s="376">
        <v>0</v>
      </c>
      <c r="Y19" s="376">
        <v>0</v>
      </c>
      <c r="Z19" s="376">
        <v>0</v>
      </c>
      <c r="AA19" s="376">
        <v>0</v>
      </c>
      <c r="AB19" s="376">
        <v>0</v>
      </c>
      <c r="AC19" s="376">
        <v>0</v>
      </c>
      <c r="AD19" s="376">
        <v>0</v>
      </c>
      <c r="AE19" s="376">
        <v>0</v>
      </c>
      <c r="AF19" s="376">
        <v>0</v>
      </c>
      <c r="AG19" s="376">
        <v>0</v>
      </c>
      <c r="AH19" s="376">
        <v>0</v>
      </c>
      <c r="AI19" s="376">
        <v>0</v>
      </c>
      <c r="AJ19" s="376">
        <v>0</v>
      </c>
      <c r="AK19" s="376">
        <v>0</v>
      </c>
      <c r="AL19" s="376">
        <v>0</v>
      </c>
      <c r="AM19" s="376">
        <v>0</v>
      </c>
      <c r="AN19" s="376">
        <v>0</v>
      </c>
      <c r="AO19" s="376">
        <v>0</v>
      </c>
      <c r="AP19" s="376">
        <v>0</v>
      </c>
      <c r="AQ19" s="376">
        <v>0</v>
      </c>
      <c r="AR19" s="376">
        <v>0</v>
      </c>
      <c r="AS19" s="376">
        <v>0</v>
      </c>
      <c r="AT19" s="376">
        <v>0</v>
      </c>
      <c r="AU19" s="376">
        <v>0</v>
      </c>
      <c r="AV19" s="376">
        <v>0</v>
      </c>
      <c r="AW19" s="376">
        <v>0</v>
      </c>
      <c r="AX19" s="376">
        <v>0</v>
      </c>
      <c r="AY19" s="376">
        <v>0</v>
      </c>
      <c r="AZ19" s="376">
        <v>0</v>
      </c>
      <c r="BA19" s="376">
        <v>0</v>
      </c>
      <c r="BB19" s="376">
        <v>0</v>
      </c>
      <c r="BC19" s="376">
        <v>0</v>
      </c>
      <c r="BD19" s="376">
        <v>0</v>
      </c>
      <c r="BE19" s="376">
        <v>0</v>
      </c>
      <c r="BF19" s="376">
        <v>0</v>
      </c>
      <c r="BG19" s="376">
        <v>0</v>
      </c>
      <c r="BH19" s="376">
        <v>0</v>
      </c>
      <c r="BI19" s="376">
        <v>0</v>
      </c>
      <c r="BJ19" s="376">
        <v>0</v>
      </c>
      <c r="BK19" s="376">
        <v>0</v>
      </c>
      <c r="BL19" s="376">
        <v>0</v>
      </c>
      <c r="BN19" s="4" t="s">
        <v>123</v>
      </c>
    </row>
    <row r="20" spans="1:66">
      <c r="B20" t="s">
        <v>138</v>
      </c>
      <c r="E20" s="376">
        <v>0</v>
      </c>
      <c r="F20" s="376">
        <v>0</v>
      </c>
      <c r="G20" s="376">
        <v>0</v>
      </c>
      <c r="H20" s="376">
        <v>0</v>
      </c>
      <c r="I20" s="376">
        <v>0</v>
      </c>
      <c r="J20" s="376">
        <v>0</v>
      </c>
      <c r="K20" s="376">
        <v>0</v>
      </c>
      <c r="L20" s="376">
        <v>0</v>
      </c>
      <c r="M20" s="376">
        <v>0</v>
      </c>
      <c r="N20" s="376">
        <v>0</v>
      </c>
      <c r="O20" s="376">
        <v>0</v>
      </c>
      <c r="P20" s="376">
        <v>0</v>
      </c>
      <c r="Q20" s="376">
        <v>0</v>
      </c>
      <c r="R20" s="376">
        <v>0</v>
      </c>
      <c r="S20" s="376">
        <v>0</v>
      </c>
      <c r="T20" s="376">
        <v>0</v>
      </c>
      <c r="U20" s="376">
        <v>0</v>
      </c>
      <c r="V20" s="376">
        <v>0</v>
      </c>
      <c r="W20" s="376">
        <v>0</v>
      </c>
      <c r="X20" s="376">
        <v>0</v>
      </c>
      <c r="Y20" s="376">
        <v>0</v>
      </c>
      <c r="Z20" s="376">
        <v>0</v>
      </c>
      <c r="AA20" s="376">
        <v>0</v>
      </c>
      <c r="AB20" s="376">
        <v>0</v>
      </c>
      <c r="AC20" s="376">
        <v>0</v>
      </c>
      <c r="AD20" s="376">
        <v>0</v>
      </c>
      <c r="AE20" s="376">
        <v>0</v>
      </c>
      <c r="AF20" s="376">
        <v>0</v>
      </c>
      <c r="AG20" s="376">
        <v>0</v>
      </c>
      <c r="AH20" s="376">
        <v>0</v>
      </c>
      <c r="AI20" s="376">
        <v>0</v>
      </c>
      <c r="AJ20" s="376">
        <v>0</v>
      </c>
      <c r="AK20" s="376">
        <v>0</v>
      </c>
      <c r="AL20" s="376">
        <v>0</v>
      </c>
      <c r="AM20" s="376">
        <v>0</v>
      </c>
      <c r="AN20" s="376">
        <v>0</v>
      </c>
      <c r="AO20" s="376">
        <v>0</v>
      </c>
      <c r="AP20" s="376">
        <v>0</v>
      </c>
      <c r="AQ20" s="376">
        <v>0</v>
      </c>
      <c r="AR20" s="376">
        <v>0</v>
      </c>
      <c r="AS20" s="376">
        <v>0</v>
      </c>
      <c r="AT20" s="376">
        <v>0</v>
      </c>
      <c r="AU20" s="376">
        <v>0</v>
      </c>
      <c r="AV20" s="376">
        <v>0</v>
      </c>
      <c r="AW20" s="376">
        <v>0</v>
      </c>
      <c r="AX20" s="376">
        <v>0</v>
      </c>
      <c r="AY20" s="376">
        <v>0</v>
      </c>
      <c r="AZ20" s="376">
        <v>0</v>
      </c>
      <c r="BA20" s="376">
        <v>0</v>
      </c>
      <c r="BB20" s="376">
        <v>0</v>
      </c>
      <c r="BC20" s="376">
        <v>0</v>
      </c>
      <c r="BD20" s="376">
        <v>0</v>
      </c>
      <c r="BE20" s="376">
        <v>0</v>
      </c>
      <c r="BF20" s="376">
        <v>0</v>
      </c>
      <c r="BG20" s="376">
        <v>0</v>
      </c>
      <c r="BH20" s="376">
        <v>0</v>
      </c>
      <c r="BI20" s="376">
        <v>0</v>
      </c>
      <c r="BJ20" s="376">
        <v>0</v>
      </c>
      <c r="BK20" s="376">
        <v>0</v>
      </c>
      <c r="BL20" s="376">
        <v>0</v>
      </c>
      <c r="BN20" s="4" t="s">
        <v>123</v>
      </c>
    </row>
    <row r="21" spans="1:66">
      <c r="B21" t="s">
        <v>138</v>
      </c>
      <c r="E21" s="376">
        <v>0</v>
      </c>
      <c r="F21" s="376">
        <v>0</v>
      </c>
      <c r="G21" s="376">
        <v>0</v>
      </c>
      <c r="H21" s="376">
        <v>0</v>
      </c>
      <c r="I21" s="376">
        <v>0</v>
      </c>
      <c r="J21" s="376">
        <v>0</v>
      </c>
      <c r="K21" s="376">
        <v>0</v>
      </c>
      <c r="L21" s="376">
        <v>0</v>
      </c>
      <c r="M21" s="376">
        <v>0</v>
      </c>
      <c r="N21" s="376">
        <v>0</v>
      </c>
      <c r="O21" s="376">
        <v>0</v>
      </c>
      <c r="P21" s="376">
        <v>0</v>
      </c>
      <c r="Q21" s="376">
        <v>0</v>
      </c>
      <c r="R21" s="376">
        <v>0</v>
      </c>
      <c r="S21" s="376">
        <v>0</v>
      </c>
      <c r="T21" s="376">
        <v>0</v>
      </c>
      <c r="U21" s="376">
        <v>0</v>
      </c>
      <c r="V21" s="376">
        <v>0</v>
      </c>
      <c r="W21" s="376">
        <v>0</v>
      </c>
      <c r="X21" s="376">
        <v>0</v>
      </c>
      <c r="Y21" s="376">
        <v>0</v>
      </c>
      <c r="Z21" s="376">
        <v>0</v>
      </c>
      <c r="AA21" s="376">
        <v>0</v>
      </c>
      <c r="AB21" s="376">
        <v>0</v>
      </c>
      <c r="AC21" s="376">
        <v>0</v>
      </c>
      <c r="AD21" s="376">
        <v>0</v>
      </c>
      <c r="AE21" s="376">
        <v>0</v>
      </c>
      <c r="AF21" s="376">
        <v>0</v>
      </c>
      <c r="AG21" s="376">
        <v>0</v>
      </c>
      <c r="AH21" s="376">
        <v>0</v>
      </c>
      <c r="AI21" s="376">
        <v>0</v>
      </c>
      <c r="AJ21" s="376">
        <v>0</v>
      </c>
      <c r="AK21" s="376">
        <v>0</v>
      </c>
      <c r="AL21" s="376">
        <v>0</v>
      </c>
      <c r="AM21" s="376">
        <v>0</v>
      </c>
      <c r="AN21" s="376">
        <v>0</v>
      </c>
      <c r="AO21" s="376">
        <v>0</v>
      </c>
      <c r="AP21" s="376">
        <v>0</v>
      </c>
      <c r="AQ21" s="376">
        <v>0</v>
      </c>
      <c r="AR21" s="376">
        <v>0</v>
      </c>
      <c r="AS21" s="376">
        <v>0</v>
      </c>
      <c r="AT21" s="376">
        <v>0</v>
      </c>
      <c r="AU21" s="376">
        <v>0</v>
      </c>
      <c r="AV21" s="376">
        <v>0</v>
      </c>
      <c r="AW21" s="376">
        <v>0</v>
      </c>
      <c r="AX21" s="376">
        <v>0</v>
      </c>
      <c r="AY21" s="376">
        <v>0</v>
      </c>
      <c r="AZ21" s="376">
        <v>0</v>
      </c>
      <c r="BA21" s="376">
        <v>0</v>
      </c>
      <c r="BB21" s="376">
        <v>0</v>
      </c>
      <c r="BC21" s="376">
        <v>0</v>
      </c>
      <c r="BD21" s="376">
        <v>0</v>
      </c>
      <c r="BE21" s="376">
        <v>0</v>
      </c>
      <c r="BF21" s="376">
        <v>0</v>
      </c>
      <c r="BG21" s="376">
        <v>0</v>
      </c>
      <c r="BH21" s="376">
        <v>0</v>
      </c>
      <c r="BI21" s="376">
        <v>0</v>
      </c>
      <c r="BJ21" s="376">
        <v>0</v>
      </c>
      <c r="BK21" s="376">
        <v>0</v>
      </c>
      <c r="BL21" s="376">
        <v>0</v>
      </c>
      <c r="BN21" s="4" t="s">
        <v>123</v>
      </c>
    </row>
    <row r="22" spans="1:66">
      <c r="B22" t="s">
        <v>138</v>
      </c>
      <c r="E22" s="376">
        <v>0</v>
      </c>
      <c r="F22" s="376">
        <v>0</v>
      </c>
      <c r="G22" s="376">
        <v>0</v>
      </c>
      <c r="H22" s="376">
        <v>0</v>
      </c>
      <c r="I22" s="376">
        <v>0</v>
      </c>
      <c r="J22" s="376">
        <v>0</v>
      </c>
      <c r="K22" s="376">
        <v>0</v>
      </c>
      <c r="L22" s="376">
        <v>0</v>
      </c>
      <c r="M22" s="376">
        <v>0</v>
      </c>
      <c r="N22" s="376">
        <v>0</v>
      </c>
      <c r="O22" s="376">
        <v>0</v>
      </c>
      <c r="P22" s="376">
        <v>0</v>
      </c>
      <c r="Q22" s="376">
        <v>0</v>
      </c>
      <c r="R22" s="376">
        <v>0</v>
      </c>
      <c r="S22" s="376">
        <v>0</v>
      </c>
      <c r="T22" s="376">
        <v>0</v>
      </c>
      <c r="U22" s="376">
        <v>0</v>
      </c>
      <c r="V22" s="376">
        <v>0</v>
      </c>
      <c r="W22" s="376">
        <v>0</v>
      </c>
      <c r="X22" s="376">
        <v>0</v>
      </c>
      <c r="Y22" s="376">
        <v>0</v>
      </c>
      <c r="Z22" s="376">
        <v>0</v>
      </c>
      <c r="AA22" s="376">
        <v>0</v>
      </c>
      <c r="AB22" s="376">
        <v>0</v>
      </c>
      <c r="AC22" s="376">
        <v>0</v>
      </c>
      <c r="AD22" s="376">
        <v>0</v>
      </c>
      <c r="AE22" s="376">
        <v>0</v>
      </c>
      <c r="AF22" s="376">
        <v>0</v>
      </c>
      <c r="AG22" s="376">
        <v>0</v>
      </c>
      <c r="AH22" s="376">
        <v>0</v>
      </c>
      <c r="AI22" s="376">
        <v>0</v>
      </c>
      <c r="AJ22" s="376">
        <v>0</v>
      </c>
      <c r="AK22" s="376">
        <v>0</v>
      </c>
      <c r="AL22" s="376">
        <v>0</v>
      </c>
      <c r="AM22" s="376">
        <v>0</v>
      </c>
      <c r="AN22" s="376">
        <v>0</v>
      </c>
      <c r="AO22" s="376">
        <v>0</v>
      </c>
      <c r="AP22" s="376">
        <v>0</v>
      </c>
      <c r="AQ22" s="376">
        <v>0</v>
      </c>
      <c r="AR22" s="376">
        <v>0</v>
      </c>
      <c r="AS22" s="376">
        <v>0</v>
      </c>
      <c r="AT22" s="376">
        <v>0</v>
      </c>
      <c r="AU22" s="376">
        <v>0</v>
      </c>
      <c r="AV22" s="376">
        <v>0</v>
      </c>
      <c r="AW22" s="376">
        <v>0</v>
      </c>
      <c r="AX22" s="376">
        <v>0</v>
      </c>
      <c r="AY22" s="376">
        <v>0</v>
      </c>
      <c r="AZ22" s="376">
        <v>0</v>
      </c>
      <c r="BA22" s="376">
        <v>0</v>
      </c>
      <c r="BB22" s="376">
        <v>0</v>
      </c>
      <c r="BC22" s="376">
        <v>0</v>
      </c>
      <c r="BD22" s="376">
        <v>0</v>
      </c>
      <c r="BE22" s="376">
        <v>0</v>
      </c>
      <c r="BF22" s="376">
        <v>0</v>
      </c>
      <c r="BG22" s="376">
        <v>0</v>
      </c>
      <c r="BH22" s="376">
        <v>0</v>
      </c>
      <c r="BI22" s="376">
        <v>0</v>
      </c>
      <c r="BJ22" s="376">
        <v>0</v>
      </c>
      <c r="BK22" s="376">
        <v>0</v>
      </c>
      <c r="BL22" s="376">
        <v>0</v>
      </c>
      <c r="BN22" s="4" t="s">
        <v>123</v>
      </c>
    </row>
    <row r="23" spans="1:66">
      <c r="B23" t="s">
        <v>139</v>
      </c>
      <c r="E23" s="376">
        <v>0</v>
      </c>
      <c r="F23" s="376">
        <v>0</v>
      </c>
      <c r="G23" s="376">
        <v>0</v>
      </c>
      <c r="H23" s="376">
        <v>0</v>
      </c>
      <c r="I23" s="376">
        <v>0</v>
      </c>
      <c r="J23" s="376">
        <v>0</v>
      </c>
      <c r="K23" s="376">
        <v>0</v>
      </c>
      <c r="L23" s="376">
        <v>0</v>
      </c>
      <c r="M23" s="376">
        <v>0</v>
      </c>
      <c r="N23" s="376">
        <v>0</v>
      </c>
      <c r="O23" s="376">
        <v>0</v>
      </c>
      <c r="P23" s="376">
        <v>0</v>
      </c>
      <c r="Q23" s="376">
        <v>0</v>
      </c>
      <c r="R23" s="376">
        <v>0</v>
      </c>
      <c r="S23" s="376">
        <v>0</v>
      </c>
      <c r="T23" s="376">
        <v>0</v>
      </c>
      <c r="U23" s="376">
        <v>0</v>
      </c>
      <c r="V23" s="376">
        <v>0</v>
      </c>
      <c r="W23" s="376">
        <v>0</v>
      </c>
      <c r="X23" s="376">
        <v>0</v>
      </c>
      <c r="Y23" s="376">
        <v>0</v>
      </c>
      <c r="Z23" s="376">
        <v>0</v>
      </c>
      <c r="AA23" s="376">
        <v>0</v>
      </c>
      <c r="AB23" s="376">
        <v>0</v>
      </c>
      <c r="AC23" s="376">
        <v>0</v>
      </c>
      <c r="AD23" s="376">
        <v>0</v>
      </c>
      <c r="AE23" s="376">
        <v>0</v>
      </c>
      <c r="AF23" s="376">
        <v>0</v>
      </c>
      <c r="AG23" s="376">
        <v>0</v>
      </c>
      <c r="AH23" s="376">
        <v>0</v>
      </c>
      <c r="AI23" s="376">
        <v>0</v>
      </c>
      <c r="AJ23" s="376">
        <v>0</v>
      </c>
      <c r="AK23" s="376">
        <v>0</v>
      </c>
      <c r="AL23" s="376">
        <v>0</v>
      </c>
      <c r="AM23" s="376">
        <v>0</v>
      </c>
      <c r="AN23" s="376">
        <v>0</v>
      </c>
      <c r="AO23" s="376">
        <v>0</v>
      </c>
      <c r="AP23" s="376">
        <v>0</v>
      </c>
      <c r="AQ23" s="376">
        <v>0</v>
      </c>
      <c r="AR23" s="376">
        <v>0</v>
      </c>
      <c r="AS23" s="376">
        <v>0</v>
      </c>
      <c r="AT23" s="376">
        <v>0</v>
      </c>
      <c r="AU23" s="376">
        <v>0</v>
      </c>
      <c r="AV23" s="376">
        <v>0</v>
      </c>
      <c r="AW23" s="376">
        <v>0</v>
      </c>
      <c r="AX23" s="376">
        <v>0</v>
      </c>
      <c r="AY23" s="376">
        <v>0</v>
      </c>
      <c r="AZ23" s="376">
        <v>0</v>
      </c>
      <c r="BA23" s="376">
        <v>0</v>
      </c>
      <c r="BB23" s="376">
        <v>0</v>
      </c>
      <c r="BC23" s="376">
        <v>0</v>
      </c>
      <c r="BD23" s="376">
        <v>0</v>
      </c>
      <c r="BE23" s="376">
        <v>0</v>
      </c>
      <c r="BF23" s="376">
        <v>0</v>
      </c>
      <c r="BG23" s="376">
        <v>0</v>
      </c>
      <c r="BH23" s="376">
        <v>0</v>
      </c>
      <c r="BI23" s="376">
        <v>0</v>
      </c>
      <c r="BJ23" s="376">
        <v>0</v>
      </c>
      <c r="BK23" s="376">
        <v>0</v>
      </c>
      <c r="BL23" s="376">
        <v>0</v>
      </c>
      <c r="BN23" s="4" t="s">
        <v>123</v>
      </c>
    </row>
    <row r="24" spans="1:66">
      <c r="E24" s="376"/>
      <c r="F24" s="376"/>
      <c r="G24" s="376"/>
      <c r="H24" s="376"/>
      <c r="I24" s="376"/>
      <c r="J24" s="376"/>
      <c r="K24" s="376"/>
      <c r="L24" s="376"/>
      <c r="M24" s="376"/>
      <c r="N24" s="376"/>
      <c r="O24" s="376"/>
      <c r="P24" s="376"/>
      <c r="Q24" s="376"/>
      <c r="R24" s="376"/>
      <c r="S24" s="376"/>
      <c r="T24" s="376"/>
      <c r="U24" s="376"/>
      <c r="V24" s="376"/>
      <c r="W24" s="376"/>
      <c r="X24" s="376"/>
      <c r="Y24" s="376"/>
      <c r="Z24" s="376"/>
      <c r="AA24" s="376"/>
      <c r="AB24" s="376"/>
      <c r="AC24" s="376"/>
      <c r="AD24" s="376"/>
      <c r="AE24" s="376"/>
      <c r="AF24" s="376"/>
      <c r="AG24" s="376"/>
      <c r="AH24" s="376"/>
      <c r="AI24" s="376"/>
      <c r="AJ24" s="376"/>
      <c r="AK24" s="376"/>
      <c r="AL24" s="376"/>
      <c r="AM24" s="376"/>
      <c r="AN24" s="376"/>
      <c r="AO24" s="376"/>
      <c r="AP24" s="376"/>
      <c r="AQ24" s="376"/>
      <c r="AR24" s="376"/>
      <c r="AS24" s="376"/>
      <c r="AT24" s="376"/>
      <c r="AU24" s="376"/>
      <c r="AV24" s="376"/>
      <c r="AW24" s="376"/>
      <c r="AX24" s="376"/>
      <c r="AY24" s="376"/>
      <c r="AZ24" s="376"/>
      <c r="BA24" s="376"/>
      <c r="BB24" s="376"/>
      <c r="BC24" s="376"/>
      <c r="BD24" s="376"/>
      <c r="BE24" s="376"/>
      <c r="BF24" s="376"/>
      <c r="BG24" s="376"/>
      <c r="BH24" s="376"/>
      <c r="BI24" s="376"/>
      <c r="BJ24" s="376"/>
      <c r="BK24" s="376"/>
      <c r="BL24" s="376"/>
      <c r="BN24" s="4" t="s">
        <v>123</v>
      </c>
    </row>
    <row r="25" spans="1:66">
      <c r="E25" s="376"/>
      <c r="F25" s="376"/>
      <c r="G25" s="376"/>
      <c r="H25" s="376"/>
      <c r="I25" s="376"/>
      <c r="J25" s="376"/>
      <c r="K25" s="376"/>
      <c r="L25" s="376"/>
      <c r="M25" s="376"/>
      <c r="N25" s="376"/>
      <c r="O25" s="376"/>
      <c r="P25" s="376"/>
      <c r="Q25" s="376"/>
      <c r="R25" s="376"/>
      <c r="S25" s="376"/>
      <c r="T25" s="376"/>
      <c r="U25" s="376"/>
      <c r="V25" s="376"/>
      <c r="W25" s="376"/>
      <c r="X25" s="376"/>
      <c r="Y25" s="376"/>
      <c r="Z25" s="376"/>
      <c r="AA25" s="376"/>
      <c r="AB25" s="376"/>
      <c r="AC25" s="376"/>
      <c r="AD25" s="376"/>
      <c r="AE25" s="376"/>
      <c r="AF25" s="376"/>
      <c r="AG25" s="376"/>
      <c r="AH25" s="376"/>
      <c r="AI25" s="376"/>
      <c r="AJ25" s="376"/>
      <c r="AK25" s="376"/>
      <c r="AL25" s="376"/>
      <c r="AM25" s="376"/>
      <c r="AN25" s="376"/>
      <c r="AO25" s="376"/>
      <c r="AP25" s="376"/>
      <c r="AQ25" s="376"/>
      <c r="AR25" s="376"/>
      <c r="AS25" s="376"/>
      <c r="AT25" s="376"/>
      <c r="AU25" s="376"/>
      <c r="AV25" s="376"/>
      <c r="AW25" s="376"/>
      <c r="AX25" s="376"/>
      <c r="AY25" s="376"/>
      <c r="AZ25" s="376"/>
      <c r="BA25" s="376"/>
      <c r="BB25" s="376"/>
      <c r="BC25" s="376"/>
      <c r="BD25" s="376"/>
      <c r="BE25" s="376"/>
      <c r="BF25" s="376"/>
      <c r="BG25" s="376"/>
      <c r="BH25" s="376"/>
      <c r="BI25" s="376"/>
      <c r="BJ25" s="376"/>
      <c r="BK25" s="376"/>
      <c r="BL25" s="376"/>
      <c r="BN25" s="4" t="s">
        <v>123</v>
      </c>
    </row>
    <row r="26" spans="1:66">
      <c r="A26" s="134"/>
      <c r="B26" s="134" t="s">
        <v>140</v>
      </c>
      <c r="C26" s="134"/>
      <c r="D26" s="132" t="s">
        <v>130</v>
      </c>
      <c r="E26" s="377">
        <f>SUM(E28:E32)</f>
        <v>0</v>
      </c>
      <c r="F26" s="377">
        <f t="shared" ref="F26:BL26" si="10">SUM(F28:F32)</f>
        <v>0</v>
      </c>
      <c r="G26" s="377">
        <f t="shared" si="10"/>
        <v>0</v>
      </c>
      <c r="H26" s="377">
        <f t="shared" si="10"/>
        <v>0</v>
      </c>
      <c r="I26" s="377">
        <f t="shared" si="10"/>
        <v>0</v>
      </c>
      <c r="J26" s="377">
        <f t="shared" si="10"/>
        <v>0</v>
      </c>
      <c r="K26" s="377">
        <f t="shared" si="10"/>
        <v>0</v>
      </c>
      <c r="L26" s="377">
        <f t="shared" si="10"/>
        <v>0</v>
      </c>
      <c r="M26" s="377">
        <f t="shared" si="10"/>
        <v>0</v>
      </c>
      <c r="N26" s="377">
        <f t="shared" si="10"/>
        <v>0</v>
      </c>
      <c r="O26" s="377">
        <f t="shared" si="10"/>
        <v>0</v>
      </c>
      <c r="P26" s="377">
        <f t="shared" si="10"/>
        <v>0</v>
      </c>
      <c r="Q26" s="377">
        <f t="shared" si="10"/>
        <v>0</v>
      </c>
      <c r="R26" s="377">
        <f t="shared" si="10"/>
        <v>0</v>
      </c>
      <c r="S26" s="377">
        <f t="shared" si="10"/>
        <v>0</v>
      </c>
      <c r="T26" s="377">
        <f t="shared" si="10"/>
        <v>0</v>
      </c>
      <c r="U26" s="377">
        <f t="shared" si="10"/>
        <v>0</v>
      </c>
      <c r="V26" s="377">
        <f t="shared" si="10"/>
        <v>0</v>
      </c>
      <c r="W26" s="377">
        <f t="shared" si="10"/>
        <v>0</v>
      </c>
      <c r="X26" s="377">
        <f t="shared" si="10"/>
        <v>0</v>
      </c>
      <c r="Y26" s="377">
        <f t="shared" si="10"/>
        <v>0</v>
      </c>
      <c r="Z26" s="377">
        <f t="shared" si="10"/>
        <v>0</v>
      </c>
      <c r="AA26" s="377">
        <f t="shared" si="10"/>
        <v>0</v>
      </c>
      <c r="AB26" s="377">
        <f t="shared" si="10"/>
        <v>0</v>
      </c>
      <c r="AC26" s="377">
        <f t="shared" si="10"/>
        <v>0</v>
      </c>
      <c r="AD26" s="377">
        <f t="shared" si="10"/>
        <v>0</v>
      </c>
      <c r="AE26" s="377">
        <f t="shared" si="10"/>
        <v>0</v>
      </c>
      <c r="AF26" s="377">
        <f t="shared" si="10"/>
        <v>0</v>
      </c>
      <c r="AG26" s="377">
        <f t="shared" si="10"/>
        <v>0</v>
      </c>
      <c r="AH26" s="377">
        <f t="shared" si="10"/>
        <v>0</v>
      </c>
      <c r="AI26" s="377">
        <f t="shared" si="10"/>
        <v>0</v>
      </c>
      <c r="AJ26" s="377">
        <f t="shared" si="10"/>
        <v>0</v>
      </c>
      <c r="AK26" s="377">
        <f t="shared" si="10"/>
        <v>0</v>
      </c>
      <c r="AL26" s="377">
        <f t="shared" si="10"/>
        <v>0</v>
      </c>
      <c r="AM26" s="377">
        <f t="shared" si="10"/>
        <v>0</v>
      </c>
      <c r="AN26" s="377">
        <f t="shared" si="10"/>
        <v>0</v>
      </c>
      <c r="AO26" s="377">
        <f t="shared" si="10"/>
        <v>0</v>
      </c>
      <c r="AP26" s="377">
        <f t="shared" si="10"/>
        <v>0</v>
      </c>
      <c r="AQ26" s="377">
        <f t="shared" si="10"/>
        <v>0</v>
      </c>
      <c r="AR26" s="377">
        <f t="shared" si="10"/>
        <v>0</v>
      </c>
      <c r="AS26" s="377">
        <f t="shared" si="10"/>
        <v>0</v>
      </c>
      <c r="AT26" s="377">
        <f t="shared" si="10"/>
        <v>0</v>
      </c>
      <c r="AU26" s="377">
        <f t="shared" si="10"/>
        <v>0</v>
      </c>
      <c r="AV26" s="377">
        <f t="shared" si="10"/>
        <v>0</v>
      </c>
      <c r="AW26" s="377">
        <f t="shared" si="10"/>
        <v>0</v>
      </c>
      <c r="AX26" s="377">
        <f t="shared" si="10"/>
        <v>0</v>
      </c>
      <c r="AY26" s="377">
        <f t="shared" si="10"/>
        <v>0</v>
      </c>
      <c r="AZ26" s="377">
        <f t="shared" si="10"/>
        <v>0</v>
      </c>
      <c r="BA26" s="377">
        <f t="shared" si="10"/>
        <v>0</v>
      </c>
      <c r="BB26" s="377">
        <f t="shared" si="10"/>
        <v>0</v>
      </c>
      <c r="BC26" s="377">
        <f t="shared" si="10"/>
        <v>0</v>
      </c>
      <c r="BD26" s="377">
        <f t="shared" si="10"/>
        <v>0</v>
      </c>
      <c r="BE26" s="377">
        <f t="shared" si="10"/>
        <v>0</v>
      </c>
      <c r="BF26" s="377">
        <f t="shared" si="10"/>
        <v>0</v>
      </c>
      <c r="BG26" s="377">
        <f t="shared" si="10"/>
        <v>0</v>
      </c>
      <c r="BH26" s="377">
        <f t="shared" si="10"/>
        <v>0</v>
      </c>
      <c r="BI26" s="377">
        <f t="shared" si="10"/>
        <v>0</v>
      </c>
      <c r="BJ26" s="377">
        <f t="shared" si="10"/>
        <v>0</v>
      </c>
      <c r="BK26" s="377">
        <f t="shared" si="10"/>
        <v>0</v>
      </c>
      <c r="BL26" s="377">
        <f t="shared" si="10"/>
        <v>0</v>
      </c>
      <c r="BN26" s="4" t="s">
        <v>123</v>
      </c>
    </row>
    <row r="27" spans="1:66">
      <c r="E27" s="376"/>
      <c r="F27" s="376"/>
      <c r="G27" s="376"/>
      <c r="H27" s="376"/>
      <c r="I27" s="376"/>
      <c r="J27" s="376"/>
      <c r="K27" s="376"/>
      <c r="L27" s="376"/>
      <c r="M27" s="376"/>
      <c r="N27" s="376"/>
      <c r="O27" s="376"/>
      <c r="P27" s="376"/>
      <c r="Q27" s="376"/>
      <c r="R27" s="376"/>
      <c r="S27" s="376"/>
      <c r="T27" s="376"/>
      <c r="U27" s="376"/>
      <c r="V27" s="376"/>
      <c r="W27" s="376"/>
      <c r="X27" s="376"/>
      <c r="Y27" s="376"/>
      <c r="Z27" s="376"/>
      <c r="AA27" s="376"/>
      <c r="AB27" s="376"/>
      <c r="AC27" s="376"/>
      <c r="AD27" s="376"/>
      <c r="AE27" s="376"/>
      <c r="AF27" s="376"/>
      <c r="AG27" s="376"/>
      <c r="AH27" s="376"/>
      <c r="AI27" s="376"/>
      <c r="AJ27" s="376"/>
      <c r="AK27" s="376"/>
      <c r="AL27" s="376"/>
      <c r="AM27" s="376"/>
      <c r="AN27" s="376"/>
      <c r="AO27" s="376"/>
      <c r="AP27" s="376"/>
      <c r="AQ27" s="376"/>
      <c r="AR27" s="376"/>
      <c r="AS27" s="376"/>
      <c r="AT27" s="376"/>
      <c r="AU27" s="376"/>
      <c r="AV27" s="376"/>
      <c r="AW27" s="376"/>
      <c r="AX27" s="376"/>
      <c r="AY27" s="376"/>
      <c r="AZ27" s="376"/>
      <c r="BA27" s="376"/>
      <c r="BB27" s="376"/>
      <c r="BC27" s="376"/>
      <c r="BD27" s="376"/>
      <c r="BE27" s="376"/>
      <c r="BF27" s="376"/>
      <c r="BG27" s="376"/>
      <c r="BH27" s="376"/>
      <c r="BI27" s="376"/>
      <c r="BJ27" s="376"/>
      <c r="BK27" s="376"/>
      <c r="BL27" s="376"/>
      <c r="BN27" s="4" t="s">
        <v>123</v>
      </c>
    </row>
    <row r="28" spans="1:66">
      <c r="B28" t="s">
        <v>141</v>
      </c>
      <c r="E28" s="376">
        <v>0</v>
      </c>
      <c r="F28" s="376">
        <v>0</v>
      </c>
      <c r="G28" s="376">
        <v>0</v>
      </c>
      <c r="H28" s="376">
        <v>0</v>
      </c>
      <c r="I28" s="376">
        <v>0</v>
      </c>
      <c r="J28" s="376">
        <v>0</v>
      </c>
      <c r="K28" s="376">
        <v>0</v>
      </c>
      <c r="L28" s="376">
        <v>0</v>
      </c>
      <c r="M28" s="376">
        <v>0</v>
      </c>
      <c r="N28" s="376">
        <v>0</v>
      </c>
      <c r="O28" s="376">
        <v>0</v>
      </c>
      <c r="P28" s="376">
        <v>0</v>
      </c>
      <c r="Q28" s="376">
        <v>0</v>
      </c>
      <c r="R28" s="376">
        <v>0</v>
      </c>
      <c r="S28" s="376">
        <v>0</v>
      </c>
      <c r="T28" s="376">
        <v>0</v>
      </c>
      <c r="U28" s="376">
        <v>0</v>
      </c>
      <c r="V28" s="376">
        <v>0</v>
      </c>
      <c r="W28" s="376">
        <v>0</v>
      </c>
      <c r="X28" s="376">
        <v>0</v>
      </c>
      <c r="Y28" s="376">
        <v>0</v>
      </c>
      <c r="Z28" s="376">
        <v>0</v>
      </c>
      <c r="AA28" s="376">
        <v>0</v>
      </c>
      <c r="AB28" s="376">
        <v>0</v>
      </c>
      <c r="AC28" s="376">
        <v>0</v>
      </c>
      <c r="AD28" s="376">
        <v>0</v>
      </c>
      <c r="AE28" s="376">
        <v>0</v>
      </c>
      <c r="AF28" s="376">
        <v>0</v>
      </c>
      <c r="AG28" s="376">
        <v>0</v>
      </c>
      <c r="AH28" s="376">
        <v>0</v>
      </c>
      <c r="AI28" s="376">
        <v>0</v>
      </c>
      <c r="AJ28" s="376">
        <v>0</v>
      </c>
      <c r="AK28" s="376">
        <v>0</v>
      </c>
      <c r="AL28" s="376">
        <v>0</v>
      </c>
      <c r="AM28" s="376">
        <v>0</v>
      </c>
      <c r="AN28" s="376">
        <v>0</v>
      </c>
      <c r="AO28" s="376">
        <v>0</v>
      </c>
      <c r="AP28" s="376">
        <v>0</v>
      </c>
      <c r="AQ28" s="376">
        <v>0</v>
      </c>
      <c r="AR28" s="376">
        <v>0</v>
      </c>
      <c r="AS28" s="376">
        <v>0</v>
      </c>
      <c r="AT28" s="376">
        <v>0</v>
      </c>
      <c r="AU28" s="376">
        <v>0</v>
      </c>
      <c r="AV28" s="376">
        <v>0</v>
      </c>
      <c r="AW28" s="376">
        <v>0</v>
      </c>
      <c r="AX28" s="376">
        <v>0</v>
      </c>
      <c r="AY28" s="376">
        <v>0</v>
      </c>
      <c r="AZ28" s="376">
        <v>0</v>
      </c>
      <c r="BA28" s="376">
        <v>0</v>
      </c>
      <c r="BB28" s="376">
        <v>0</v>
      </c>
      <c r="BC28" s="376">
        <v>0</v>
      </c>
      <c r="BD28" s="376">
        <v>0</v>
      </c>
      <c r="BE28" s="376">
        <v>0</v>
      </c>
      <c r="BF28" s="376">
        <v>0</v>
      </c>
      <c r="BG28" s="376">
        <v>0</v>
      </c>
      <c r="BH28" s="376">
        <v>0</v>
      </c>
      <c r="BI28" s="376">
        <v>0</v>
      </c>
      <c r="BJ28" s="376">
        <v>0</v>
      </c>
      <c r="BK28" s="376">
        <v>0</v>
      </c>
      <c r="BL28" s="376">
        <v>0</v>
      </c>
      <c r="BN28" s="4" t="s">
        <v>123</v>
      </c>
    </row>
    <row r="29" spans="1:66">
      <c r="BN29" s="4" t="s">
        <v>123</v>
      </c>
    </row>
    <row r="30" spans="1:66">
      <c r="BN30" s="4" t="s">
        <v>123</v>
      </c>
    </row>
    <row r="31" spans="1:66">
      <c r="BN31" s="4" t="s">
        <v>123</v>
      </c>
    </row>
    <row r="32" spans="1:66">
      <c r="BN32" s="4" t="s">
        <v>123</v>
      </c>
    </row>
    <row r="33" spans="66:66">
      <c r="BN33" s="4" t="s">
        <v>123</v>
      </c>
    </row>
    <row r="34" spans="66:66">
      <c r="BN34" s="4" t="s">
        <v>123</v>
      </c>
    </row>
    <row r="35" spans="66:66">
      <c r="BN35" s="4" t="s">
        <v>123</v>
      </c>
    </row>
    <row r="36" spans="66:66">
      <c r="BN36" s="4" t="s">
        <v>123</v>
      </c>
    </row>
    <row r="37" spans="66:66">
      <c r="BN37" s="4" t="s">
        <v>123</v>
      </c>
    </row>
    <row r="38" spans="66:66">
      <c r="BN38" s="4" t="s">
        <v>123</v>
      </c>
    </row>
    <row r="39" spans="66:66">
      <c r="BN39" s="4" t="s">
        <v>123</v>
      </c>
    </row>
    <row r="40" spans="66:66">
      <c r="BN40" s="4" t="s">
        <v>123</v>
      </c>
    </row>
    <row r="41" spans="66:66">
      <c r="BN41" s="4" t="s">
        <v>123</v>
      </c>
    </row>
  </sheetData>
  <dataValidations count="1">
    <dataValidation type="list" allowBlank="1" showInputMessage="1" showErrorMessage="1" sqref="D9:D14" xr:uid="{D11E1D54-7E9F-D048-BD64-23960EF502A9}">
      <formula1>$E$2:$BL$2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F9A0-05AD-434E-B745-97E1C67B3D7D}">
  <dimension ref="A1:AJ61"/>
  <sheetViews>
    <sheetView zoomScaleNormal="100" workbookViewId="0">
      <pane xSplit="1" topLeftCell="B1" activePane="topRight" state="frozen"/>
      <selection pane="topRight" activeCell="A9" sqref="A9"/>
      <selection activeCell="A9" sqref="A9"/>
    </sheetView>
  </sheetViews>
  <sheetFormatPr defaultColWidth="11.85546875" defaultRowHeight="15"/>
  <cols>
    <col min="1" max="1" width="28.85546875" style="9" customWidth="1"/>
    <col min="2" max="2" width="13.85546875" style="9" bestFit="1" customWidth="1"/>
    <col min="3" max="4" width="12.85546875" style="9" customWidth="1"/>
    <col min="5" max="5" width="2.7109375" style="9" customWidth="1"/>
    <col min="6" max="6" width="13.85546875" style="9" bestFit="1" customWidth="1"/>
    <col min="7" max="8" width="12.85546875" style="9" customWidth="1"/>
    <col min="9" max="9" width="2.7109375" style="9" customWidth="1"/>
    <col min="10" max="10" width="14.42578125" style="9" bestFit="1" customWidth="1"/>
    <col min="11" max="12" width="12.85546875" style="9" customWidth="1"/>
    <col min="13" max="13" width="2.7109375" style="9" customWidth="1"/>
    <col min="14" max="14" width="15.5703125" style="9" bestFit="1" customWidth="1"/>
    <col min="15" max="15" width="14.7109375" style="9" customWidth="1"/>
    <col min="16" max="16" width="12.85546875" style="9" customWidth="1"/>
    <col min="17" max="17" width="2.7109375" style="9" customWidth="1"/>
    <col min="18" max="18" width="15" style="9" bestFit="1" customWidth="1"/>
    <col min="19" max="19" width="16" style="9" bestFit="1" customWidth="1"/>
    <col min="20" max="20" width="12.85546875" style="9" customWidth="1"/>
    <col min="21" max="21" width="2.7109375" style="9" customWidth="1"/>
    <col min="22" max="22" width="16" style="9" bestFit="1" customWidth="1"/>
    <col min="23" max="23" width="17.7109375" style="9" bestFit="1" customWidth="1"/>
    <col min="24" max="24" width="12.85546875" style="9" customWidth="1"/>
    <col min="25" max="25" width="2.7109375" style="9" customWidth="1"/>
    <col min="26" max="26" width="13.42578125" style="9" bestFit="1" customWidth="1"/>
    <col min="27" max="27" width="26.7109375" style="9" customWidth="1"/>
    <col min="28" max="28" width="12.85546875" style="9" customWidth="1"/>
    <col min="29" max="29" width="1" style="9" customWidth="1"/>
    <col min="30" max="30" width="17.7109375" style="9" bestFit="1" customWidth="1"/>
    <col min="31" max="31" width="2.7109375" style="9" customWidth="1"/>
    <col min="32" max="32" width="15" style="9" bestFit="1" customWidth="1"/>
    <col min="33" max="33" width="13.5703125" style="9" customWidth="1"/>
    <col min="34" max="34" width="15.5703125" style="9" bestFit="1" customWidth="1"/>
    <col min="35" max="35" width="14.85546875" style="9" customWidth="1"/>
    <col min="36" max="264" width="8.7109375" style="9" customWidth="1"/>
    <col min="265" max="265" width="28.85546875" style="9" customWidth="1"/>
    <col min="266" max="268" width="12.85546875" style="9" customWidth="1"/>
    <col min="269" max="269" width="2.7109375" style="9" customWidth="1"/>
    <col min="270" max="272" width="12.85546875" style="9" customWidth="1"/>
    <col min="273" max="273" width="2.7109375" style="9" customWidth="1"/>
    <col min="274" max="276" width="12.85546875" style="9" customWidth="1"/>
    <col min="277" max="277" width="2.7109375" style="9" customWidth="1"/>
    <col min="278" max="280" width="12.85546875" style="9" customWidth="1"/>
    <col min="281" max="520" width="8.7109375" style="9" customWidth="1"/>
    <col min="521" max="521" width="28.85546875" style="9" customWidth="1"/>
    <col min="522" max="524" width="12.85546875" style="9" customWidth="1"/>
    <col min="525" max="525" width="2.7109375" style="9" customWidth="1"/>
    <col min="526" max="528" width="12.85546875" style="9" customWidth="1"/>
    <col min="529" max="529" width="2.7109375" style="9" customWidth="1"/>
    <col min="530" max="532" width="12.85546875" style="9" customWidth="1"/>
    <col min="533" max="533" width="2.7109375" style="9" customWidth="1"/>
    <col min="534" max="536" width="12.85546875" style="9" customWidth="1"/>
    <col min="537" max="776" width="8.7109375" style="9" customWidth="1"/>
    <col min="777" max="777" width="28.85546875" style="9" customWidth="1"/>
    <col min="778" max="780" width="12.85546875" style="9" customWidth="1"/>
    <col min="781" max="781" width="2.7109375" style="9" customWidth="1"/>
    <col min="782" max="784" width="12.85546875" style="9" customWidth="1"/>
    <col min="785" max="785" width="2.7109375" style="9" customWidth="1"/>
    <col min="786" max="788" width="12.85546875" style="9" customWidth="1"/>
    <col min="789" max="789" width="2.7109375" style="9" customWidth="1"/>
    <col min="790" max="792" width="12.85546875" style="9" customWidth="1"/>
    <col min="793" max="1032" width="8.7109375" style="9" customWidth="1"/>
    <col min="1033" max="1033" width="28.85546875" style="9" customWidth="1"/>
    <col min="1034" max="1036" width="12.85546875" style="9" customWidth="1"/>
    <col min="1037" max="1037" width="2.7109375" style="9" customWidth="1"/>
    <col min="1038" max="1040" width="12.85546875" style="9" customWidth="1"/>
    <col min="1041" max="1041" width="2.7109375" style="9" customWidth="1"/>
    <col min="1042" max="1044" width="12.85546875" style="9" customWidth="1"/>
    <col min="1045" max="1045" width="2.7109375" style="9" customWidth="1"/>
    <col min="1046" max="1048" width="12.85546875" style="9" customWidth="1"/>
    <col min="1049" max="1288" width="8.7109375" style="9" customWidth="1"/>
    <col min="1289" max="1289" width="28.85546875" style="9" customWidth="1"/>
    <col min="1290" max="1292" width="12.85546875" style="9" customWidth="1"/>
    <col min="1293" max="1293" width="2.7109375" style="9" customWidth="1"/>
    <col min="1294" max="1296" width="12.85546875" style="9" customWidth="1"/>
    <col min="1297" max="1297" width="2.7109375" style="9" customWidth="1"/>
    <col min="1298" max="1300" width="12.85546875" style="9" customWidth="1"/>
    <col min="1301" max="1301" width="2.7109375" style="9" customWidth="1"/>
    <col min="1302" max="1304" width="12.85546875" style="9" customWidth="1"/>
    <col min="1305" max="1544" width="8.7109375" style="9" customWidth="1"/>
    <col min="1545" max="1545" width="28.85546875" style="9" customWidth="1"/>
    <col min="1546" max="1548" width="12.85546875" style="9" customWidth="1"/>
    <col min="1549" max="1549" width="2.7109375" style="9" customWidth="1"/>
    <col min="1550" max="1552" width="12.85546875" style="9" customWidth="1"/>
    <col min="1553" max="1553" width="2.7109375" style="9" customWidth="1"/>
    <col min="1554" max="1556" width="12.85546875" style="9" customWidth="1"/>
    <col min="1557" max="1557" width="2.7109375" style="9" customWidth="1"/>
    <col min="1558" max="1560" width="12.85546875" style="9" customWidth="1"/>
    <col min="1561" max="1800" width="8.7109375" style="9" customWidth="1"/>
    <col min="1801" max="1801" width="28.85546875" style="9" customWidth="1"/>
    <col min="1802" max="1804" width="12.85546875" style="9" customWidth="1"/>
    <col min="1805" max="1805" width="2.7109375" style="9" customWidth="1"/>
    <col min="1806" max="1808" width="12.85546875" style="9" customWidth="1"/>
    <col min="1809" max="1809" width="2.7109375" style="9" customWidth="1"/>
    <col min="1810" max="1812" width="12.85546875" style="9" customWidth="1"/>
    <col min="1813" max="1813" width="2.7109375" style="9" customWidth="1"/>
    <col min="1814" max="1816" width="12.85546875" style="9" customWidth="1"/>
    <col min="1817" max="2056" width="8.7109375" style="9" customWidth="1"/>
    <col min="2057" max="2057" width="28.85546875" style="9" customWidth="1"/>
    <col min="2058" max="2060" width="12.85546875" style="9" customWidth="1"/>
    <col min="2061" max="2061" width="2.7109375" style="9" customWidth="1"/>
    <col min="2062" max="2064" width="12.85546875" style="9" customWidth="1"/>
    <col min="2065" max="2065" width="2.7109375" style="9" customWidth="1"/>
    <col min="2066" max="2068" width="12.85546875" style="9" customWidth="1"/>
    <col min="2069" max="2069" width="2.7109375" style="9" customWidth="1"/>
    <col min="2070" max="2072" width="12.85546875" style="9" customWidth="1"/>
    <col min="2073" max="2312" width="8.7109375" style="9" customWidth="1"/>
    <col min="2313" max="2313" width="28.85546875" style="9" customWidth="1"/>
    <col min="2314" max="2316" width="12.85546875" style="9" customWidth="1"/>
    <col min="2317" max="2317" width="2.7109375" style="9" customWidth="1"/>
    <col min="2318" max="2320" width="12.85546875" style="9" customWidth="1"/>
    <col min="2321" max="2321" width="2.7109375" style="9" customWidth="1"/>
    <col min="2322" max="2324" width="12.85546875" style="9" customWidth="1"/>
    <col min="2325" max="2325" width="2.7109375" style="9" customWidth="1"/>
    <col min="2326" max="2328" width="12.85546875" style="9" customWidth="1"/>
    <col min="2329" max="2568" width="8.7109375" style="9" customWidth="1"/>
    <col min="2569" max="2569" width="28.85546875" style="9" customWidth="1"/>
    <col min="2570" max="2572" width="12.85546875" style="9" customWidth="1"/>
    <col min="2573" max="2573" width="2.7109375" style="9" customWidth="1"/>
    <col min="2574" max="2576" width="12.85546875" style="9" customWidth="1"/>
    <col min="2577" max="2577" width="2.7109375" style="9" customWidth="1"/>
    <col min="2578" max="2580" width="12.85546875" style="9" customWidth="1"/>
    <col min="2581" max="2581" width="2.7109375" style="9" customWidth="1"/>
    <col min="2582" max="2584" width="12.85546875" style="9" customWidth="1"/>
    <col min="2585" max="2824" width="8.7109375" style="9" customWidth="1"/>
    <col min="2825" max="2825" width="28.85546875" style="9" customWidth="1"/>
    <col min="2826" max="2828" width="12.85546875" style="9" customWidth="1"/>
    <col min="2829" max="2829" width="2.7109375" style="9" customWidth="1"/>
    <col min="2830" max="2832" width="12.85546875" style="9" customWidth="1"/>
    <col min="2833" max="2833" width="2.7109375" style="9" customWidth="1"/>
    <col min="2834" max="2836" width="12.85546875" style="9" customWidth="1"/>
    <col min="2837" max="2837" width="2.7109375" style="9" customWidth="1"/>
    <col min="2838" max="2840" width="12.85546875" style="9" customWidth="1"/>
    <col min="2841" max="3080" width="8.7109375" style="9" customWidth="1"/>
    <col min="3081" max="3081" width="28.85546875" style="9" customWidth="1"/>
    <col min="3082" max="3084" width="12.85546875" style="9" customWidth="1"/>
    <col min="3085" max="3085" width="2.7109375" style="9" customWidth="1"/>
    <col min="3086" max="3088" width="12.85546875" style="9" customWidth="1"/>
    <col min="3089" max="3089" width="2.7109375" style="9" customWidth="1"/>
    <col min="3090" max="3092" width="12.85546875" style="9" customWidth="1"/>
    <col min="3093" max="3093" width="2.7109375" style="9" customWidth="1"/>
    <col min="3094" max="3096" width="12.85546875" style="9" customWidth="1"/>
    <col min="3097" max="3336" width="8.7109375" style="9" customWidth="1"/>
    <col min="3337" max="3337" width="28.85546875" style="9" customWidth="1"/>
    <col min="3338" max="3340" width="12.85546875" style="9" customWidth="1"/>
    <col min="3341" max="3341" width="2.7109375" style="9" customWidth="1"/>
    <col min="3342" max="3344" width="12.85546875" style="9" customWidth="1"/>
    <col min="3345" max="3345" width="2.7109375" style="9" customWidth="1"/>
    <col min="3346" max="3348" width="12.85546875" style="9" customWidth="1"/>
    <col min="3349" max="3349" width="2.7109375" style="9" customWidth="1"/>
    <col min="3350" max="3352" width="12.85546875" style="9" customWidth="1"/>
    <col min="3353" max="3592" width="8.7109375" style="9" customWidth="1"/>
    <col min="3593" max="3593" width="28.85546875" style="9" customWidth="1"/>
    <col min="3594" max="3596" width="12.85546875" style="9" customWidth="1"/>
    <col min="3597" max="3597" width="2.7109375" style="9" customWidth="1"/>
    <col min="3598" max="3600" width="12.85546875" style="9" customWidth="1"/>
    <col min="3601" max="3601" width="2.7109375" style="9" customWidth="1"/>
    <col min="3602" max="3604" width="12.85546875" style="9" customWidth="1"/>
    <col min="3605" max="3605" width="2.7109375" style="9" customWidth="1"/>
    <col min="3606" max="3608" width="12.85546875" style="9" customWidth="1"/>
    <col min="3609" max="3848" width="8.7109375" style="9" customWidth="1"/>
    <col min="3849" max="3849" width="28.85546875" style="9" customWidth="1"/>
    <col min="3850" max="3852" width="12.85546875" style="9" customWidth="1"/>
    <col min="3853" max="3853" width="2.7109375" style="9" customWidth="1"/>
    <col min="3854" max="3856" width="12.85546875" style="9" customWidth="1"/>
    <col min="3857" max="3857" width="2.7109375" style="9" customWidth="1"/>
    <col min="3858" max="3860" width="12.85546875" style="9" customWidth="1"/>
    <col min="3861" max="3861" width="2.7109375" style="9" customWidth="1"/>
    <col min="3862" max="3864" width="12.85546875" style="9" customWidth="1"/>
    <col min="3865" max="4104" width="8.7109375" style="9" customWidth="1"/>
    <col min="4105" max="4105" width="28.85546875" style="9" customWidth="1"/>
    <col min="4106" max="4108" width="12.85546875" style="9" customWidth="1"/>
    <col min="4109" max="4109" width="2.7109375" style="9" customWidth="1"/>
    <col min="4110" max="4112" width="12.85546875" style="9" customWidth="1"/>
    <col min="4113" max="4113" width="2.7109375" style="9" customWidth="1"/>
    <col min="4114" max="4116" width="12.85546875" style="9" customWidth="1"/>
    <col min="4117" max="4117" width="2.7109375" style="9" customWidth="1"/>
    <col min="4118" max="4120" width="12.85546875" style="9" customWidth="1"/>
    <col min="4121" max="4360" width="8.7109375" style="9" customWidth="1"/>
    <col min="4361" max="4361" width="28.85546875" style="9" customWidth="1"/>
    <col min="4362" max="4364" width="12.85546875" style="9" customWidth="1"/>
    <col min="4365" max="4365" width="2.7109375" style="9" customWidth="1"/>
    <col min="4366" max="4368" width="12.85546875" style="9" customWidth="1"/>
    <col min="4369" max="4369" width="2.7109375" style="9" customWidth="1"/>
    <col min="4370" max="4372" width="12.85546875" style="9" customWidth="1"/>
    <col min="4373" max="4373" width="2.7109375" style="9" customWidth="1"/>
    <col min="4374" max="4376" width="12.85546875" style="9" customWidth="1"/>
    <col min="4377" max="4616" width="8.7109375" style="9" customWidth="1"/>
    <col min="4617" max="4617" width="28.85546875" style="9" customWidth="1"/>
    <col min="4618" max="4620" width="12.85546875" style="9" customWidth="1"/>
    <col min="4621" max="4621" width="2.7109375" style="9" customWidth="1"/>
    <col min="4622" max="4624" width="12.85546875" style="9" customWidth="1"/>
    <col min="4625" max="4625" width="2.7109375" style="9" customWidth="1"/>
    <col min="4626" max="4628" width="12.85546875" style="9" customWidth="1"/>
    <col min="4629" max="4629" width="2.7109375" style="9" customWidth="1"/>
    <col min="4630" max="4632" width="12.85546875" style="9" customWidth="1"/>
    <col min="4633" max="4872" width="8.7109375" style="9" customWidth="1"/>
    <col min="4873" max="4873" width="28.85546875" style="9" customWidth="1"/>
    <col min="4874" max="4876" width="12.85546875" style="9" customWidth="1"/>
    <col min="4877" max="4877" width="2.7109375" style="9" customWidth="1"/>
    <col min="4878" max="4880" width="12.85546875" style="9" customWidth="1"/>
    <col min="4881" max="4881" width="2.7109375" style="9" customWidth="1"/>
    <col min="4882" max="4884" width="12.85546875" style="9" customWidth="1"/>
    <col min="4885" max="4885" width="2.7109375" style="9" customWidth="1"/>
    <col min="4886" max="4888" width="12.85546875" style="9" customWidth="1"/>
    <col min="4889" max="5128" width="8.7109375" style="9" customWidth="1"/>
    <col min="5129" max="5129" width="28.85546875" style="9" customWidth="1"/>
    <col min="5130" max="5132" width="12.85546875" style="9" customWidth="1"/>
    <col min="5133" max="5133" width="2.7109375" style="9" customWidth="1"/>
    <col min="5134" max="5136" width="12.85546875" style="9" customWidth="1"/>
    <col min="5137" max="5137" width="2.7109375" style="9" customWidth="1"/>
    <col min="5138" max="5140" width="12.85546875" style="9" customWidth="1"/>
    <col min="5141" max="5141" width="2.7109375" style="9" customWidth="1"/>
    <col min="5142" max="5144" width="12.85546875" style="9" customWidth="1"/>
    <col min="5145" max="5384" width="8.7109375" style="9" customWidth="1"/>
    <col min="5385" max="5385" width="28.85546875" style="9" customWidth="1"/>
    <col min="5386" max="5388" width="12.85546875" style="9" customWidth="1"/>
    <col min="5389" max="5389" width="2.7109375" style="9" customWidth="1"/>
    <col min="5390" max="5392" width="12.85546875" style="9" customWidth="1"/>
    <col min="5393" max="5393" width="2.7109375" style="9" customWidth="1"/>
    <col min="5394" max="5396" width="12.85546875" style="9" customWidth="1"/>
    <col min="5397" max="5397" width="2.7109375" style="9" customWidth="1"/>
    <col min="5398" max="5400" width="12.85546875" style="9" customWidth="1"/>
    <col min="5401" max="5640" width="8.7109375" style="9" customWidth="1"/>
    <col min="5641" max="5641" width="28.85546875" style="9" customWidth="1"/>
    <col min="5642" max="5644" width="12.85546875" style="9" customWidth="1"/>
    <col min="5645" max="5645" width="2.7109375" style="9" customWidth="1"/>
    <col min="5646" max="5648" width="12.85546875" style="9" customWidth="1"/>
    <col min="5649" max="5649" width="2.7109375" style="9" customWidth="1"/>
    <col min="5650" max="5652" width="12.85546875" style="9" customWidth="1"/>
    <col min="5653" max="5653" width="2.7109375" style="9" customWidth="1"/>
    <col min="5654" max="5656" width="12.85546875" style="9" customWidth="1"/>
    <col min="5657" max="5896" width="8.7109375" style="9" customWidth="1"/>
    <col min="5897" max="5897" width="28.85546875" style="9" customWidth="1"/>
    <col min="5898" max="5900" width="12.85546875" style="9" customWidth="1"/>
    <col min="5901" max="5901" width="2.7109375" style="9" customWidth="1"/>
    <col min="5902" max="5904" width="12.85546875" style="9" customWidth="1"/>
    <col min="5905" max="5905" width="2.7109375" style="9" customWidth="1"/>
    <col min="5906" max="5908" width="12.85546875" style="9" customWidth="1"/>
    <col min="5909" max="5909" width="2.7109375" style="9" customWidth="1"/>
    <col min="5910" max="5912" width="12.85546875" style="9" customWidth="1"/>
    <col min="5913" max="6152" width="8.7109375" style="9" customWidth="1"/>
    <col min="6153" max="6153" width="28.85546875" style="9" customWidth="1"/>
    <col min="6154" max="6156" width="12.85546875" style="9" customWidth="1"/>
    <col min="6157" max="6157" width="2.7109375" style="9" customWidth="1"/>
    <col min="6158" max="6160" width="12.85546875" style="9" customWidth="1"/>
    <col min="6161" max="6161" width="2.7109375" style="9" customWidth="1"/>
    <col min="6162" max="6164" width="12.85546875" style="9" customWidth="1"/>
    <col min="6165" max="6165" width="2.7109375" style="9" customWidth="1"/>
    <col min="6166" max="6168" width="12.85546875" style="9" customWidth="1"/>
    <col min="6169" max="6408" width="8.7109375" style="9" customWidth="1"/>
    <col min="6409" max="6409" width="28.85546875" style="9" customWidth="1"/>
    <col min="6410" max="6412" width="12.85546875" style="9" customWidth="1"/>
    <col min="6413" max="6413" width="2.7109375" style="9" customWidth="1"/>
    <col min="6414" max="6416" width="12.85546875" style="9" customWidth="1"/>
    <col min="6417" max="6417" width="2.7109375" style="9" customWidth="1"/>
    <col min="6418" max="6420" width="12.85546875" style="9" customWidth="1"/>
    <col min="6421" max="6421" width="2.7109375" style="9" customWidth="1"/>
    <col min="6422" max="6424" width="12.85546875" style="9" customWidth="1"/>
    <col min="6425" max="6664" width="8.7109375" style="9" customWidth="1"/>
    <col min="6665" max="6665" width="28.85546875" style="9" customWidth="1"/>
    <col min="6666" max="6668" width="12.85546875" style="9" customWidth="1"/>
    <col min="6669" max="6669" width="2.7109375" style="9" customWidth="1"/>
    <col min="6670" max="6672" width="12.85546875" style="9" customWidth="1"/>
    <col min="6673" max="6673" width="2.7109375" style="9" customWidth="1"/>
    <col min="6674" max="6676" width="12.85546875" style="9" customWidth="1"/>
    <col min="6677" max="6677" width="2.7109375" style="9" customWidth="1"/>
    <col min="6678" max="6680" width="12.85546875" style="9" customWidth="1"/>
    <col min="6681" max="6920" width="8.7109375" style="9" customWidth="1"/>
    <col min="6921" max="6921" width="28.85546875" style="9" customWidth="1"/>
    <col min="6922" max="6924" width="12.85546875" style="9" customWidth="1"/>
    <col min="6925" max="6925" width="2.7109375" style="9" customWidth="1"/>
    <col min="6926" max="6928" width="12.85546875" style="9" customWidth="1"/>
    <col min="6929" max="6929" width="2.7109375" style="9" customWidth="1"/>
    <col min="6930" max="6932" width="12.85546875" style="9" customWidth="1"/>
    <col min="6933" max="6933" width="2.7109375" style="9" customWidth="1"/>
    <col min="6934" max="6936" width="12.85546875" style="9" customWidth="1"/>
    <col min="6937" max="7176" width="8.7109375" style="9" customWidth="1"/>
    <col min="7177" max="7177" width="28.85546875" style="9" customWidth="1"/>
    <col min="7178" max="7180" width="12.85546875" style="9" customWidth="1"/>
    <col min="7181" max="7181" width="2.7109375" style="9" customWidth="1"/>
    <col min="7182" max="7184" width="12.85546875" style="9" customWidth="1"/>
    <col min="7185" max="7185" width="2.7109375" style="9" customWidth="1"/>
    <col min="7186" max="7188" width="12.85546875" style="9" customWidth="1"/>
    <col min="7189" max="7189" width="2.7109375" style="9" customWidth="1"/>
    <col min="7190" max="7192" width="12.85546875" style="9" customWidth="1"/>
    <col min="7193" max="7432" width="8.7109375" style="9" customWidth="1"/>
    <col min="7433" max="7433" width="28.85546875" style="9" customWidth="1"/>
    <col min="7434" max="7436" width="12.85546875" style="9" customWidth="1"/>
    <col min="7437" max="7437" width="2.7109375" style="9" customWidth="1"/>
    <col min="7438" max="7440" width="12.85546875" style="9" customWidth="1"/>
    <col min="7441" max="7441" width="2.7109375" style="9" customWidth="1"/>
    <col min="7442" max="7444" width="12.85546875" style="9" customWidth="1"/>
    <col min="7445" max="7445" width="2.7109375" style="9" customWidth="1"/>
    <col min="7446" max="7448" width="12.85546875" style="9" customWidth="1"/>
    <col min="7449" max="7688" width="8.7109375" style="9" customWidth="1"/>
    <col min="7689" max="7689" width="28.85546875" style="9" customWidth="1"/>
    <col min="7690" max="7692" width="12.85546875" style="9" customWidth="1"/>
    <col min="7693" max="7693" width="2.7109375" style="9" customWidth="1"/>
    <col min="7694" max="7696" width="12.85546875" style="9" customWidth="1"/>
    <col min="7697" max="7697" width="2.7109375" style="9" customWidth="1"/>
    <col min="7698" max="7700" width="12.85546875" style="9" customWidth="1"/>
    <col min="7701" max="7701" width="2.7109375" style="9" customWidth="1"/>
    <col min="7702" max="7704" width="12.85546875" style="9" customWidth="1"/>
    <col min="7705" max="7944" width="8.7109375" style="9" customWidth="1"/>
    <col min="7945" max="7945" width="28.85546875" style="9" customWidth="1"/>
    <col min="7946" max="7948" width="12.85546875" style="9" customWidth="1"/>
    <col min="7949" max="7949" width="2.7109375" style="9" customWidth="1"/>
    <col min="7950" max="7952" width="12.85546875" style="9" customWidth="1"/>
    <col min="7953" max="7953" width="2.7109375" style="9" customWidth="1"/>
    <col min="7954" max="7956" width="12.85546875" style="9" customWidth="1"/>
    <col min="7957" max="7957" width="2.7109375" style="9" customWidth="1"/>
    <col min="7958" max="7960" width="12.85546875" style="9" customWidth="1"/>
    <col min="7961" max="8200" width="8.7109375" style="9" customWidth="1"/>
    <col min="8201" max="8201" width="28.85546875" style="9" customWidth="1"/>
    <col min="8202" max="8204" width="12.85546875" style="9" customWidth="1"/>
    <col min="8205" max="8205" width="2.7109375" style="9" customWidth="1"/>
    <col min="8206" max="8208" width="12.85546875" style="9" customWidth="1"/>
    <col min="8209" max="8209" width="2.7109375" style="9" customWidth="1"/>
    <col min="8210" max="8212" width="12.85546875" style="9" customWidth="1"/>
    <col min="8213" max="8213" width="2.7109375" style="9" customWidth="1"/>
    <col min="8214" max="8216" width="12.85546875" style="9" customWidth="1"/>
    <col min="8217" max="8456" width="8.7109375" style="9" customWidth="1"/>
    <col min="8457" max="8457" width="28.85546875" style="9" customWidth="1"/>
    <col min="8458" max="8460" width="12.85546875" style="9" customWidth="1"/>
    <col min="8461" max="8461" width="2.7109375" style="9" customWidth="1"/>
    <col min="8462" max="8464" width="12.85546875" style="9" customWidth="1"/>
    <col min="8465" max="8465" width="2.7109375" style="9" customWidth="1"/>
    <col min="8466" max="8468" width="12.85546875" style="9" customWidth="1"/>
    <col min="8469" max="8469" width="2.7109375" style="9" customWidth="1"/>
    <col min="8470" max="8472" width="12.85546875" style="9" customWidth="1"/>
    <col min="8473" max="8712" width="8.7109375" style="9" customWidth="1"/>
    <col min="8713" max="8713" width="28.85546875" style="9" customWidth="1"/>
    <col min="8714" max="8716" width="12.85546875" style="9" customWidth="1"/>
    <col min="8717" max="8717" width="2.7109375" style="9" customWidth="1"/>
    <col min="8718" max="8720" width="12.85546875" style="9" customWidth="1"/>
    <col min="8721" max="8721" width="2.7109375" style="9" customWidth="1"/>
    <col min="8722" max="8724" width="12.85546875" style="9" customWidth="1"/>
    <col min="8725" max="8725" width="2.7109375" style="9" customWidth="1"/>
    <col min="8726" max="8728" width="12.85546875" style="9" customWidth="1"/>
    <col min="8729" max="8968" width="8.7109375" style="9" customWidth="1"/>
    <col min="8969" max="8969" width="28.85546875" style="9" customWidth="1"/>
    <col min="8970" max="8972" width="12.85546875" style="9" customWidth="1"/>
    <col min="8973" max="8973" width="2.7109375" style="9" customWidth="1"/>
    <col min="8974" max="8976" width="12.85546875" style="9" customWidth="1"/>
    <col min="8977" max="8977" width="2.7109375" style="9" customWidth="1"/>
    <col min="8978" max="8980" width="12.85546875" style="9" customWidth="1"/>
    <col min="8981" max="8981" width="2.7109375" style="9" customWidth="1"/>
    <col min="8982" max="8984" width="12.85546875" style="9" customWidth="1"/>
    <col min="8985" max="9224" width="8.7109375" style="9" customWidth="1"/>
    <col min="9225" max="9225" width="28.85546875" style="9" customWidth="1"/>
    <col min="9226" max="9228" width="12.85546875" style="9" customWidth="1"/>
    <col min="9229" max="9229" width="2.7109375" style="9" customWidth="1"/>
    <col min="9230" max="9232" width="12.85546875" style="9" customWidth="1"/>
    <col min="9233" max="9233" width="2.7109375" style="9" customWidth="1"/>
    <col min="9234" max="9236" width="12.85546875" style="9" customWidth="1"/>
    <col min="9237" max="9237" width="2.7109375" style="9" customWidth="1"/>
    <col min="9238" max="9240" width="12.85546875" style="9" customWidth="1"/>
    <col min="9241" max="9480" width="8.7109375" style="9" customWidth="1"/>
    <col min="9481" max="9481" width="28.85546875" style="9" customWidth="1"/>
    <col min="9482" max="9484" width="12.85546875" style="9" customWidth="1"/>
    <col min="9485" max="9485" width="2.7109375" style="9" customWidth="1"/>
    <col min="9486" max="9488" width="12.85546875" style="9" customWidth="1"/>
    <col min="9489" max="9489" width="2.7109375" style="9" customWidth="1"/>
    <col min="9490" max="9492" width="12.85546875" style="9" customWidth="1"/>
    <col min="9493" max="9493" width="2.7109375" style="9" customWidth="1"/>
    <col min="9494" max="9496" width="12.85546875" style="9" customWidth="1"/>
    <col min="9497" max="9736" width="8.7109375" style="9" customWidth="1"/>
    <col min="9737" max="9737" width="28.85546875" style="9" customWidth="1"/>
    <col min="9738" max="9740" width="12.85546875" style="9" customWidth="1"/>
    <col min="9741" max="9741" width="2.7109375" style="9" customWidth="1"/>
    <col min="9742" max="9744" width="12.85546875" style="9" customWidth="1"/>
    <col min="9745" max="9745" width="2.7109375" style="9" customWidth="1"/>
    <col min="9746" max="9748" width="12.85546875" style="9" customWidth="1"/>
    <col min="9749" max="9749" width="2.7109375" style="9" customWidth="1"/>
    <col min="9750" max="9752" width="12.85546875" style="9" customWidth="1"/>
    <col min="9753" max="9992" width="8.7109375" style="9" customWidth="1"/>
    <col min="9993" max="9993" width="28.85546875" style="9" customWidth="1"/>
    <col min="9994" max="9996" width="12.85546875" style="9" customWidth="1"/>
    <col min="9997" max="9997" width="2.7109375" style="9" customWidth="1"/>
    <col min="9998" max="10000" width="12.85546875" style="9" customWidth="1"/>
    <col min="10001" max="10001" width="2.7109375" style="9" customWidth="1"/>
    <col min="10002" max="10004" width="12.85546875" style="9" customWidth="1"/>
    <col min="10005" max="10005" width="2.7109375" style="9" customWidth="1"/>
    <col min="10006" max="10008" width="12.85546875" style="9" customWidth="1"/>
    <col min="10009" max="10248" width="8.7109375" style="9" customWidth="1"/>
    <col min="10249" max="10249" width="28.85546875" style="9" customWidth="1"/>
    <col min="10250" max="10252" width="12.85546875" style="9" customWidth="1"/>
    <col min="10253" max="10253" width="2.7109375" style="9" customWidth="1"/>
    <col min="10254" max="10256" width="12.85546875" style="9" customWidth="1"/>
    <col min="10257" max="10257" width="2.7109375" style="9" customWidth="1"/>
    <col min="10258" max="10260" width="12.85546875" style="9" customWidth="1"/>
    <col min="10261" max="10261" width="2.7109375" style="9" customWidth="1"/>
    <col min="10262" max="10264" width="12.85546875" style="9" customWidth="1"/>
    <col min="10265" max="10504" width="8.7109375" style="9" customWidth="1"/>
    <col min="10505" max="10505" width="28.85546875" style="9" customWidth="1"/>
    <col min="10506" max="10508" width="12.85546875" style="9" customWidth="1"/>
    <col min="10509" max="10509" width="2.7109375" style="9" customWidth="1"/>
    <col min="10510" max="10512" width="12.85546875" style="9" customWidth="1"/>
    <col min="10513" max="10513" width="2.7109375" style="9" customWidth="1"/>
    <col min="10514" max="10516" width="12.85546875" style="9" customWidth="1"/>
    <col min="10517" max="10517" width="2.7109375" style="9" customWidth="1"/>
    <col min="10518" max="10520" width="12.85546875" style="9" customWidth="1"/>
    <col min="10521" max="10760" width="8.7109375" style="9" customWidth="1"/>
    <col min="10761" max="10761" width="28.85546875" style="9" customWidth="1"/>
    <col min="10762" max="10764" width="12.85546875" style="9" customWidth="1"/>
    <col min="10765" max="10765" width="2.7109375" style="9" customWidth="1"/>
    <col min="10766" max="10768" width="12.85546875" style="9" customWidth="1"/>
    <col min="10769" max="10769" width="2.7109375" style="9" customWidth="1"/>
    <col min="10770" max="10772" width="12.85546875" style="9" customWidth="1"/>
    <col min="10773" max="10773" width="2.7109375" style="9" customWidth="1"/>
    <col min="10774" max="10776" width="12.85546875" style="9" customWidth="1"/>
    <col min="10777" max="11016" width="8.7109375" style="9" customWidth="1"/>
    <col min="11017" max="11017" width="28.85546875" style="9" customWidth="1"/>
    <col min="11018" max="11020" width="12.85546875" style="9" customWidth="1"/>
    <col min="11021" max="11021" width="2.7109375" style="9" customWidth="1"/>
    <col min="11022" max="11024" width="12.85546875" style="9" customWidth="1"/>
    <col min="11025" max="11025" width="2.7109375" style="9" customWidth="1"/>
    <col min="11026" max="11028" width="12.85546875" style="9" customWidth="1"/>
    <col min="11029" max="11029" width="2.7109375" style="9" customWidth="1"/>
    <col min="11030" max="11032" width="12.85546875" style="9" customWidth="1"/>
    <col min="11033" max="11272" width="8.7109375" style="9" customWidth="1"/>
    <col min="11273" max="11273" width="28.85546875" style="9" customWidth="1"/>
    <col min="11274" max="11276" width="12.85546875" style="9" customWidth="1"/>
    <col min="11277" max="11277" width="2.7109375" style="9" customWidth="1"/>
    <col min="11278" max="11280" width="12.85546875" style="9" customWidth="1"/>
    <col min="11281" max="11281" width="2.7109375" style="9" customWidth="1"/>
    <col min="11282" max="11284" width="12.85546875" style="9" customWidth="1"/>
    <col min="11285" max="11285" width="2.7109375" style="9" customWidth="1"/>
    <col min="11286" max="11288" width="12.85546875" style="9" customWidth="1"/>
    <col min="11289" max="11528" width="8.7109375" style="9" customWidth="1"/>
    <col min="11529" max="11529" width="28.85546875" style="9" customWidth="1"/>
    <col min="11530" max="11532" width="12.85546875" style="9" customWidth="1"/>
    <col min="11533" max="11533" width="2.7109375" style="9" customWidth="1"/>
    <col min="11534" max="11536" width="12.85546875" style="9" customWidth="1"/>
    <col min="11537" max="11537" width="2.7109375" style="9" customWidth="1"/>
    <col min="11538" max="11540" width="12.85546875" style="9" customWidth="1"/>
    <col min="11541" max="11541" width="2.7109375" style="9" customWidth="1"/>
    <col min="11542" max="11544" width="12.85546875" style="9" customWidth="1"/>
    <col min="11545" max="11784" width="8.7109375" style="9" customWidth="1"/>
    <col min="11785" max="11785" width="28.85546875" style="9" customWidth="1"/>
    <col min="11786" max="11788" width="12.85546875" style="9" customWidth="1"/>
    <col min="11789" max="11789" width="2.7109375" style="9" customWidth="1"/>
    <col min="11790" max="11792" width="12.85546875" style="9" customWidth="1"/>
    <col min="11793" max="11793" width="2.7109375" style="9" customWidth="1"/>
    <col min="11794" max="11796" width="12.85546875" style="9" customWidth="1"/>
    <col min="11797" max="11797" width="2.7109375" style="9" customWidth="1"/>
    <col min="11798" max="11800" width="12.85546875" style="9" customWidth="1"/>
    <col min="11801" max="12040" width="8.7109375" style="9" customWidth="1"/>
    <col min="12041" max="12041" width="28.85546875" style="9" customWidth="1"/>
    <col min="12042" max="12044" width="12.85546875" style="9" customWidth="1"/>
    <col min="12045" max="12045" width="2.7109375" style="9" customWidth="1"/>
    <col min="12046" max="12048" width="12.85546875" style="9" customWidth="1"/>
    <col min="12049" max="12049" width="2.7109375" style="9" customWidth="1"/>
    <col min="12050" max="12052" width="12.85546875" style="9" customWidth="1"/>
    <col min="12053" max="12053" width="2.7109375" style="9" customWidth="1"/>
    <col min="12054" max="12056" width="12.85546875" style="9" customWidth="1"/>
    <col min="12057" max="12296" width="8.7109375" style="9" customWidth="1"/>
    <col min="12297" max="12297" width="28.85546875" style="9" customWidth="1"/>
    <col min="12298" max="12300" width="12.85546875" style="9" customWidth="1"/>
    <col min="12301" max="12301" width="2.7109375" style="9" customWidth="1"/>
    <col min="12302" max="12304" width="12.85546875" style="9" customWidth="1"/>
    <col min="12305" max="12305" width="2.7109375" style="9" customWidth="1"/>
    <col min="12306" max="12308" width="12.85546875" style="9" customWidth="1"/>
    <col min="12309" max="12309" width="2.7109375" style="9" customWidth="1"/>
    <col min="12310" max="12312" width="12.85546875" style="9" customWidth="1"/>
    <col min="12313" max="12552" width="8.7109375" style="9" customWidth="1"/>
    <col min="12553" max="12553" width="28.85546875" style="9" customWidth="1"/>
    <col min="12554" max="12556" width="12.85546875" style="9" customWidth="1"/>
    <col min="12557" max="12557" width="2.7109375" style="9" customWidth="1"/>
    <col min="12558" max="12560" width="12.85546875" style="9" customWidth="1"/>
    <col min="12561" max="12561" width="2.7109375" style="9" customWidth="1"/>
    <col min="12562" max="12564" width="12.85546875" style="9" customWidth="1"/>
    <col min="12565" max="12565" width="2.7109375" style="9" customWidth="1"/>
    <col min="12566" max="12568" width="12.85546875" style="9" customWidth="1"/>
    <col min="12569" max="12808" width="8.7109375" style="9" customWidth="1"/>
    <col min="12809" max="12809" width="28.85546875" style="9" customWidth="1"/>
    <col min="12810" max="12812" width="12.85546875" style="9" customWidth="1"/>
    <col min="12813" max="12813" width="2.7109375" style="9" customWidth="1"/>
    <col min="12814" max="12816" width="12.85546875" style="9" customWidth="1"/>
    <col min="12817" max="12817" width="2.7109375" style="9" customWidth="1"/>
    <col min="12818" max="12820" width="12.85546875" style="9" customWidth="1"/>
    <col min="12821" max="12821" width="2.7109375" style="9" customWidth="1"/>
    <col min="12822" max="12824" width="12.85546875" style="9" customWidth="1"/>
    <col min="12825" max="13064" width="8.7109375" style="9" customWidth="1"/>
    <col min="13065" max="13065" width="28.85546875" style="9" customWidth="1"/>
    <col min="13066" max="13068" width="12.85546875" style="9" customWidth="1"/>
    <col min="13069" max="13069" width="2.7109375" style="9" customWidth="1"/>
    <col min="13070" max="13072" width="12.85546875" style="9" customWidth="1"/>
    <col min="13073" max="13073" width="2.7109375" style="9" customWidth="1"/>
    <col min="13074" max="13076" width="12.85546875" style="9" customWidth="1"/>
    <col min="13077" max="13077" width="2.7109375" style="9" customWidth="1"/>
    <col min="13078" max="13080" width="12.85546875" style="9" customWidth="1"/>
    <col min="13081" max="13320" width="8.7109375" style="9" customWidth="1"/>
    <col min="13321" max="13321" width="28.85546875" style="9" customWidth="1"/>
    <col min="13322" max="13324" width="12.85546875" style="9" customWidth="1"/>
    <col min="13325" max="13325" width="2.7109375" style="9" customWidth="1"/>
    <col min="13326" max="13328" width="12.85546875" style="9" customWidth="1"/>
    <col min="13329" max="13329" width="2.7109375" style="9" customWidth="1"/>
    <col min="13330" max="13332" width="12.85546875" style="9" customWidth="1"/>
    <col min="13333" max="13333" width="2.7109375" style="9" customWidth="1"/>
    <col min="13334" max="13336" width="12.85546875" style="9" customWidth="1"/>
    <col min="13337" max="13576" width="8.7109375" style="9" customWidth="1"/>
    <col min="13577" max="13577" width="28.85546875" style="9" customWidth="1"/>
    <col min="13578" max="13580" width="12.85546875" style="9" customWidth="1"/>
    <col min="13581" max="13581" width="2.7109375" style="9" customWidth="1"/>
    <col min="13582" max="13584" width="12.85546875" style="9" customWidth="1"/>
    <col min="13585" max="13585" width="2.7109375" style="9" customWidth="1"/>
    <col min="13586" max="13588" width="12.85546875" style="9" customWidth="1"/>
    <col min="13589" max="13589" width="2.7109375" style="9" customWidth="1"/>
    <col min="13590" max="13592" width="12.85546875" style="9" customWidth="1"/>
    <col min="13593" max="13832" width="8.7109375" style="9" customWidth="1"/>
    <col min="13833" max="13833" width="28.85546875" style="9" customWidth="1"/>
    <col min="13834" max="13836" width="12.85546875" style="9" customWidth="1"/>
    <col min="13837" max="13837" width="2.7109375" style="9" customWidth="1"/>
    <col min="13838" max="13840" width="12.85546875" style="9" customWidth="1"/>
    <col min="13841" max="13841" width="2.7109375" style="9" customWidth="1"/>
    <col min="13842" max="13844" width="12.85546875" style="9" customWidth="1"/>
    <col min="13845" max="13845" width="2.7109375" style="9" customWidth="1"/>
    <col min="13846" max="13848" width="12.85546875" style="9" customWidth="1"/>
    <col min="13849" max="14088" width="8.7109375" style="9" customWidth="1"/>
    <col min="14089" max="14089" width="28.85546875" style="9" customWidth="1"/>
    <col min="14090" max="14092" width="12.85546875" style="9" customWidth="1"/>
    <col min="14093" max="14093" width="2.7109375" style="9" customWidth="1"/>
    <col min="14094" max="14096" width="12.85546875" style="9" customWidth="1"/>
    <col min="14097" max="14097" width="2.7109375" style="9" customWidth="1"/>
    <col min="14098" max="14100" width="12.85546875" style="9" customWidth="1"/>
    <col min="14101" max="14101" width="2.7109375" style="9" customWidth="1"/>
    <col min="14102" max="14104" width="12.85546875" style="9" customWidth="1"/>
    <col min="14105" max="14344" width="8.7109375" style="9" customWidth="1"/>
    <col min="14345" max="14345" width="28.85546875" style="9" customWidth="1"/>
    <col min="14346" max="14348" width="12.85546875" style="9" customWidth="1"/>
    <col min="14349" max="14349" width="2.7109375" style="9" customWidth="1"/>
    <col min="14350" max="14352" width="12.85546875" style="9" customWidth="1"/>
    <col min="14353" max="14353" width="2.7109375" style="9" customWidth="1"/>
    <col min="14354" max="14356" width="12.85546875" style="9" customWidth="1"/>
    <col min="14357" max="14357" width="2.7109375" style="9" customWidth="1"/>
    <col min="14358" max="14360" width="12.85546875" style="9" customWidth="1"/>
    <col min="14361" max="14600" width="8.7109375" style="9" customWidth="1"/>
    <col min="14601" max="14601" width="28.85546875" style="9" customWidth="1"/>
    <col min="14602" max="14604" width="12.85546875" style="9" customWidth="1"/>
    <col min="14605" max="14605" width="2.7109375" style="9" customWidth="1"/>
    <col min="14606" max="14608" width="12.85546875" style="9" customWidth="1"/>
    <col min="14609" max="14609" width="2.7109375" style="9" customWidth="1"/>
    <col min="14610" max="14612" width="12.85546875" style="9" customWidth="1"/>
    <col min="14613" max="14613" width="2.7109375" style="9" customWidth="1"/>
    <col min="14614" max="14616" width="12.85546875" style="9" customWidth="1"/>
    <col min="14617" max="14856" width="8.7109375" style="9" customWidth="1"/>
    <col min="14857" max="14857" width="28.85546875" style="9" customWidth="1"/>
    <col min="14858" max="14860" width="12.85546875" style="9" customWidth="1"/>
    <col min="14861" max="14861" width="2.7109375" style="9" customWidth="1"/>
    <col min="14862" max="14864" width="12.85546875" style="9" customWidth="1"/>
    <col min="14865" max="14865" width="2.7109375" style="9" customWidth="1"/>
    <col min="14866" max="14868" width="12.85546875" style="9" customWidth="1"/>
    <col min="14869" max="14869" width="2.7109375" style="9" customWidth="1"/>
    <col min="14870" max="14872" width="12.85546875" style="9" customWidth="1"/>
    <col min="14873" max="15112" width="8.7109375" style="9" customWidth="1"/>
    <col min="15113" max="15113" width="28.85546875" style="9" customWidth="1"/>
    <col min="15114" max="15116" width="12.85546875" style="9" customWidth="1"/>
    <col min="15117" max="15117" width="2.7109375" style="9" customWidth="1"/>
    <col min="15118" max="15120" width="12.85546875" style="9" customWidth="1"/>
    <col min="15121" max="15121" width="2.7109375" style="9" customWidth="1"/>
    <col min="15122" max="15124" width="12.85546875" style="9" customWidth="1"/>
    <col min="15125" max="15125" width="2.7109375" style="9" customWidth="1"/>
    <col min="15126" max="15128" width="12.85546875" style="9" customWidth="1"/>
    <col min="15129" max="15368" width="8.7109375" style="9" customWidth="1"/>
    <col min="15369" max="15369" width="28.85546875" style="9" customWidth="1"/>
    <col min="15370" max="15372" width="12.85546875" style="9" customWidth="1"/>
    <col min="15373" max="15373" width="2.7109375" style="9" customWidth="1"/>
    <col min="15374" max="15376" width="12.85546875" style="9" customWidth="1"/>
    <col min="15377" max="15377" width="2.7109375" style="9" customWidth="1"/>
    <col min="15378" max="15380" width="12.85546875" style="9" customWidth="1"/>
    <col min="15381" max="15381" width="2.7109375" style="9" customWidth="1"/>
    <col min="15382" max="15384" width="12.85546875" style="9" customWidth="1"/>
    <col min="15385" max="15624" width="8.7109375" style="9" customWidth="1"/>
    <col min="15625" max="15625" width="28.85546875" style="9" customWidth="1"/>
    <col min="15626" max="15628" width="12.85546875" style="9" customWidth="1"/>
    <col min="15629" max="15629" width="2.7109375" style="9" customWidth="1"/>
    <col min="15630" max="15632" width="12.85546875" style="9" customWidth="1"/>
    <col min="15633" max="15633" width="2.7109375" style="9" customWidth="1"/>
    <col min="15634" max="15636" width="12.85546875" style="9" customWidth="1"/>
    <col min="15637" max="15637" width="2.7109375" style="9" customWidth="1"/>
    <col min="15638" max="15640" width="12.85546875" style="9" customWidth="1"/>
    <col min="15641" max="15880" width="8.7109375" style="9" customWidth="1"/>
    <col min="15881" max="15881" width="28.85546875" style="9" customWidth="1"/>
    <col min="15882" max="15884" width="12.85546875" style="9" customWidth="1"/>
    <col min="15885" max="15885" width="2.7109375" style="9" customWidth="1"/>
    <col min="15886" max="15888" width="12.85546875" style="9" customWidth="1"/>
    <col min="15889" max="15889" width="2.7109375" style="9" customWidth="1"/>
    <col min="15890" max="15892" width="12.85546875" style="9" customWidth="1"/>
    <col min="15893" max="15893" width="2.7109375" style="9" customWidth="1"/>
    <col min="15894" max="15896" width="12.85546875" style="9" customWidth="1"/>
    <col min="15897" max="16136" width="8.7109375" style="9" customWidth="1"/>
    <col min="16137" max="16137" width="28.85546875" style="9" customWidth="1"/>
    <col min="16138" max="16140" width="12.85546875" style="9" customWidth="1"/>
    <col min="16141" max="16141" width="2.7109375" style="9" customWidth="1"/>
    <col min="16142" max="16144" width="12.85546875" style="9" customWidth="1"/>
    <col min="16145" max="16145" width="2.7109375" style="9" customWidth="1"/>
    <col min="16146" max="16148" width="12.85546875" style="9" customWidth="1"/>
    <col min="16149" max="16149" width="2.7109375" style="9" customWidth="1"/>
    <col min="16150" max="16152" width="12.85546875" style="9" customWidth="1"/>
    <col min="16153" max="16384" width="8.7109375" style="9" customWidth="1"/>
  </cols>
  <sheetData>
    <row r="1" spans="1:32" s="11" customFormat="1" ht="12.75">
      <c r="A1" s="24" t="s">
        <v>142</v>
      </c>
      <c r="B1" s="55" t="s">
        <v>143</v>
      </c>
      <c r="C1" s="152">
        <v>0</v>
      </c>
      <c r="D1" s="57"/>
      <c r="E1" s="76"/>
      <c r="F1" s="55" t="s">
        <v>143</v>
      </c>
      <c r="G1" s="56" t="str">
        <f>IF(ISTEXT('Investment &amp; Cash'!$D$10),'Investment &amp; Cash'!$D$10,"")</f>
        <v>Month 4</v>
      </c>
      <c r="H1" s="57"/>
      <c r="I1" s="76"/>
      <c r="J1" s="55" t="s">
        <v>143</v>
      </c>
      <c r="K1" s="56" t="str">
        <f>IF(ISTEXT('Investment &amp; Cash'!$D$11),'Investment &amp; Cash'!$D$11,"")</f>
        <v>Month 13</v>
      </c>
      <c r="L1" s="57"/>
      <c r="M1" s="76"/>
      <c r="N1" s="55" t="s">
        <v>143</v>
      </c>
      <c r="O1" s="56" t="str">
        <f>IF(ISTEXT('Investment &amp; Cash'!$D$12),'Investment &amp; Cash'!$D$12,"")</f>
        <v>Month 25</v>
      </c>
      <c r="P1" s="61"/>
      <c r="Q1" s="76"/>
      <c r="R1" s="55" t="s">
        <v>143</v>
      </c>
      <c r="S1" s="56" t="str">
        <f>IF(ISTEXT('Investment &amp; Cash'!$D$13),'Investment &amp; Cash'!$D$13,"")</f>
        <v>Month 37</v>
      </c>
      <c r="T1" s="61"/>
      <c r="U1" s="76"/>
      <c r="V1" s="55" t="s">
        <v>143</v>
      </c>
      <c r="W1" s="56" t="str">
        <f>IF(ISTEXT('Investment &amp; Cash'!$D$14),'Investment &amp; Cash'!$D$14,"")</f>
        <v>Month 49</v>
      </c>
      <c r="X1" s="61"/>
      <c r="Y1" s="76"/>
      <c r="Z1" s="108" t="s">
        <v>144</v>
      </c>
      <c r="AA1" s="195">
        <v>5</v>
      </c>
      <c r="AB1" s="109"/>
    </row>
    <row r="2" spans="1:32" s="11" customFormat="1" ht="12.75">
      <c r="B2" s="58"/>
      <c r="C2" s="59"/>
      <c r="D2" s="60"/>
      <c r="E2" s="76"/>
      <c r="F2" s="58"/>
      <c r="G2" s="59"/>
      <c r="H2" s="60"/>
      <c r="I2" s="76"/>
      <c r="J2" s="58"/>
      <c r="K2" s="59"/>
      <c r="L2" s="60"/>
      <c r="M2" s="76"/>
      <c r="N2" s="62"/>
      <c r="O2" s="59"/>
      <c r="P2" s="63"/>
      <c r="Q2" s="76"/>
      <c r="R2" s="62"/>
      <c r="S2" s="59"/>
      <c r="T2" s="63"/>
      <c r="U2" s="76"/>
      <c r="V2" s="62"/>
      <c r="W2" s="59"/>
      <c r="X2" s="63"/>
      <c r="Y2" s="76"/>
      <c r="Z2" s="110"/>
      <c r="AA2" s="111"/>
      <c r="AB2" s="112"/>
    </row>
    <row r="3" spans="1:32" s="11" customFormat="1" ht="13.5" thickBot="1">
      <c r="B3" s="402" t="s">
        <v>145</v>
      </c>
      <c r="C3" s="403"/>
      <c r="D3" s="404"/>
      <c r="E3" s="76"/>
      <c r="F3" s="402" t="s">
        <v>132</v>
      </c>
      <c r="G3" s="403"/>
      <c r="H3" s="404"/>
      <c r="I3" s="76"/>
      <c r="J3" s="402" t="s">
        <v>146</v>
      </c>
      <c r="K3" s="403"/>
      <c r="L3" s="404"/>
      <c r="M3" s="76"/>
      <c r="N3" s="402" t="s">
        <v>147</v>
      </c>
      <c r="O3" s="403"/>
      <c r="P3" s="404"/>
      <c r="Q3" s="76"/>
      <c r="R3" s="402" t="s">
        <v>148</v>
      </c>
      <c r="S3" s="403"/>
      <c r="T3" s="404"/>
      <c r="U3" s="76"/>
      <c r="V3" s="402" t="s">
        <v>149</v>
      </c>
      <c r="W3" s="403"/>
      <c r="X3" s="404"/>
      <c r="Y3" s="76"/>
      <c r="Z3" s="405" t="s">
        <v>150</v>
      </c>
      <c r="AA3" s="406"/>
      <c r="AB3" s="407"/>
    </row>
    <row r="4" spans="1:32" s="14" customFormat="1" ht="12.75">
      <c r="A4" s="13" t="s">
        <v>151</v>
      </c>
      <c r="B4" s="10"/>
      <c r="C4" s="53">
        <v>0.1</v>
      </c>
      <c r="D4" s="54"/>
      <c r="E4" s="77"/>
      <c r="F4" s="10"/>
      <c r="G4" s="53">
        <v>1</v>
      </c>
      <c r="H4" s="54"/>
      <c r="I4" s="77"/>
      <c r="J4" s="10"/>
      <c r="K4" s="53">
        <v>1.5</v>
      </c>
      <c r="L4" s="54"/>
      <c r="M4" s="77"/>
      <c r="N4" s="54"/>
      <c r="O4" s="53">
        <v>3</v>
      </c>
      <c r="P4" s="54"/>
      <c r="Q4" s="77"/>
      <c r="R4" s="54"/>
      <c r="S4" s="53">
        <v>10</v>
      </c>
      <c r="T4" s="54"/>
      <c r="U4" s="77"/>
      <c r="V4" s="54"/>
      <c r="W4" s="53">
        <v>25</v>
      </c>
      <c r="X4" s="12"/>
      <c r="Y4" s="77"/>
      <c r="Z4" s="54"/>
      <c r="AA4" s="14" t="s">
        <v>152</v>
      </c>
      <c r="AB4" s="12"/>
    </row>
    <row r="5" spans="1:32" s="11" customFormat="1" ht="12.75">
      <c r="A5" s="11" t="s">
        <v>153</v>
      </c>
      <c r="E5" s="76"/>
      <c r="G5" s="15">
        <f>G4/C4</f>
        <v>10</v>
      </c>
      <c r="I5" s="76"/>
      <c r="K5" s="15">
        <f>K4/G4</f>
        <v>1.5</v>
      </c>
      <c r="M5" s="76"/>
      <c r="O5" s="15">
        <f>O4/K4</f>
        <v>2</v>
      </c>
      <c r="P5" s="15"/>
      <c r="Q5" s="76"/>
      <c r="R5" s="15"/>
      <c r="S5" s="15">
        <f>S4/O4</f>
        <v>3.3333333333333335</v>
      </c>
      <c r="T5" s="15"/>
      <c r="U5" s="76"/>
      <c r="V5" s="15"/>
      <c r="W5" s="15">
        <f>W4/S4</f>
        <v>2.5</v>
      </c>
      <c r="X5" s="15"/>
      <c r="Y5" s="76"/>
      <c r="Z5" s="15"/>
      <c r="AA5" s="15">
        <v>3</v>
      </c>
      <c r="AB5" s="15"/>
    </row>
    <row r="6" spans="1:32" s="11" customFormat="1" ht="12.75">
      <c r="E6" s="76"/>
      <c r="I6" s="76"/>
      <c r="M6" s="76"/>
      <c r="O6" s="16"/>
      <c r="P6" s="16"/>
      <c r="Q6" s="76"/>
      <c r="R6" s="16"/>
      <c r="S6" s="16"/>
      <c r="T6" s="16"/>
      <c r="U6" s="76"/>
      <c r="V6" s="16"/>
      <c r="W6" s="16"/>
      <c r="X6" s="16"/>
      <c r="Y6" s="76"/>
      <c r="Z6" s="16"/>
      <c r="AA6" s="147">
        <f>W42*AA5</f>
        <v>681250000</v>
      </c>
      <c r="AB6" s="16"/>
    </row>
    <row r="7" spans="1:32" s="17" customFormat="1" ht="38.25">
      <c r="B7" s="18" t="s">
        <v>154</v>
      </c>
      <c r="C7" s="19" t="s">
        <v>155</v>
      </c>
      <c r="D7" s="20" t="s">
        <v>156</v>
      </c>
      <c r="E7" s="78"/>
      <c r="F7" s="18" t="s">
        <v>154</v>
      </c>
      <c r="G7" s="19" t="s">
        <v>155</v>
      </c>
      <c r="H7" s="20" t="s">
        <v>156</v>
      </c>
      <c r="I7" s="78"/>
      <c r="J7" s="18" t="s">
        <v>154</v>
      </c>
      <c r="K7" s="19" t="s">
        <v>155</v>
      </c>
      <c r="L7" s="20" t="s">
        <v>156</v>
      </c>
      <c r="M7" s="78"/>
      <c r="N7" s="18" t="s">
        <v>154</v>
      </c>
      <c r="O7" s="19" t="s">
        <v>155</v>
      </c>
      <c r="P7" s="20" t="s">
        <v>156</v>
      </c>
      <c r="Q7" s="78"/>
      <c r="R7" s="18" t="s">
        <v>154</v>
      </c>
      <c r="S7" s="19" t="s">
        <v>155</v>
      </c>
      <c r="T7" s="20" t="s">
        <v>156</v>
      </c>
      <c r="U7" s="78"/>
      <c r="V7" s="18" t="s">
        <v>154</v>
      </c>
      <c r="W7" s="19" t="s">
        <v>155</v>
      </c>
      <c r="X7" s="20" t="s">
        <v>156</v>
      </c>
      <c r="Y7" s="78"/>
      <c r="Z7" s="16"/>
      <c r="AA7" s="19" t="s">
        <v>155</v>
      </c>
      <c r="AB7" s="20" t="s">
        <v>156</v>
      </c>
      <c r="AE7" s="97"/>
      <c r="AF7" s="170" t="s">
        <v>157</v>
      </c>
    </row>
    <row r="8" spans="1:32" s="11" customFormat="1" ht="12.75">
      <c r="B8" s="21"/>
      <c r="C8" s="22"/>
      <c r="D8" s="23"/>
      <c r="E8" s="76"/>
      <c r="F8" s="21"/>
      <c r="G8" s="22"/>
      <c r="H8" s="23"/>
      <c r="I8" s="76"/>
      <c r="J8" s="21"/>
      <c r="K8" s="22"/>
      <c r="L8" s="23"/>
      <c r="M8" s="76"/>
      <c r="N8" s="21"/>
      <c r="O8" s="22"/>
      <c r="P8" s="23"/>
      <c r="Q8" s="76"/>
      <c r="R8" s="21"/>
      <c r="S8" s="22"/>
      <c r="T8" s="23"/>
      <c r="U8" s="76"/>
      <c r="V8" s="21"/>
      <c r="W8" s="22"/>
      <c r="X8" s="23"/>
      <c r="Y8" s="76"/>
      <c r="Z8" s="16"/>
      <c r="AA8" s="22"/>
      <c r="AB8" s="23"/>
      <c r="AF8" s="105" t="s">
        <v>158</v>
      </c>
    </row>
    <row r="9" spans="1:32" s="11" customFormat="1" ht="12.75">
      <c r="A9" s="24" t="s">
        <v>159</v>
      </c>
      <c r="E9" s="76"/>
      <c r="I9" s="76"/>
      <c r="M9" s="76"/>
      <c r="Q9" s="76"/>
      <c r="U9" s="76"/>
      <c r="Y9" s="76"/>
      <c r="Z9" s="16"/>
      <c r="AD9" s="104" t="s">
        <v>160</v>
      </c>
      <c r="AF9" s="171">
        <f>AD11*0.25</f>
        <v>46099624.06015037</v>
      </c>
    </row>
    <row r="10" spans="1:32" s="11" customFormat="1" ht="12.75">
      <c r="A10" s="68" t="s">
        <v>161</v>
      </c>
      <c r="B10" s="69"/>
      <c r="C10" s="70">
        <f>SUM(C11:C13)</f>
        <v>1000000</v>
      </c>
      <c r="D10" s="71">
        <f>SUM(D11:D13)</f>
        <v>1</v>
      </c>
      <c r="E10" s="79"/>
      <c r="F10" s="69"/>
      <c r="G10" s="70">
        <f>SUM(G11:G13)</f>
        <v>1000000</v>
      </c>
      <c r="H10" s="71">
        <f>SUM(H11:H13)</f>
        <v>0.7407407407407407</v>
      </c>
      <c r="I10" s="79"/>
      <c r="J10" s="69"/>
      <c r="K10" s="70">
        <f>SUM(K11:K13)</f>
        <v>4000000</v>
      </c>
      <c r="L10" s="71">
        <f>SUM(L11:L13)</f>
        <v>0.66481994459833793</v>
      </c>
      <c r="M10" s="79"/>
      <c r="N10" s="69"/>
      <c r="O10" s="70">
        <f>SUM(O11:O13)</f>
        <v>5000000</v>
      </c>
      <c r="P10" s="71">
        <f>SUM(P11:P13)</f>
        <v>0.61099796334012213</v>
      </c>
      <c r="Q10" s="79"/>
      <c r="R10" s="69"/>
      <c r="S10" s="70">
        <f>SUM(S11:S13)</f>
        <v>5000000</v>
      </c>
      <c r="T10" s="71">
        <f>SUM(T11:T13)</f>
        <v>0.57581573896353166</v>
      </c>
      <c r="U10" s="79"/>
      <c r="V10" s="69"/>
      <c r="W10" s="70">
        <f>SUM(W11:W13)</f>
        <v>5000000</v>
      </c>
      <c r="X10" s="71">
        <f>SUM(X11:X13)</f>
        <v>0.55045871559633019</v>
      </c>
      <c r="Y10" s="79"/>
      <c r="Z10" s="16"/>
      <c r="AA10" s="70">
        <f>SUM(AA11:AA13)</f>
        <v>5000000</v>
      </c>
      <c r="AB10" s="71">
        <f>SUM(AB11:AB13)</f>
        <v>0.55045871559633019</v>
      </c>
      <c r="AD10" s="105"/>
      <c r="AF10" s="105"/>
    </row>
    <row r="11" spans="1:32" s="31" customFormat="1" ht="12.75">
      <c r="A11" s="27" t="s">
        <v>162</v>
      </c>
      <c r="B11" s="50">
        <v>1000000</v>
      </c>
      <c r="C11" s="28">
        <f>B11</f>
        <v>1000000</v>
      </c>
      <c r="D11" s="29">
        <f t="shared" ref="D11:D17" si="0">IFERROR(C11/C$38,0)</f>
        <v>1</v>
      </c>
      <c r="E11" s="80"/>
      <c r="F11" s="50">
        <v>0</v>
      </c>
      <c r="G11" s="30">
        <f>C11+F11</f>
        <v>1000000</v>
      </c>
      <c r="H11" s="29">
        <f t="shared" ref="H11:H17" si="1">IFERROR(G11/G$38,0)</f>
        <v>0.7407407407407407</v>
      </c>
      <c r="I11" s="80"/>
      <c r="J11" s="50">
        <v>1000000</v>
      </c>
      <c r="K11" s="30">
        <f>G11+J11</f>
        <v>2000000</v>
      </c>
      <c r="L11" s="29">
        <f t="shared" ref="L11:L17" si="2">IFERROR(K11/K$38,0)</f>
        <v>0.33240997229916897</v>
      </c>
      <c r="M11" s="80"/>
      <c r="N11" s="50">
        <v>1000000</v>
      </c>
      <c r="O11" s="30">
        <f>K11+N11</f>
        <v>3000000</v>
      </c>
      <c r="P11" s="29">
        <f t="shared" ref="P11:P17" si="3">IFERROR(O11/O$38,0)</f>
        <v>0.36659877800407331</v>
      </c>
      <c r="Q11" s="80"/>
      <c r="R11" s="50">
        <v>0</v>
      </c>
      <c r="S11" s="30">
        <f>O11+R11</f>
        <v>3000000</v>
      </c>
      <c r="T11" s="29">
        <f t="shared" ref="T11:T17" si="4">IFERROR(S11/S$38,0)</f>
        <v>0.34548944337811899</v>
      </c>
      <c r="U11" s="80"/>
      <c r="V11" s="50">
        <v>0</v>
      </c>
      <c r="W11" s="30">
        <f>S11+V11</f>
        <v>3000000</v>
      </c>
      <c r="X11" s="29">
        <f t="shared" ref="X11:X17" si="5">IFERROR(W11/W$38,0)</f>
        <v>0.33027522935779813</v>
      </c>
      <c r="Y11" s="80"/>
      <c r="Z11" s="16"/>
      <c r="AA11" s="30">
        <f t="shared" ref="AA11:AB13" si="6">W11</f>
        <v>3000000</v>
      </c>
      <c r="AB11" s="99">
        <f t="shared" si="6"/>
        <v>0.33027522935779813</v>
      </c>
      <c r="AD11" s="161">
        <f>SUM(AA$6/AA$38)*AA11</f>
        <v>184398496.24060148</v>
      </c>
      <c r="AF11" s="105" t="s">
        <v>163</v>
      </c>
    </row>
    <row r="12" spans="1:32" s="31" customFormat="1" ht="12.75">
      <c r="A12" s="27" t="s">
        <v>164</v>
      </c>
      <c r="B12" s="50">
        <v>0</v>
      </c>
      <c r="C12" s="28">
        <f>B12</f>
        <v>0</v>
      </c>
      <c r="D12" s="29">
        <f t="shared" si="0"/>
        <v>0</v>
      </c>
      <c r="E12" s="80"/>
      <c r="F12" s="50">
        <v>0</v>
      </c>
      <c r="G12" s="30">
        <f>C12+F12</f>
        <v>0</v>
      </c>
      <c r="H12" s="29">
        <f t="shared" si="1"/>
        <v>0</v>
      </c>
      <c r="I12" s="80"/>
      <c r="J12" s="50">
        <v>2000000</v>
      </c>
      <c r="K12" s="30">
        <f>G12+J12</f>
        <v>2000000</v>
      </c>
      <c r="L12" s="29">
        <f t="shared" si="2"/>
        <v>0.33240997229916897</v>
      </c>
      <c r="M12" s="80"/>
      <c r="N12" s="50">
        <v>0</v>
      </c>
      <c r="O12" s="30">
        <f>K12+N12</f>
        <v>2000000</v>
      </c>
      <c r="P12" s="29">
        <f t="shared" si="3"/>
        <v>0.24439918533604887</v>
      </c>
      <c r="Q12" s="80"/>
      <c r="R12" s="50">
        <v>0</v>
      </c>
      <c r="S12" s="30">
        <f>O12+R12</f>
        <v>2000000</v>
      </c>
      <c r="T12" s="29">
        <f t="shared" si="4"/>
        <v>0.23032629558541265</v>
      </c>
      <c r="U12" s="80"/>
      <c r="V12" s="50">
        <v>0</v>
      </c>
      <c r="W12" s="30">
        <f>S12+V12</f>
        <v>2000000</v>
      </c>
      <c r="X12" s="29">
        <f t="shared" si="5"/>
        <v>0.22018348623853209</v>
      </c>
      <c r="Y12" s="80"/>
      <c r="Z12" s="16"/>
      <c r="AA12" s="30">
        <f t="shared" si="6"/>
        <v>2000000</v>
      </c>
      <c r="AB12" s="99">
        <f t="shared" si="6"/>
        <v>0.22018348623853209</v>
      </c>
      <c r="AD12" s="161">
        <f>SUM(AA$6/AA$38)*AA12</f>
        <v>122932330.82706766</v>
      </c>
      <c r="AE12" s="107"/>
      <c r="AF12" s="171">
        <f>AD11*0.25</f>
        <v>46099624.06015037</v>
      </c>
    </row>
    <row r="13" spans="1:32" s="31" customFormat="1" ht="12.75">
      <c r="A13" s="27" t="s">
        <v>165</v>
      </c>
      <c r="B13" s="50">
        <v>0</v>
      </c>
      <c r="C13" s="28">
        <f>B13</f>
        <v>0</v>
      </c>
      <c r="D13" s="29">
        <f t="shared" si="0"/>
        <v>0</v>
      </c>
      <c r="E13" s="80"/>
      <c r="F13" s="50">
        <v>0</v>
      </c>
      <c r="G13" s="30">
        <f>C13+F13</f>
        <v>0</v>
      </c>
      <c r="H13" s="29">
        <f t="shared" si="1"/>
        <v>0</v>
      </c>
      <c r="I13" s="80"/>
      <c r="J13" s="50">
        <v>0</v>
      </c>
      <c r="K13" s="30">
        <f>G13+J13</f>
        <v>0</v>
      </c>
      <c r="L13" s="29">
        <f t="shared" si="2"/>
        <v>0</v>
      </c>
      <c r="M13" s="80"/>
      <c r="N13" s="50">
        <v>0</v>
      </c>
      <c r="O13" s="30">
        <f>K13+N13</f>
        <v>0</v>
      </c>
      <c r="P13" s="29">
        <f t="shared" si="3"/>
        <v>0</v>
      </c>
      <c r="Q13" s="80"/>
      <c r="R13" s="50">
        <v>0</v>
      </c>
      <c r="S13" s="30">
        <f>O13+R13</f>
        <v>0</v>
      </c>
      <c r="T13" s="29">
        <f t="shared" si="4"/>
        <v>0</v>
      </c>
      <c r="U13" s="80"/>
      <c r="V13" s="50">
        <v>0</v>
      </c>
      <c r="W13" s="30">
        <f>S13+V13</f>
        <v>0</v>
      </c>
      <c r="X13" s="29">
        <f t="shared" si="5"/>
        <v>0</v>
      </c>
      <c r="Y13" s="80"/>
      <c r="Z13" s="16"/>
      <c r="AA13" s="30">
        <f t="shared" si="6"/>
        <v>0</v>
      </c>
      <c r="AB13" s="99">
        <f t="shared" si="6"/>
        <v>0</v>
      </c>
      <c r="AD13" s="161">
        <f>SUM(AA$6/AA$38)*AA13</f>
        <v>0</v>
      </c>
      <c r="AF13" s="172"/>
    </row>
    <row r="14" spans="1:32" s="32" customFormat="1" ht="12.75">
      <c r="A14" s="64" t="s">
        <v>166</v>
      </c>
      <c r="B14" s="65"/>
      <c r="C14" s="66">
        <f>SUM(C15:C17)</f>
        <v>0</v>
      </c>
      <c r="D14" s="67">
        <f t="shared" si="0"/>
        <v>0</v>
      </c>
      <c r="E14" s="81"/>
      <c r="F14" s="65"/>
      <c r="G14" s="66">
        <f>SUM(G15:G17)</f>
        <v>0</v>
      </c>
      <c r="H14" s="67">
        <f t="shared" si="1"/>
        <v>0</v>
      </c>
      <c r="I14" s="81"/>
      <c r="J14" s="65"/>
      <c r="K14" s="66">
        <f>SUM(K15:K17)</f>
        <v>1000000</v>
      </c>
      <c r="L14" s="67">
        <f t="shared" si="2"/>
        <v>0.16620498614958448</v>
      </c>
      <c r="M14" s="81"/>
      <c r="N14" s="65"/>
      <c r="O14" s="66">
        <f>SUM(O15:O17)</f>
        <v>1000000</v>
      </c>
      <c r="P14" s="67">
        <f t="shared" si="3"/>
        <v>0.12219959266802444</v>
      </c>
      <c r="Q14" s="81"/>
      <c r="R14" s="65"/>
      <c r="S14" s="66">
        <f>SUM(S15:S17)</f>
        <v>1000000</v>
      </c>
      <c r="T14" s="67">
        <f t="shared" si="4"/>
        <v>0.11516314779270632</v>
      </c>
      <c r="U14" s="81"/>
      <c r="V14" s="65"/>
      <c r="W14" s="66">
        <f>SUM(W15:W17)</f>
        <v>1000000</v>
      </c>
      <c r="X14" s="67">
        <f t="shared" si="5"/>
        <v>0.11009174311926605</v>
      </c>
      <c r="Y14" s="81"/>
      <c r="Z14" s="16"/>
      <c r="AA14" s="66">
        <f>SUM(AA15:AA17)</f>
        <v>3000000</v>
      </c>
      <c r="AB14" s="100">
        <f>IFERROR(AA14/AA$38,0)</f>
        <v>0.27067669172932329</v>
      </c>
      <c r="AD14" s="162"/>
      <c r="AF14" s="105" t="s">
        <v>167</v>
      </c>
    </row>
    <row r="15" spans="1:32" s="31" customFormat="1" ht="12.75">
      <c r="A15" s="35" t="s">
        <v>168</v>
      </c>
      <c r="B15" s="50">
        <v>0</v>
      </c>
      <c r="C15" s="28">
        <f>B15</f>
        <v>0</v>
      </c>
      <c r="D15" s="36">
        <f t="shared" si="0"/>
        <v>0</v>
      </c>
      <c r="E15" s="82"/>
      <c r="F15" s="50">
        <v>0</v>
      </c>
      <c r="G15" s="28">
        <f>C15+F15</f>
        <v>0</v>
      </c>
      <c r="H15" s="36">
        <f t="shared" si="1"/>
        <v>0</v>
      </c>
      <c r="I15" s="82"/>
      <c r="J15" s="50">
        <v>1000000</v>
      </c>
      <c r="K15" s="28">
        <f>G15+J15</f>
        <v>1000000</v>
      </c>
      <c r="L15" s="36">
        <f t="shared" si="2"/>
        <v>0.16620498614958448</v>
      </c>
      <c r="M15" s="82"/>
      <c r="N15" s="50">
        <v>1000000</v>
      </c>
      <c r="O15" s="28">
        <f>K15+N15</f>
        <v>2000000</v>
      </c>
      <c r="P15" s="36">
        <f t="shared" si="3"/>
        <v>0.24439918533604887</v>
      </c>
      <c r="Q15" s="82"/>
      <c r="R15" s="50">
        <v>0</v>
      </c>
      <c r="S15" s="28">
        <f>O15+R15</f>
        <v>2000000</v>
      </c>
      <c r="T15" s="36">
        <f t="shared" si="4"/>
        <v>0.23032629558541265</v>
      </c>
      <c r="U15" s="82"/>
      <c r="V15" s="50">
        <v>0</v>
      </c>
      <c r="W15" s="28">
        <f>S15+V15</f>
        <v>2000000</v>
      </c>
      <c r="X15" s="36">
        <f t="shared" si="5"/>
        <v>0.22018348623853209</v>
      </c>
      <c r="Y15" s="82"/>
      <c r="Z15" s="16"/>
      <c r="AA15" s="30">
        <f>W15</f>
        <v>2000000</v>
      </c>
      <c r="AB15" s="99">
        <f>X15</f>
        <v>0.22018348623853209</v>
      </c>
      <c r="AD15" s="161">
        <f>SUM(AA$6/AA$38)*AA15</f>
        <v>122932330.82706766</v>
      </c>
      <c r="AF15" s="171">
        <f>AD11*0.25</f>
        <v>46099624.06015037</v>
      </c>
    </row>
    <row r="16" spans="1:32" s="31" customFormat="1" ht="12.75">
      <c r="A16" s="35" t="s">
        <v>169</v>
      </c>
      <c r="B16" s="50">
        <v>0</v>
      </c>
      <c r="C16" s="28">
        <f>B16</f>
        <v>0</v>
      </c>
      <c r="D16" s="36">
        <f t="shared" si="0"/>
        <v>0</v>
      </c>
      <c r="E16" s="82"/>
      <c r="F16" s="50">
        <v>0</v>
      </c>
      <c r="G16" s="28">
        <f>C16+F16</f>
        <v>0</v>
      </c>
      <c r="H16" s="36">
        <f t="shared" si="1"/>
        <v>0</v>
      </c>
      <c r="I16" s="82"/>
      <c r="J16" s="50">
        <v>0</v>
      </c>
      <c r="K16" s="28">
        <f>G16+J16</f>
        <v>0</v>
      </c>
      <c r="L16" s="36">
        <f t="shared" si="2"/>
        <v>0</v>
      </c>
      <c r="M16" s="82"/>
      <c r="N16" s="50">
        <v>0</v>
      </c>
      <c r="O16" s="28">
        <f>K16+N16</f>
        <v>0</v>
      </c>
      <c r="P16" s="36">
        <f t="shared" si="3"/>
        <v>0</v>
      </c>
      <c r="Q16" s="82"/>
      <c r="R16" s="50">
        <v>0</v>
      </c>
      <c r="S16" s="28">
        <f>O16+R16</f>
        <v>0</v>
      </c>
      <c r="T16" s="36">
        <f t="shared" si="4"/>
        <v>0</v>
      </c>
      <c r="U16" s="82"/>
      <c r="V16" s="50">
        <v>0</v>
      </c>
      <c r="W16" s="28">
        <f>S16+V16</f>
        <v>0</v>
      </c>
      <c r="X16" s="36">
        <f t="shared" si="5"/>
        <v>0</v>
      </c>
      <c r="Y16" s="82"/>
      <c r="Z16" s="16"/>
      <c r="AA16" s="30">
        <f>W16</f>
        <v>0</v>
      </c>
      <c r="AB16" s="99">
        <f>X16</f>
        <v>0</v>
      </c>
      <c r="AD16" s="161">
        <f>SUM(AA$6/AA$38)*AA16</f>
        <v>0</v>
      </c>
      <c r="AF16" s="105"/>
    </row>
    <row r="17" spans="1:36" s="31" customFormat="1" ht="12.75">
      <c r="A17" s="37" t="s">
        <v>170</v>
      </c>
      <c r="B17" s="51">
        <v>0</v>
      </c>
      <c r="C17" s="38">
        <f>B17</f>
        <v>0</v>
      </c>
      <c r="D17" s="39">
        <f t="shared" si="0"/>
        <v>0</v>
      </c>
      <c r="E17" s="82"/>
      <c r="F17" s="51">
        <v>0</v>
      </c>
      <c r="G17" s="38">
        <f>C17+F17</f>
        <v>0</v>
      </c>
      <c r="H17" s="39">
        <f t="shared" si="1"/>
        <v>0</v>
      </c>
      <c r="I17" s="82"/>
      <c r="J17" s="51">
        <v>0</v>
      </c>
      <c r="K17" s="38">
        <f>G17+J17</f>
        <v>0</v>
      </c>
      <c r="L17" s="39">
        <f t="shared" si="2"/>
        <v>0</v>
      </c>
      <c r="M17" s="82"/>
      <c r="N17" s="51">
        <v>-1000000</v>
      </c>
      <c r="O17" s="38">
        <f>K17+N17</f>
        <v>-1000000</v>
      </c>
      <c r="P17" s="39">
        <f t="shared" si="3"/>
        <v>-0.12219959266802444</v>
      </c>
      <c r="Q17" s="82"/>
      <c r="R17" s="51">
        <v>0</v>
      </c>
      <c r="S17" s="38">
        <f>O17+R17</f>
        <v>-1000000</v>
      </c>
      <c r="T17" s="39">
        <f t="shared" si="4"/>
        <v>-0.11516314779270632</v>
      </c>
      <c r="U17" s="82"/>
      <c r="V17" s="51">
        <v>0</v>
      </c>
      <c r="W17" s="38">
        <f>S17+V17</f>
        <v>-1000000</v>
      </c>
      <c r="X17" s="39">
        <f t="shared" si="5"/>
        <v>-0.11009174311926605</v>
      </c>
      <c r="Y17" s="82"/>
      <c r="Z17" s="16"/>
      <c r="AA17" s="102">
        <f>W17*-1</f>
        <v>1000000</v>
      </c>
      <c r="AB17" s="103">
        <f>X17*-1</f>
        <v>0.11009174311926605</v>
      </c>
      <c r="AD17" s="161">
        <f>SUM(AA$6/AA$38)*AA17</f>
        <v>61466165.413533829</v>
      </c>
      <c r="AF17" s="105" t="s">
        <v>171</v>
      </c>
    </row>
    <row r="18" spans="1:36" s="11" customFormat="1" ht="12.75">
      <c r="A18" s="24" t="s">
        <v>172</v>
      </c>
      <c r="B18" s="40">
        <f>SUM(B11:B13,B15:B17)</f>
        <v>1000000</v>
      </c>
      <c r="C18" s="26">
        <f>C10+C14</f>
        <v>1000000</v>
      </c>
      <c r="D18" s="12">
        <f>D10+D14</f>
        <v>1</v>
      </c>
      <c r="E18" s="76"/>
      <c r="F18" s="40">
        <f>SUM(F11:F13,F15:F17)</f>
        <v>0</v>
      </c>
      <c r="G18" s="26">
        <f>G10+G14</f>
        <v>1000000</v>
      </c>
      <c r="H18" s="12">
        <f>H10+H14</f>
        <v>0.7407407407407407</v>
      </c>
      <c r="I18" s="76"/>
      <c r="J18" s="40">
        <f>SUM(J11:J13,J15:J17)</f>
        <v>4000000</v>
      </c>
      <c r="K18" s="26">
        <f>K10+K14</f>
        <v>5000000</v>
      </c>
      <c r="L18" s="12">
        <f>L10+L14</f>
        <v>0.83102493074792239</v>
      </c>
      <c r="M18" s="76"/>
      <c r="N18" s="40">
        <f>SUM(N11:N13,N15:N17)</f>
        <v>1000000</v>
      </c>
      <c r="O18" s="26">
        <f>O10+O14</f>
        <v>6000000</v>
      </c>
      <c r="P18" s="12">
        <f>P10+P14</f>
        <v>0.73319755600814651</v>
      </c>
      <c r="Q18" s="76"/>
      <c r="R18" s="40">
        <f>SUM(R11:R13,R15:R17)</f>
        <v>0</v>
      </c>
      <c r="S18" s="26">
        <f>S10+S14</f>
        <v>6000000</v>
      </c>
      <c r="T18" s="12">
        <f>T10+T14</f>
        <v>0.69097888675623798</v>
      </c>
      <c r="U18" s="76"/>
      <c r="V18" s="40">
        <f>SUM(V11:V13,V15:V17)</f>
        <v>0</v>
      </c>
      <c r="W18" s="26">
        <f>W10+W14</f>
        <v>6000000</v>
      </c>
      <c r="X18" s="12">
        <f>X10+X14</f>
        <v>0.66055045871559626</v>
      </c>
      <c r="Y18" s="76"/>
      <c r="Z18" s="98" t="s">
        <v>122</v>
      </c>
      <c r="AA18" s="26">
        <f>AA10+AA14</f>
        <v>8000000</v>
      </c>
      <c r="AB18" s="101">
        <f>AB10+AB14</f>
        <v>0.82113540732565349</v>
      </c>
      <c r="AD18" s="105"/>
      <c r="AF18" s="173">
        <f>AD11*0.25</f>
        <v>46099624.06015037</v>
      </c>
    </row>
    <row r="19" spans="1:36" s="11" customFormat="1" ht="12.75">
      <c r="C19" s="26"/>
      <c r="E19" s="76"/>
      <c r="G19" s="26"/>
      <c r="I19" s="76"/>
      <c r="K19" s="26"/>
      <c r="M19" s="76"/>
      <c r="O19" s="26"/>
      <c r="Q19" s="76"/>
      <c r="S19" s="26"/>
      <c r="U19" s="76"/>
      <c r="W19" s="26"/>
      <c r="Y19" s="76"/>
      <c r="Z19" s="16"/>
      <c r="AA19" s="26"/>
      <c r="AD19" s="105"/>
    </row>
    <row r="20" spans="1:36" s="11" customFormat="1" ht="25.5">
      <c r="A20" s="24" t="s">
        <v>173</v>
      </c>
      <c r="B20" s="18" t="s">
        <v>174</v>
      </c>
      <c r="C20" s="19" t="s">
        <v>155</v>
      </c>
      <c r="D20" s="41" t="s">
        <v>156</v>
      </c>
      <c r="E20" s="83"/>
      <c r="F20" s="18" t="s">
        <v>174</v>
      </c>
      <c r="G20" s="19" t="s">
        <v>155</v>
      </c>
      <c r="H20" s="41" t="s">
        <v>156</v>
      </c>
      <c r="I20" s="83"/>
      <c r="J20" s="18" t="s">
        <v>174</v>
      </c>
      <c r="K20" s="19" t="s">
        <v>155</v>
      </c>
      <c r="L20" s="41" t="s">
        <v>156</v>
      </c>
      <c r="M20" s="83"/>
      <c r="N20" s="18" t="s">
        <v>174</v>
      </c>
      <c r="O20" s="19" t="s">
        <v>155</v>
      </c>
      <c r="P20" s="41" t="s">
        <v>156</v>
      </c>
      <c r="Q20" s="83"/>
      <c r="R20" s="18" t="s">
        <v>174</v>
      </c>
      <c r="S20" s="19" t="s">
        <v>155</v>
      </c>
      <c r="T20" s="41" t="s">
        <v>156</v>
      </c>
      <c r="U20" s="83"/>
      <c r="V20" s="18" t="s">
        <v>174</v>
      </c>
      <c r="W20" s="19" t="s">
        <v>155</v>
      </c>
      <c r="X20" s="41" t="s">
        <v>156</v>
      </c>
      <c r="Y20" s="83"/>
      <c r="Z20" s="16"/>
      <c r="AA20" s="19" t="s">
        <v>155</v>
      </c>
      <c r="AB20" s="41" t="s">
        <v>156</v>
      </c>
      <c r="AD20" s="105"/>
      <c r="AF20" s="178" t="s">
        <v>175</v>
      </c>
      <c r="AG20" s="179" t="s">
        <v>176</v>
      </c>
      <c r="AH20" s="186" t="s">
        <v>177</v>
      </c>
      <c r="AI20" s="177"/>
      <c r="AJ20" s="24"/>
    </row>
    <row r="21" spans="1:36" s="11" customFormat="1" ht="12.75">
      <c r="A21" s="25" t="s">
        <v>178</v>
      </c>
      <c r="B21" s="157">
        <v>50000</v>
      </c>
      <c r="C21" s="26">
        <v>0</v>
      </c>
      <c r="D21" s="12">
        <f>IFERROR(C21/C$38,0)</f>
        <v>0</v>
      </c>
      <c r="E21" s="76"/>
      <c r="F21" s="157">
        <v>0</v>
      </c>
      <c r="G21" s="26">
        <f>C21+F21/G$4</f>
        <v>0</v>
      </c>
      <c r="H21" s="12">
        <f>IFERROR(G21/G$38,0)</f>
        <v>0</v>
      </c>
      <c r="I21" s="76"/>
      <c r="J21" s="157">
        <v>0</v>
      </c>
      <c r="K21" s="26">
        <f>G21+J21/K$4</f>
        <v>0</v>
      </c>
      <c r="L21" s="12">
        <f>IFERROR(K21/K$38,0)</f>
        <v>0</v>
      </c>
      <c r="M21" s="76"/>
      <c r="N21" s="157">
        <v>0</v>
      </c>
      <c r="O21" s="26">
        <f>K21+N21/O$4</f>
        <v>0</v>
      </c>
      <c r="P21" s="12">
        <f>IFERROR(O21/O$38,0)</f>
        <v>0</v>
      </c>
      <c r="Q21" s="76"/>
      <c r="R21" s="157">
        <v>0</v>
      </c>
      <c r="S21" s="26">
        <f>O21+R21/S$4</f>
        <v>0</v>
      </c>
      <c r="T21" s="12">
        <f>IFERROR(S21/S$38,0)</f>
        <v>0</v>
      </c>
      <c r="U21" s="76"/>
      <c r="V21" s="157">
        <v>0</v>
      </c>
      <c r="W21" s="26">
        <f>S21+V21/W$4</f>
        <v>0</v>
      </c>
      <c r="X21" s="12">
        <f>IFERROR(W21/W$38,0)</f>
        <v>0</v>
      </c>
      <c r="Y21" s="76"/>
      <c r="Z21" s="16"/>
      <c r="AA21" s="30">
        <f t="shared" ref="AA21:AA35" si="7">W21</f>
        <v>0</v>
      </c>
      <c r="AB21" s="99">
        <f t="shared" ref="AB21:AB35" si="8">X21</f>
        <v>0</v>
      </c>
      <c r="AD21" s="161">
        <f t="shared" ref="AD21:AD35" si="9">SUM(AA$6/AA$38)*AA21</f>
        <v>0</v>
      </c>
      <c r="AF21" s="180"/>
      <c r="AG21" s="32"/>
      <c r="AH21" s="187"/>
      <c r="AI21" s="176"/>
    </row>
    <row r="22" spans="1:36" s="11" customFormat="1" ht="12.75">
      <c r="A22" s="25" t="s">
        <v>179</v>
      </c>
      <c r="B22" s="157">
        <v>0</v>
      </c>
      <c r="C22" s="33">
        <f>B22/C$4</f>
        <v>0</v>
      </c>
      <c r="D22" s="34">
        <f>IFERROR(C22/C$38,0)</f>
        <v>0</v>
      </c>
      <c r="E22" s="84"/>
      <c r="F22" s="157">
        <v>350000</v>
      </c>
      <c r="G22" s="33">
        <f>C22+F22/G$4</f>
        <v>350000</v>
      </c>
      <c r="H22" s="34">
        <f>IFERROR(G22/G$38,0)</f>
        <v>0.25925925925925924</v>
      </c>
      <c r="I22" s="84"/>
      <c r="J22" s="157">
        <v>0</v>
      </c>
      <c r="K22" s="33">
        <f>G22+J22/K$4</f>
        <v>350000</v>
      </c>
      <c r="L22" s="34">
        <f>IFERROR(K22/K$38,0)</f>
        <v>5.817174515235457E-2</v>
      </c>
      <c r="M22" s="84"/>
      <c r="N22" s="157">
        <v>0</v>
      </c>
      <c r="O22" s="33">
        <f>K22+N22/O$4</f>
        <v>350000</v>
      </c>
      <c r="P22" s="34">
        <f>IFERROR(O22/O$38,0)</f>
        <v>4.2769857433808553E-2</v>
      </c>
      <c r="Q22" s="84"/>
      <c r="R22" s="157">
        <v>0</v>
      </c>
      <c r="S22" s="33">
        <f>O22+R22/S$4</f>
        <v>350000</v>
      </c>
      <c r="T22" s="34">
        <f>IFERROR(S22/S$38,0)</f>
        <v>4.0307101727447212E-2</v>
      </c>
      <c r="U22" s="84"/>
      <c r="V22" s="157">
        <v>0</v>
      </c>
      <c r="W22" s="33">
        <f>S22+V22/W$4</f>
        <v>350000</v>
      </c>
      <c r="X22" s="34">
        <f>IFERROR(W22/W$38,0)</f>
        <v>3.8532110091743114E-2</v>
      </c>
      <c r="Y22" s="84"/>
      <c r="Z22" s="16"/>
      <c r="AA22" s="30">
        <f t="shared" si="7"/>
        <v>350000</v>
      </c>
      <c r="AB22" s="99">
        <f t="shared" si="8"/>
        <v>3.8532110091743114E-2</v>
      </c>
      <c r="AD22" s="161">
        <f t="shared" si="9"/>
        <v>21513157.894736841</v>
      </c>
      <c r="AF22" s="181">
        <f>_xlfn.RRI(5,F22,AD22)</f>
        <v>1.278910262142599</v>
      </c>
      <c r="AG22" s="182">
        <f>SUM(AD22-F22)/F22</f>
        <v>60.46616541353383</v>
      </c>
      <c r="AH22" s="188">
        <f>SUM(AD22/F22)</f>
        <v>61.46616541353383</v>
      </c>
      <c r="AI22" s="176"/>
    </row>
    <row r="23" spans="1:36" s="11" customFormat="1" ht="12.75">
      <c r="A23" s="25" t="s">
        <v>146</v>
      </c>
      <c r="B23" s="157">
        <v>0</v>
      </c>
      <c r="C23" s="33">
        <f t="shared" ref="C23:C35" si="10">B23/C$4</f>
        <v>0</v>
      </c>
      <c r="D23" s="34">
        <f t="shared" ref="D23:D35" si="11">IFERROR(C23/C$38,0)</f>
        <v>0</v>
      </c>
      <c r="E23" s="84"/>
      <c r="F23" s="157">
        <v>0</v>
      </c>
      <c r="G23" s="33">
        <f t="shared" ref="G23:G35" si="12">C23+F23/G$4</f>
        <v>0</v>
      </c>
      <c r="H23" s="34">
        <f t="shared" ref="H23:H35" si="13">IFERROR(G23/G$38,0)</f>
        <v>0</v>
      </c>
      <c r="I23" s="84"/>
      <c r="J23" s="157">
        <v>1000000</v>
      </c>
      <c r="K23" s="33">
        <f t="shared" ref="K23:K35" si="14">G23+J23/K$4</f>
        <v>666666.66666666663</v>
      </c>
      <c r="L23" s="34">
        <f t="shared" ref="L23:L35" si="15">IFERROR(K23/K$38,0)</f>
        <v>0.11080332409972297</v>
      </c>
      <c r="M23" s="84"/>
      <c r="N23" s="157">
        <v>0</v>
      </c>
      <c r="O23" s="33">
        <f t="shared" ref="O23:O35" si="16">K23+N23/O$4</f>
        <v>666666.66666666663</v>
      </c>
      <c r="P23" s="34">
        <f t="shared" ref="P23:P35" si="17">IFERROR(O23/O$38,0)</f>
        <v>8.1466395112016282E-2</v>
      </c>
      <c r="Q23" s="84"/>
      <c r="R23" s="157">
        <v>0</v>
      </c>
      <c r="S23" s="33">
        <f t="shared" ref="S23:S35" si="18">O23+R23/S$4</f>
        <v>666666.66666666663</v>
      </c>
      <c r="T23" s="34">
        <f t="shared" ref="T23:T35" si="19">IFERROR(S23/S$38,0)</f>
        <v>7.6775431861804216E-2</v>
      </c>
      <c r="U23" s="84"/>
      <c r="V23" s="157">
        <v>0</v>
      </c>
      <c r="W23" s="33">
        <f t="shared" ref="W23:W35" si="20">S23+V23/W$4</f>
        <v>666666.66666666663</v>
      </c>
      <c r="X23" s="34">
        <f t="shared" ref="X23:X35" si="21">IFERROR(W23/W$38,0)</f>
        <v>7.3394495412844027E-2</v>
      </c>
      <c r="Y23" s="84"/>
      <c r="Z23" s="16"/>
      <c r="AA23" s="30">
        <f t="shared" si="7"/>
        <v>666666.66666666663</v>
      </c>
      <c r="AB23" s="99">
        <f t="shared" si="8"/>
        <v>7.3394495412844027E-2</v>
      </c>
      <c r="AD23" s="161">
        <f t="shared" si="9"/>
        <v>40977443.60902255</v>
      </c>
      <c r="AF23" s="181">
        <f>_xlfn.RRI(4,J23,AD23)</f>
        <v>1.530091428564194</v>
      </c>
      <c r="AG23" s="182">
        <f>SUM(AD23-J23)/J23</f>
        <v>39.977443609022551</v>
      </c>
      <c r="AH23" s="188">
        <f>SUM(AD23/J23)</f>
        <v>40.977443609022551</v>
      </c>
      <c r="AI23" s="176"/>
    </row>
    <row r="24" spans="1:36" s="11" customFormat="1" ht="12.75">
      <c r="A24" s="25" t="s">
        <v>147</v>
      </c>
      <c r="B24" s="157">
        <v>0</v>
      </c>
      <c r="C24" s="33">
        <f t="shared" si="10"/>
        <v>0</v>
      </c>
      <c r="D24" s="34">
        <f t="shared" si="11"/>
        <v>0</v>
      </c>
      <c r="E24" s="84"/>
      <c r="F24" s="157">
        <v>0</v>
      </c>
      <c r="G24" s="33">
        <f t="shared" si="12"/>
        <v>0</v>
      </c>
      <c r="H24" s="34">
        <f t="shared" si="13"/>
        <v>0</v>
      </c>
      <c r="I24" s="84"/>
      <c r="J24" s="157">
        <v>0</v>
      </c>
      <c r="K24" s="33">
        <f t="shared" si="14"/>
        <v>0</v>
      </c>
      <c r="L24" s="34">
        <f t="shared" si="15"/>
        <v>0</v>
      </c>
      <c r="M24" s="84"/>
      <c r="N24" s="157">
        <v>3500000</v>
      </c>
      <c r="O24" s="33">
        <f t="shared" si="16"/>
        <v>1166666.6666666667</v>
      </c>
      <c r="P24" s="34">
        <f t="shared" si="17"/>
        <v>0.1425661914460285</v>
      </c>
      <c r="Q24" s="84"/>
      <c r="R24" s="157">
        <v>0</v>
      </c>
      <c r="S24" s="33">
        <f t="shared" si="18"/>
        <v>1166666.6666666667</v>
      </c>
      <c r="T24" s="34">
        <f t="shared" si="19"/>
        <v>0.1343570057581574</v>
      </c>
      <c r="U24" s="84"/>
      <c r="V24" s="157">
        <v>0</v>
      </c>
      <c r="W24" s="33">
        <f t="shared" si="20"/>
        <v>1166666.6666666667</v>
      </c>
      <c r="X24" s="34">
        <f t="shared" si="21"/>
        <v>0.12844036697247707</v>
      </c>
      <c r="Y24" s="84"/>
      <c r="Z24" s="16"/>
      <c r="AA24" s="30">
        <f t="shared" si="7"/>
        <v>1166666.6666666667</v>
      </c>
      <c r="AB24" s="99">
        <f t="shared" si="8"/>
        <v>0.12844036697247707</v>
      </c>
      <c r="AD24" s="161">
        <f t="shared" si="9"/>
        <v>71710526.315789476</v>
      </c>
      <c r="AF24" s="181">
        <f>_xlfn.RRI(3,N24,AD24)</f>
        <v>1.7363498469555623</v>
      </c>
      <c r="AG24" s="182">
        <f>SUM(AD24-N24)/N24</f>
        <v>19.488721804511279</v>
      </c>
      <c r="AH24" s="188">
        <f>SUM(AD24/N24)</f>
        <v>20.488721804511279</v>
      </c>
      <c r="AI24" s="176"/>
    </row>
    <row r="25" spans="1:36" s="11" customFormat="1" ht="12.75">
      <c r="A25" s="25" t="s">
        <v>148</v>
      </c>
      <c r="B25" s="157">
        <v>0</v>
      </c>
      <c r="C25" s="33">
        <f t="shared" si="10"/>
        <v>0</v>
      </c>
      <c r="D25" s="34">
        <f t="shared" si="11"/>
        <v>0</v>
      </c>
      <c r="E25" s="84"/>
      <c r="F25" s="157">
        <v>0</v>
      </c>
      <c r="G25" s="33">
        <f t="shared" si="12"/>
        <v>0</v>
      </c>
      <c r="H25" s="34">
        <f t="shared" si="13"/>
        <v>0</v>
      </c>
      <c r="I25" s="84"/>
      <c r="J25" s="157">
        <v>0</v>
      </c>
      <c r="K25" s="33">
        <f t="shared" si="14"/>
        <v>0</v>
      </c>
      <c r="L25" s="34">
        <f t="shared" si="15"/>
        <v>0</v>
      </c>
      <c r="M25" s="84"/>
      <c r="N25" s="157">
        <v>0</v>
      </c>
      <c r="O25" s="33">
        <f t="shared" si="16"/>
        <v>0</v>
      </c>
      <c r="P25" s="34">
        <f t="shared" si="17"/>
        <v>0</v>
      </c>
      <c r="Q25" s="84"/>
      <c r="R25" s="157">
        <v>5000000</v>
      </c>
      <c r="S25" s="33">
        <f t="shared" si="18"/>
        <v>500000</v>
      </c>
      <c r="T25" s="34">
        <f t="shared" si="19"/>
        <v>5.7581573896353162E-2</v>
      </c>
      <c r="U25" s="84"/>
      <c r="V25" s="157">
        <v>0</v>
      </c>
      <c r="W25" s="33">
        <f t="shared" si="20"/>
        <v>500000</v>
      </c>
      <c r="X25" s="34">
        <f t="shared" si="21"/>
        <v>5.5045871559633024E-2</v>
      </c>
      <c r="Y25" s="84"/>
      <c r="Z25" s="16"/>
      <c r="AA25" s="30">
        <f t="shared" si="7"/>
        <v>500000</v>
      </c>
      <c r="AB25" s="99">
        <f t="shared" si="8"/>
        <v>5.5045871559633024E-2</v>
      </c>
      <c r="AD25" s="161">
        <f t="shared" si="9"/>
        <v>30733082.706766915</v>
      </c>
      <c r="AF25" s="181">
        <f>_xlfn.RRI(2,R25,AD25)</f>
        <v>1.4792370885724875</v>
      </c>
      <c r="AG25" s="182">
        <f>SUM(AD25-R25)/R25</f>
        <v>5.1466165413533833</v>
      </c>
      <c r="AH25" s="188">
        <f>SUM(AD25/R25)</f>
        <v>6.1466165413533833</v>
      </c>
      <c r="AI25" s="176"/>
    </row>
    <row r="26" spans="1:36" s="11" customFormat="1" ht="12.75">
      <c r="A26" s="25" t="s">
        <v>149</v>
      </c>
      <c r="B26" s="157">
        <v>0</v>
      </c>
      <c r="C26" s="33">
        <f t="shared" si="10"/>
        <v>0</v>
      </c>
      <c r="D26" s="34">
        <f t="shared" si="11"/>
        <v>0</v>
      </c>
      <c r="E26" s="84"/>
      <c r="F26" s="157">
        <v>0</v>
      </c>
      <c r="G26" s="33">
        <f t="shared" si="12"/>
        <v>0</v>
      </c>
      <c r="H26" s="34">
        <f t="shared" si="13"/>
        <v>0</v>
      </c>
      <c r="I26" s="84"/>
      <c r="J26" s="157">
        <v>0</v>
      </c>
      <c r="K26" s="33">
        <f t="shared" si="14"/>
        <v>0</v>
      </c>
      <c r="L26" s="34">
        <f t="shared" si="15"/>
        <v>0</v>
      </c>
      <c r="M26" s="84"/>
      <c r="N26" s="157">
        <v>0</v>
      </c>
      <c r="O26" s="33">
        <f t="shared" si="16"/>
        <v>0</v>
      </c>
      <c r="P26" s="34">
        <f t="shared" si="17"/>
        <v>0</v>
      </c>
      <c r="Q26" s="84"/>
      <c r="R26" s="157">
        <v>0</v>
      </c>
      <c r="S26" s="33">
        <f t="shared" si="18"/>
        <v>0</v>
      </c>
      <c r="T26" s="34">
        <f t="shared" si="19"/>
        <v>0</v>
      </c>
      <c r="U26" s="84"/>
      <c r="V26" s="157">
        <v>10000000</v>
      </c>
      <c r="W26" s="33">
        <f t="shared" si="20"/>
        <v>400000</v>
      </c>
      <c r="X26" s="34">
        <f t="shared" si="21"/>
        <v>4.4036697247706418E-2</v>
      </c>
      <c r="Y26" s="84"/>
      <c r="Z26" s="16"/>
      <c r="AA26" s="30">
        <f t="shared" si="7"/>
        <v>400000</v>
      </c>
      <c r="AB26" s="99">
        <f t="shared" si="8"/>
        <v>4.4036697247706418E-2</v>
      </c>
      <c r="AD26" s="161">
        <f t="shared" si="9"/>
        <v>24586466.165413532</v>
      </c>
      <c r="AF26" s="181">
        <f>_xlfn.RRI(1,V26,AD26)</f>
        <v>1.4586466165413534</v>
      </c>
      <c r="AG26" s="182">
        <f>SUM(AD26-V26)/V26</f>
        <v>1.4586466165413532</v>
      </c>
      <c r="AH26" s="188">
        <f>SUM(AD26/V26)</f>
        <v>2.4586466165413534</v>
      </c>
      <c r="AI26" s="176"/>
    </row>
    <row r="27" spans="1:36" s="11" customFormat="1" ht="12.75">
      <c r="A27" s="25" t="s">
        <v>180</v>
      </c>
      <c r="B27" s="157">
        <v>0</v>
      </c>
      <c r="C27" s="33">
        <f t="shared" si="10"/>
        <v>0</v>
      </c>
      <c r="D27" s="34">
        <f t="shared" si="11"/>
        <v>0</v>
      </c>
      <c r="E27" s="84"/>
      <c r="F27" s="157">
        <v>0</v>
      </c>
      <c r="G27" s="33">
        <f t="shared" si="12"/>
        <v>0</v>
      </c>
      <c r="H27" s="34">
        <f t="shared" si="13"/>
        <v>0</v>
      </c>
      <c r="I27" s="84"/>
      <c r="J27" s="157">
        <v>0</v>
      </c>
      <c r="K27" s="33">
        <f t="shared" si="14"/>
        <v>0</v>
      </c>
      <c r="L27" s="34">
        <f t="shared" si="15"/>
        <v>0</v>
      </c>
      <c r="M27" s="84"/>
      <c r="N27" s="157">
        <v>0</v>
      </c>
      <c r="O27" s="33">
        <f t="shared" si="16"/>
        <v>0</v>
      </c>
      <c r="P27" s="34">
        <f t="shared" si="17"/>
        <v>0</v>
      </c>
      <c r="Q27" s="84"/>
      <c r="R27" s="157">
        <v>0</v>
      </c>
      <c r="S27" s="33">
        <f t="shared" si="18"/>
        <v>0</v>
      </c>
      <c r="T27" s="34">
        <f t="shared" si="19"/>
        <v>0</v>
      </c>
      <c r="U27" s="84"/>
      <c r="V27" s="157">
        <v>0</v>
      </c>
      <c r="W27" s="33">
        <f t="shared" si="20"/>
        <v>0</v>
      </c>
      <c r="X27" s="34">
        <f t="shared" si="21"/>
        <v>0</v>
      </c>
      <c r="Y27" s="84"/>
      <c r="Z27" s="16"/>
      <c r="AA27" s="30">
        <f t="shared" si="7"/>
        <v>0</v>
      </c>
      <c r="AB27" s="99">
        <f t="shared" si="8"/>
        <v>0</v>
      </c>
      <c r="AD27" s="161">
        <f t="shared" si="9"/>
        <v>0</v>
      </c>
      <c r="AF27" s="183">
        <f>AVERAGE(AF22:AF26)</f>
        <v>1.4966470485552392</v>
      </c>
      <c r="AG27" s="184">
        <f>AVERAGE(AG22:AG26)</f>
        <v>25.307518796992479</v>
      </c>
      <c r="AH27" s="189">
        <f>AVERAGE(AH22:AH26)</f>
        <v>26.307518796992479</v>
      </c>
      <c r="AI27" s="185"/>
    </row>
    <row r="28" spans="1:36" s="11" customFormat="1" ht="12.75">
      <c r="A28" s="25" t="s">
        <v>181</v>
      </c>
      <c r="B28" s="157">
        <v>0</v>
      </c>
      <c r="C28" s="33">
        <f t="shared" si="10"/>
        <v>0</v>
      </c>
      <c r="D28" s="34">
        <f t="shared" si="11"/>
        <v>0</v>
      </c>
      <c r="E28" s="84"/>
      <c r="F28" s="157">
        <v>0</v>
      </c>
      <c r="G28" s="33">
        <f t="shared" si="12"/>
        <v>0</v>
      </c>
      <c r="H28" s="34">
        <f t="shared" si="13"/>
        <v>0</v>
      </c>
      <c r="I28" s="84"/>
      <c r="J28" s="157">
        <v>0</v>
      </c>
      <c r="K28" s="33">
        <f t="shared" si="14"/>
        <v>0</v>
      </c>
      <c r="L28" s="34">
        <f t="shared" si="15"/>
        <v>0</v>
      </c>
      <c r="M28" s="84"/>
      <c r="N28" s="157">
        <v>0</v>
      </c>
      <c r="O28" s="33">
        <f t="shared" si="16"/>
        <v>0</v>
      </c>
      <c r="P28" s="34">
        <f t="shared" si="17"/>
        <v>0</v>
      </c>
      <c r="Q28" s="84"/>
      <c r="R28" s="157">
        <v>0</v>
      </c>
      <c r="S28" s="33">
        <f t="shared" si="18"/>
        <v>0</v>
      </c>
      <c r="T28" s="34">
        <f t="shared" si="19"/>
        <v>0</v>
      </c>
      <c r="U28" s="84"/>
      <c r="V28" s="157">
        <v>0</v>
      </c>
      <c r="W28" s="33">
        <f t="shared" si="20"/>
        <v>0</v>
      </c>
      <c r="X28" s="34">
        <f t="shared" si="21"/>
        <v>0</v>
      </c>
      <c r="Y28" s="84"/>
      <c r="Z28" s="16"/>
      <c r="AA28" s="30">
        <f t="shared" si="7"/>
        <v>0</v>
      </c>
      <c r="AB28" s="99">
        <f t="shared" si="8"/>
        <v>0</v>
      </c>
      <c r="AD28" s="161">
        <f t="shared" si="9"/>
        <v>0</v>
      </c>
      <c r="AF28" s="174"/>
    </row>
    <row r="29" spans="1:36" s="11" customFormat="1" ht="12.75">
      <c r="A29" s="25" t="s">
        <v>182</v>
      </c>
      <c r="B29" s="157">
        <v>0</v>
      </c>
      <c r="C29" s="33">
        <f t="shared" si="10"/>
        <v>0</v>
      </c>
      <c r="D29" s="34">
        <f t="shared" si="11"/>
        <v>0</v>
      </c>
      <c r="E29" s="84"/>
      <c r="F29" s="157">
        <v>0</v>
      </c>
      <c r="G29" s="33">
        <f t="shared" si="12"/>
        <v>0</v>
      </c>
      <c r="H29" s="34">
        <f t="shared" si="13"/>
        <v>0</v>
      </c>
      <c r="I29" s="84"/>
      <c r="J29" s="157">
        <v>0</v>
      </c>
      <c r="K29" s="33">
        <f t="shared" si="14"/>
        <v>0</v>
      </c>
      <c r="L29" s="34">
        <f t="shared" si="15"/>
        <v>0</v>
      </c>
      <c r="M29" s="84"/>
      <c r="N29" s="157">
        <v>0</v>
      </c>
      <c r="O29" s="33">
        <f t="shared" si="16"/>
        <v>0</v>
      </c>
      <c r="P29" s="34">
        <f t="shared" si="17"/>
        <v>0</v>
      </c>
      <c r="Q29" s="84"/>
      <c r="R29" s="157">
        <v>0</v>
      </c>
      <c r="S29" s="33">
        <f t="shared" si="18"/>
        <v>0</v>
      </c>
      <c r="T29" s="34">
        <f t="shared" si="19"/>
        <v>0</v>
      </c>
      <c r="U29" s="84"/>
      <c r="V29" s="157">
        <v>0</v>
      </c>
      <c r="W29" s="33">
        <f t="shared" si="20"/>
        <v>0</v>
      </c>
      <c r="X29" s="34">
        <f t="shared" si="21"/>
        <v>0</v>
      </c>
      <c r="Y29" s="84"/>
      <c r="Z29" s="16"/>
      <c r="AA29" s="30">
        <f t="shared" si="7"/>
        <v>0</v>
      </c>
      <c r="AB29" s="99">
        <f t="shared" si="8"/>
        <v>0</v>
      </c>
      <c r="AD29" s="161">
        <f t="shared" si="9"/>
        <v>0</v>
      </c>
      <c r="AF29" s="174"/>
    </row>
    <row r="30" spans="1:36" s="11" customFormat="1" ht="12.75">
      <c r="A30" s="25" t="s">
        <v>183</v>
      </c>
      <c r="B30" s="157">
        <v>0</v>
      </c>
      <c r="C30" s="33">
        <f t="shared" si="10"/>
        <v>0</v>
      </c>
      <c r="D30" s="34">
        <f t="shared" si="11"/>
        <v>0</v>
      </c>
      <c r="E30" s="84"/>
      <c r="F30" s="157">
        <v>0</v>
      </c>
      <c r="G30" s="33">
        <f t="shared" si="12"/>
        <v>0</v>
      </c>
      <c r="H30" s="34">
        <f t="shared" si="13"/>
        <v>0</v>
      </c>
      <c r="I30" s="84"/>
      <c r="J30" s="157">
        <v>0</v>
      </c>
      <c r="K30" s="33">
        <f t="shared" si="14"/>
        <v>0</v>
      </c>
      <c r="L30" s="34">
        <f t="shared" si="15"/>
        <v>0</v>
      </c>
      <c r="M30" s="84"/>
      <c r="N30" s="157">
        <v>0</v>
      </c>
      <c r="O30" s="33">
        <f t="shared" si="16"/>
        <v>0</v>
      </c>
      <c r="P30" s="34">
        <f t="shared" si="17"/>
        <v>0</v>
      </c>
      <c r="Q30" s="84"/>
      <c r="R30" s="157">
        <v>0</v>
      </c>
      <c r="S30" s="33">
        <f t="shared" si="18"/>
        <v>0</v>
      </c>
      <c r="T30" s="34">
        <f t="shared" si="19"/>
        <v>0</v>
      </c>
      <c r="U30" s="84"/>
      <c r="V30" s="157">
        <v>0</v>
      </c>
      <c r="W30" s="33">
        <f t="shared" si="20"/>
        <v>0</v>
      </c>
      <c r="X30" s="34">
        <f t="shared" si="21"/>
        <v>0</v>
      </c>
      <c r="Y30" s="84"/>
      <c r="Z30" s="16"/>
      <c r="AA30" s="30">
        <f t="shared" si="7"/>
        <v>0</v>
      </c>
      <c r="AB30" s="99">
        <f t="shared" si="8"/>
        <v>0</v>
      </c>
      <c r="AD30" s="161">
        <f t="shared" si="9"/>
        <v>0</v>
      </c>
      <c r="AF30" s="174"/>
    </row>
    <row r="31" spans="1:36" s="11" customFormat="1" ht="12.75">
      <c r="A31" s="25" t="s">
        <v>184</v>
      </c>
      <c r="B31" s="157">
        <v>0</v>
      </c>
      <c r="C31" s="33">
        <f t="shared" si="10"/>
        <v>0</v>
      </c>
      <c r="D31" s="34">
        <f t="shared" si="11"/>
        <v>0</v>
      </c>
      <c r="E31" s="84"/>
      <c r="F31" s="157">
        <v>0</v>
      </c>
      <c r="G31" s="33">
        <f t="shared" si="12"/>
        <v>0</v>
      </c>
      <c r="H31" s="34">
        <f t="shared" si="13"/>
        <v>0</v>
      </c>
      <c r="I31" s="84"/>
      <c r="J31" s="157">
        <v>0</v>
      </c>
      <c r="K31" s="33">
        <f t="shared" si="14"/>
        <v>0</v>
      </c>
      <c r="L31" s="34">
        <f t="shared" si="15"/>
        <v>0</v>
      </c>
      <c r="M31" s="84"/>
      <c r="N31" s="157">
        <v>0</v>
      </c>
      <c r="O31" s="33">
        <f t="shared" si="16"/>
        <v>0</v>
      </c>
      <c r="P31" s="34">
        <f t="shared" si="17"/>
        <v>0</v>
      </c>
      <c r="Q31" s="84"/>
      <c r="R31" s="157">
        <v>0</v>
      </c>
      <c r="S31" s="33">
        <f t="shared" si="18"/>
        <v>0</v>
      </c>
      <c r="T31" s="34">
        <f t="shared" si="19"/>
        <v>0</v>
      </c>
      <c r="U31" s="84"/>
      <c r="V31" s="157">
        <v>0</v>
      </c>
      <c r="W31" s="33">
        <f t="shared" si="20"/>
        <v>0</v>
      </c>
      <c r="X31" s="34">
        <f t="shared" si="21"/>
        <v>0</v>
      </c>
      <c r="Y31" s="84"/>
      <c r="Z31" s="16"/>
      <c r="AA31" s="30">
        <f t="shared" si="7"/>
        <v>0</v>
      </c>
      <c r="AB31" s="99">
        <f t="shared" si="8"/>
        <v>0</v>
      </c>
      <c r="AD31" s="161">
        <f t="shared" si="9"/>
        <v>0</v>
      </c>
      <c r="AF31" s="174"/>
    </row>
    <row r="32" spans="1:36" s="11" customFormat="1" ht="12.75">
      <c r="A32" s="25" t="s">
        <v>185</v>
      </c>
      <c r="B32" s="157">
        <v>0</v>
      </c>
      <c r="C32" s="33">
        <f t="shared" si="10"/>
        <v>0</v>
      </c>
      <c r="D32" s="34">
        <f t="shared" si="11"/>
        <v>0</v>
      </c>
      <c r="E32" s="84"/>
      <c r="F32" s="157">
        <v>0</v>
      </c>
      <c r="G32" s="33">
        <f t="shared" si="12"/>
        <v>0</v>
      </c>
      <c r="H32" s="34">
        <f t="shared" si="13"/>
        <v>0</v>
      </c>
      <c r="I32" s="84"/>
      <c r="J32" s="157">
        <v>0</v>
      </c>
      <c r="K32" s="33">
        <f t="shared" si="14"/>
        <v>0</v>
      </c>
      <c r="L32" s="34">
        <f t="shared" si="15"/>
        <v>0</v>
      </c>
      <c r="M32" s="84"/>
      <c r="N32" s="157">
        <v>0</v>
      </c>
      <c r="O32" s="33">
        <f t="shared" si="16"/>
        <v>0</v>
      </c>
      <c r="P32" s="34">
        <f t="shared" si="17"/>
        <v>0</v>
      </c>
      <c r="Q32" s="84"/>
      <c r="R32" s="157">
        <v>0</v>
      </c>
      <c r="S32" s="33">
        <f t="shared" si="18"/>
        <v>0</v>
      </c>
      <c r="T32" s="34">
        <f t="shared" si="19"/>
        <v>0</v>
      </c>
      <c r="U32" s="84"/>
      <c r="V32" s="157">
        <v>0</v>
      </c>
      <c r="W32" s="33">
        <f t="shared" si="20"/>
        <v>0</v>
      </c>
      <c r="X32" s="34">
        <f t="shared" si="21"/>
        <v>0</v>
      </c>
      <c r="Y32" s="84"/>
      <c r="Z32" s="16"/>
      <c r="AA32" s="30">
        <f t="shared" si="7"/>
        <v>0</v>
      </c>
      <c r="AB32" s="99">
        <f t="shared" si="8"/>
        <v>0</v>
      </c>
      <c r="AD32" s="161">
        <f t="shared" si="9"/>
        <v>0</v>
      </c>
      <c r="AF32" s="174"/>
    </row>
    <row r="33" spans="1:32" s="11" customFormat="1" ht="12.75">
      <c r="A33" s="25" t="s">
        <v>186</v>
      </c>
      <c r="B33" s="157">
        <v>0</v>
      </c>
      <c r="C33" s="33">
        <f t="shared" si="10"/>
        <v>0</v>
      </c>
      <c r="D33" s="34">
        <f t="shared" si="11"/>
        <v>0</v>
      </c>
      <c r="E33" s="84"/>
      <c r="F33" s="157">
        <v>0</v>
      </c>
      <c r="G33" s="33">
        <f t="shared" si="12"/>
        <v>0</v>
      </c>
      <c r="H33" s="34">
        <f t="shared" si="13"/>
        <v>0</v>
      </c>
      <c r="I33" s="84"/>
      <c r="J33" s="157">
        <v>0</v>
      </c>
      <c r="K33" s="33">
        <f t="shared" si="14"/>
        <v>0</v>
      </c>
      <c r="L33" s="34">
        <f t="shared" si="15"/>
        <v>0</v>
      </c>
      <c r="M33" s="84"/>
      <c r="N33" s="157">
        <v>0</v>
      </c>
      <c r="O33" s="33">
        <f t="shared" si="16"/>
        <v>0</v>
      </c>
      <c r="P33" s="34">
        <f t="shared" si="17"/>
        <v>0</v>
      </c>
      <c r="Q33" s="84"/>
      <c r="R33" s="157">
        <v>0</v>
      </c>
      <c r="S33" s="33">
        <f t="shared" si="18"/>
        <v>0</v>
      </c>
      <c r="T33" s="34">
        <f t="shared" si="19"/>
        <v>0</v>
      </c>
      <c r="U33" s="84"/>
      <c r="V33" s="157">
        <v>0</v>
      </c>
      <c r="W33" s="33">
        <f t="shared" si="20"/>
        <v>0</v>
      </c>
      <c r="X33" s="34">
        <f t="shared" si="21"/>
        <v>0</v>
      </c>
      <c r="Y33" s="84"/>
      <c r="Z33" s="16"/>
      <c r="AA33" s="30">
        <f t="shared" si="7"/>
        <v>0</v>
      </c>
      <c r="AB33" s="99">
        <f t="shared" si="8"/>
        <v>0</v>
      </c>
      <c r="AD33" s="161">
        <f t="shared" si="9"/>
        <v>0</v>
      </c>
      <c r="AF33" s="174"/>
    </row>
    <row r="34" spans="1:32" s="11" customFormat="1" ht="12.75">
      <c r="A34" s="25" t="s">
        <v>187</v>
      </c>
      <c r="B34" s="157">
        <v>0</v>
      </c>
      <c r="C34" s="33">
        <f t="shared" si="10"/>
        <v>0</v>
      </c>
      <c r="D34" s="34">
        <f t="shared" si="11"/>
        <v>0</v>
      </c>
      <c r="E34" s="84"/>
      <c r="F34" s="157">
        <v>0</v>
      </c>
      <c r="G34" s="33">
        <f t="shared" si="12"/>
        <v>0</v>
      </c>
      <c r="H34" s="34">
        <f t="shared" si="13"/>
        <v>0</v>
      </c>
      <c r="I34" s="84"/>
      <c r="J34" s="157">
        <v>0</v>
      </c>
      <c r="K34" s="33">
        <f t="shared" si="14"/>
        <v>0</v>
      </c>
      <c r="L34" s="34">
        <f t="shared" si="15"/>
        <v>0</v>
      </c>
      <c r="M34" s="84"/>
      <c r="N34" s="157">
        <v>0</v>
      </c>
      <c r="O34" s="33">
        <f t="shared" si="16"/>
        <v>0</v>
      </c>
      <c r="P34" s="34">
        <f t="shared" si="17"/>
        <v>0</v>
      </c>
      <c r="Q34" s="84"/>
      <c r="R34" s="157">
        <v>0</v>
      </c>
      <c r="S34" s="33">
        <f t="shared" si="18"/>
        <v>0</v>
      </c>
      <c r="T34" s="34">
        <f t="shared" si="19"/>
        <v>0</v>
      </c>
      <c r="U34" s="84"/>
      <c r="V34" s="157">
        <v>0</v>
      </c>
      <c r="W34" s="33">
        <f t="shared" si="20"/>
        <v>0</v>
      </c>
      <c r="X34" s="34">
        <f t="shared" si="21"/>
        <v>0</v>
      </c>
      <c r="Y34" s="84"/>
      <c r="Z34" s="16"/>
      <c r="AA34" s="30">
        <f t="shared" si="7"/>
        <v>0</v>
      </c>
      <c r="AB34" s="99">
        <f t="shared" si="8"/>
        <v>0</v>
      </c>
      <c r="AD34" s="161">
        <f t="shared" si="9"/>
        <v>0</v>
      </c>
      <c r="AF34" s="174"/>
    </row>
    <row r="35" spans="1:32" s="32" customFormat="1" ht="12.75">
      <c r="A35" s="25" t="s">
        <v>188</v>
      </c>
      <c r="B35" s="158">
        <v>0</v>
      </c>
      <c r="C35" s="42">
        <f t="shared" si="10"/>
        <v>0</v>
      </c>
      <c r="D35" s="43">
        <f t="shared" si="11"/>
        <v>0</v>
      </c>
      <c r="E35" s="85"/>
      <c r="F35" s="158">
        <v>0</v>
      </c>
      <c r="G35" s="42">
        <f t="shared" si="12"/>
        <v>0</v>
      </c>
      <c r="H35" s="43">
        <f t="shared" si="13"/>
        <v>0</v>
      </c>
      <c r="I35" s="85"/>
      <c r="J35" s="158">
        <v>0</v>
      </c>
      <c r="K35" s="42">
        <f t="shared" si="14"/>
        <v>0</v>
      </c>
      <c r="L35" s="43">
        <f t="shared" si="15"/>
        <v>0</v>
      </c>
      <c r="M35" s="85"/>
      <c r="N35" s="158">
        <v>0</v>
      </c>
      <c r="O35" s="42">
        <f t="shared" si="16"/>
        <v>0</v>
      </c>
      <c r="P35" s="43">
        <f t="shared" si="17"/>
        <v>0</v>
      </c>
      <c r="Q35" s="85"/>
      <c r="R35" s="158">
        <v>0</v>
      </c>
      <c r="S35" s="42">
        <f t="shared" si="18"/>
        <v>0</v>
      </c>
      <c r="T35" s="43">
        <f t="shared" si="19"/>
        <v>0</v>
      </c>
      <c r="U35" s="85"/>
      <c r="V35" s="158">
        <v>0</v>
      </c>
      <c r="W35" s="42">
        <f t="shared" si="20"/>
        <v>0</v>
      </c>
      <c r="X35" s="43">
        <f t="shared" si="21"/>
        <v>0</v>
      </c>
      <c r="Y35" s="85"/>
      <c r="Z35" s="16"/>
      <c r="AA35" s="102">
        <f t="shared" si="7"/>
        <v>0</v>
      </c>
      <c r="AB35" s="103">
        <f t="shared" si="8"/>
        <v>0</v>
      </c>
      <c r="AD35" s="161">
        <f t="shared" si="9"/>
        <v>0</v>
      </c>
      <c r="AF35" s="175"/>
    </row>
    <row r="36" spans="1:32" s="11" customFormat="1" ht="12.75">
      <c r="A36" s="95" t="s">
        <v>172</v>
      </c>
      <c r="B36" s="159">
        <f>SUM(B21:B35)</f>
        <v>50000</v>
      </c>
      <c r="C36" s="26">
        <f>SUM(C21:C35)</f>
        <v>0</v>
      </c>
      <c r="D36" s="12">
        <f>SUM(D21:D35)</f>
        <v>0</v>
      </c>
      <c r="E36" s="76"/>
      <c r="F36" s="159">
        <f>SUM(F21:F35)</f>
        <v>350000</v>
      </c>
      <c r="G36" s="26">
        <f>SUM(G21:G35)</f>
        <v>350000</v>
      </c>
      <c r="H36" s="12">
        <f>SUM(H21:H35)</f>
        <v>0.25925925925925924</v>
      </c>
      <c r="I36" s="76"/>
      <c r="J36" s="159">
        <f>SUM(J21:J35)</f>
        <v>1000000</v>
      </c>
      <c r="K36" s="26">
        <f>SUM(K21:K35)</f>
        <v>1016666.6666666666</v>
      </c>
      <c r="L36" s="12">
        <f>SUM(L21:L35)</f>
        <v>0.16897506925207756</v>
      </c>
      <c r="M36" s="76"/>
      <c r="N36" s="160">
        <f>SUM(N21:N35)</f>
        <v>3500000</v>
      </c>
      <c r="O36" s="26">
        <f>SUM(O21:O35)</f>
        <v>2183333.3333333335</v>
      </c>
      <c r="P36" s="12">
        <f>SUM(P21:P35)</f>
        <v>0.26680244399185332</v>
      </c>
      <c r="Q36" s="76"/>
      <c r="R36" s="160">
        <f>SUM(R21:R35)</f>
        <v>5000000</v>
      </c>
      <c r="S36" s="26">
        <f>SUM(S21:S35)</f>
        <v>2683333.3333333335</v>
      </c>
      <c r="T36" s="12">
        <f>SUM(T21:T35)</f>
        <v>0.30902111324376197</v>
      </c>
      <c r="U36" s="76"/>
      <c r="V36" s="160">
        <f>SUM(V21:V35)</f>
        <v>10000000</v>
      </c>
      <c r="W36" s="26">
        <f>SUM(W21:W35)</f>
        <v>3083333.3333333335</v>
      </c>
      <c r="X36" s="12">
        <f>SUM(X21:X35)</f>
        <v>0.33944954128440363</v>
      </c>
      <c r="Y36" s="76"/>
      <c r="Z36" s="16"/>
      <c r="AA36" s="26">
        <f>SUM(AA21:AA35)</f>
        <v>3083333.3333333335</v>
      </c>
      <c r="AB36" s="12">
        <f>SUM(AB21:AB35)</f>
        <v>0.33944954128440363</v>
      </c>
      <c r="AD36" s="105"/>
      <c r="AF36" s="174"/>
    </row>
    <row r="37" spans="1:32" s="11" customFormat="1" ht="12.75">
      <c r="A37" s="22"/>
      <c r="C37" s="26"/>
      <c r="E37" s="76"/>
      <c r="G37" s="26"/>
      <c r="I37" s="76"/>
      <c r="K37" s="26"/>
      <c r="M37" s="76"/>
      <c r="O37" s="26"/>
      <c r="Q37" s="76"/>
      <c r="S37" s="26"/>
      <c r="U37" s="76"/>
      <c r="W37" s="26"/>
      <c r="Y37" s="76"/>
      <c r="Z37" s="16"/>
      <c r="AA37" s="26"/>
      <c r="AD37" s="105"/>
    </row>
    <row r="38" spans="1:32" s="11" customFormat="1" ht="15.75" thickBot="1">
      <c r="A38" s="95" t="s">
        <v>189</v>
      </c>
      <c r="B38" s="72"/>
      <c r="C38" s="73">
        <f>C18+C36</f>
        <v>1000000</v>
      </c>
      <c r="D38" s="74">
        <f>D18+D36</f>
        <v>1</v>
      </c>
      <c r="E38" s="86"/>
      <c r="F38" s="72"/>
      <c r="G38" s="73">
        <f>G18+G36</f>
        <v>1350000</v>
      </c>
      <c r="H38" s="74">
        <f>H18+H36</f>
        <v>1</v>
      </c>
      <c r="I38" s="86"/>
      <c r="J38" s="72"/>
      <c r="K38" s="73">
        <f>K18+K36</f>
        <v>6016666.666666667</v>
      </c>
      <c r="L38" s="74">
        <f>L18+L36</f>
        <v>1</v>
      </c>
      <c r="M38" s="86"/>
      <c r="N38" s="72"/>
      <c r="O38" s="75">
        <f>O18+O36</f>
        <v>8183333.333333334</v>
      </c>
      <c r="P38" s="74">
        <f>IFERROR(P18+P36,0)</f>
        <v>0.99999999999999978</v>
      </c>
      <c r="Q38" s="86"/>
      <c r="R38" s="72"/>
      <c r="S38" s="75">
        <f>S18+S36</f>
        <v>8683333.333333334</v>
      </c>
      <c r="T38" s="74">
        <f>IFERROR(T18+T36,0)</f>
        <v>1</v>
      </c>
      <c r="U38" s="86"/>
      <c r="V38" s="72"/>
      <c r="W38" s="75">
        <f>W18+W36</f>
        <v>9083333.333333334</v>
      </c>
      <c r="X38" s="74">
        <f>IFERROR(X18+X36,0)</f>
        <v>0.99999999999999989</v>
      </c>
      <c r="Y38" s="86"/>
      <c r="Z38" s="98" t="s">
        <v>122</v>
      </c>
      <c r="AA38" s="75">
        <f>AA18+AA36</f>
        <v>11083333.333333334</v>
      </c>
      <c r="AB38" s="74">
        <f>IFERROR(AB18+AB36,0)</f>
        <v>1.1605849486100572</v>
      </c>
      <c r="AD38" s="106"/>
    </row>
    <row r="39" spans="1:32" s="11" customFormat="1" ht="12.75">
      <c r="A39" s="95"/>
      <c r="C39" s="26"/>
      <c r="D39" s="12"/>
      <c r="E39" s="76"/>
      <c r="G39" s="26"/>
      <c r="H39" s="12"/>
      <c r="I39" s="76"/>
      <c r="K39" s="26"/>
      <c r="L39" s="12"/>
      <c r="M39" s="76"/>
      <c r="O39" s="26"/>
      <c r="P39" s="12"/>
      <c r="Q39" s="76"/>
      <c r="S39" s="26"/>
      <c r="T39" s="12"/>
      <c r="U39" s="76"/>
      <c r="W39" s="26"/>
      <c r="X39" s="12"/>
      <c r="Y39" s="76"/>
      <c r="Z39" s="16"/>
      <c r="AA39" s="26"/>
      <c r="AB39" s="12"/>
    </row>
    <row r="40" spans="1:32" s="11" customFormat="1" ht="12.75">
      <c r="A40" s="95" t="s">
        <v>190</v>
      </c>
      <c r="C40" s="163">
        <f>C4*C18</f>
        <v>100000</v>
      </c>
      <c r="D40" s="52"/>
      <c r="E40" s="87"/>
      <c r="G40" s="163">
        <f>IF((G18+C36)*G4=0,C42,(G18+C36)*G4)</f>
        <v>1000000</v>
      </c>
      <c r="H40" s="52"/>
      <c r="I40" s="87"/>
      <c r="K40" s="163">
        <f>(K18+G36)*K4</f>
        <v>8025000</v>
      </c>
      <c r="L40" s="52"/>
      <c r="M40" s="87"/>
      <c r="N40" s="52"/>
      <c r="O40" s="163">
        <f>(O18+K36)*O4</f>
        <v>21050000</v>
      </c>
      <c r="P40" s="52"/>
      <c r="Q40" s="87"/>
      <c r="R40" s="52"/>
      <c r="S40" s="163">
        <f>(S18+O36)*S4</f>
        <v>81833333.333333343</v>
      </c>
      <c r="T40" s="52"/>
      <c r="U40" s="87"/>
      <c r="V40" s="52"/>
      <c r="W40" s="163">
        <f>(W18+S36)*W4</f>
        <v>217083333.33333334</v>
      </c>
      <c r="X40" s="52"/>
      <c r="Y40" s="87"/>
      <c r="Z40" s="52"/>
      <c r="AA40" s="52"/>
      <c r="AB40" s="52"/>
    </row>
    <row r="41" spans="1:32" s="11" customFormat="1" ht="12.75">
      <c r="A41" s="95"/>
      <c r="C41" s="163"/>
      <c r="D41" s="52"/>
      <c r="E41" s="87"/>
      <c r="G41" s="163"/>
      <c r="H41" s="52"/>
      <c r="I41" s="87"/>
      <c r="K41" s="163"/>
      <c r="L41" s="52"/>
      <c r="M41" s="87"/>
      <c r="N41" s="52"/>
      <c r="O41" s="163"/>
      <c r="P41" s="52"/>
      <c r="Q41" s="87"/>
      <c r="R41" s="52"/>
      <c r="S41" s="163"/>
      <c r="T41" s="52"/>
      <c r="U41" s="87"/>
      <c r="V41" s="52"/>
      <c r="W41" s="163"/>
      <c r="X41" s="52"/>
      <c r="Y41" s="87"/>
      <c r="Z41" s="52"/>
      <c r="AA41" s="52"/>
      <c r="AB41" s="52"/>
    </row>
    <row r="42" spans="1:32" s="44" customFormat="1" ht="12.75">
      <c r="A42" s="96" t="s">
        <v>191</v>
      </c>
      <c r="C42" s="163">
        <f>C38*C4</f>
        <v>100000</v>
      </c>
      <c r="D42" s="52"/>
      <c r="E42" s="87"/>
      <c r="G42" s="163">
        <f>G38*G4</f>
        <v>1350000</v>
      </c>
      <c r="H42" s="52"/>
      <c r="I42" s="87"/>
      <c r="K42" s="163">
        <f>K38*K4</f>
        <v>9025000</v>
      </c>
      <c r="L42" s="52"/>
      <c r="M42" s="87"/>
      <c r="N42" s="52"/>
      <c r="O42" s="163">
        <f>O38*O4</f>
        <v>24550000</v>
      </c>
      <c r="P42" s="52"/>
      <c r="Q42" s="87"/>
      <c r="R42" s="52"/>
      <c r="S42" s="163">
        <f>S38*S4</f>
        <v>86833333.333333343</v>
      </c>
      <c r="T42" s="52"/>
      <c r="U42" s="87"/>
      <c r="V42" s="52"/>
      <c r="W42" s="163">
        <f>W38*W4</f>
        <v>227083333.33333334</v>
      </c>
      <c r="X42" s="52"/>
      <c r="Y42" s="87"/>
      <c r="Z42" s="52"/>
      <c r="AA42" s="52"/>
      <c r="AB42" s="52"/>
    </row>
    <row r="43" spans="1:32" s="44" customFormat="1" ht="12.75">
      <c r="A43" s="96"/>
      <c r="C43" s="163"/>
      <c r="D43" s="52"/>
      <c r="E43" s="87"/>
      <c r="G43" s="163"/>
      <c r="H43" s="52"/>
      <c r="I43" s="87"/>
      <c r="K43" s="163"/>
      <c r="L43" s="52"/>
      <c r="M43" s="87"/>
      <c r="N43" s="52"/>
      <c r="O43" s="163"/>
      <c r="P43" s="52"/>
      <c r="Q43" s="87"/>
      <c r="R43" s="52"/>
      <c r="S43" s="163"/>
      <c r="T43" s="52"/>
      <c r="U43" s="87"/>
      <c r="V43" s="52"/>
      <c r="W43" s="163"/>
      <c r="X43" s="52"/>
      <c r="Y43" s="87"/>
      <c r="Z43" s="52"/>
      <c r="AA43" s="52"/>
      <c r="AB43" s="52"/>
    </row>
    <row r="44" spans="1:32" s="44" customFormat="1" ht="12.75">
      <c r="A44" s="96" t="s">
        <v>192</v>
      </c>
      <c r="C44" s="164">
        <f>SUM(C42-C40)</f>
        <v>0</v>
      </c>
      <c r="D44" s="52"/>
      <c r="E44" s="87"/>
      <c r="G44" s="164">
        <f>SUM(G42-G40)</f>
        <v>350000</v>
      </c>
      <c r="H44" s="52"/>
      <c r="I44" s="87"/>
      <c r="K44" s="164">
        <f>SUM(K42-K40)</f>
        <v>1000000</v>
      </c>
      <c r="L44" s="52"/>
      <c r="M44" s="87"/>
      <c r="N44" s="52"/>
      <c r="O44" s="164">
        <f>SUM(O42-O40)</f>
        <v>3500000</v>
      </c>
      <c r="P44" s="52"/>
      <c r="Q44" s="87"/>
      <c r="R44" s="52"/>
      <c r="S44" s="164">
        <f>SUM(S42-S40)</f>
        <v>5000000</v>
      </c>
      <c r="T44" s="52"/>
      <c r="U44" s="87"/>
      <c r="V44" s="52"/>
      <c r="W44" s="164">
        <f>SUM(W42-W40)</f>
        <v>10000000</v>
      </c>
      <c r="X44" s="52"/>
      <c r="Y44" s="87"/>
      <c r="Z44" s="52"/>
      <c r="AA44" s="52"/>
      <c r="AB44" s="52"/>
    </row>
    <row r="45" spans="1:32">
      <c r="A45" s="46"/>
      <c r="C45" s="165"/>
      <c r="E45" s="86"/>
      <c r="I45" s="86"/>
      <c r="M45" s="86"/>
      <c r="Q45" s="86"/>
      <c r="S45" s="45"/>
      <c r="U45" s="86"/>
      <c r="W45" s="45"/>
      <c r="Y45" s="86"/>
      <c r="AA45" s="45"/>
    </row>
    <row r="46" spans="1:32">
      <c r="A46" s="86"/>
      <c r="B46" s="86"/>
      <c r="C46" s="88"/>
      <c r="D46" s="86"/>
      <c r="E46" s="86"/>
      <c r="F46" s="86"/>
      <c r="G46" s="88"/>
      <c r="H46" s="86"/>
      <c r="I46" s="86"/>
      <c r="J46" s="86"/>
      <c r="K46" s="88"/>
      <c r="L46" s="86"/>
      <c r="M46" s="86"/>
      <c r="N46" s="86"/>
      <c r="O46" s="89"/>
      <c r="P46" s="86"/>
      <c r="Q46" s="90"/>
      <c r="R46" s="91"/>
      <c r="S46" s="92"/>
      <c r="T46" s="93"/>
      <c r="U46" s="90"/>
      <c r="V46" s="91"/>
      <c r="W46" s="92"/>
      <c r="X46" s="94"/>
      <c r="Y46" s="90"/>
      <c r="Z46" s="91"/>
      <c r="AA46" s="92"/>
      <c r="AB46" s="94"/>
      <c r="AC46" s="86"/>
    </row>
    <row r="47" spans="1:32">
      <c r="A47" s="22"/>
      <c r="B47" s="22"/>
      <c r="C47" s="149"/>
      <c r="D47" s="22"/>
      <c r="E47" s="22"/>
      <c r="F47" s="22"/>
      <c r="G47" s="149"/>
      <c r="H47" s="22"/>
      <c r="K47" s="33"/>
      <c r="R47" s="46"/>
      <c r="S47" s="45"/>
      <c r="V47" s="46"/>
      <c r="W47" s="45"/>
      <c r="X47" s="23"/>
      <c r="Z47" s="46"/>
      <c r="AA47" s="45"/>
      <c r="AB47" s="23"/>
    </row>
    <row r="48" spans="1:32">
      <c r="A48" s="22"/>
      <c r="B48" s="22"/>
      <c r="C48" s="22"/>
      <c r="D48" s="22"/>
      <c r="E48" s="22"/>
      <c r="F48" s="22"/>
      <c r="G48" s="150"/>
      <c r="H48" s="22"/>
      <c r="K48" s="47"/>
      <c r="S48" s="45"/>
      <c r="W48" s="45"/>
      <c r="X48" s="23"/>
      <c r="AA48" s="45"/>
      <c r="AB48" s="23"/>
    </row>
    <row r="49" spans="1:28">
      <c r="A49" s="22"/>
      <c r="B49" s="22"/>
      <c r="C49" s="120"/>
      <c r="D49" s="22"/>
      <c r="E49" s="22"/>
      <c r="F49" s="22"/>
      <c r="G49" s="22"/>
      <c r="H49" s="22"/>
      <c r="S49" s="48"/>
      <c r="W49" s="48"/>
      <c r="X49" s="23"/>
      <c r="AA49" s="48"/>
      <c r="AB49" s="23"/>
    </row>
    <row r="50" spans="1:28">
      <c r="A50" s="22"/>
      <c r="B50" s="22"/>
      <c r="C50" s="150"/>
      <c r="D50" s="22"/>
      <c r="E50" s="22"/>
      <c r="F50" s="22"/>
      <c r="G50" s="22"/>
      <c r="H50" s="22"/>
      <c r="S50" s="48"/>
      <c r="W50" s="48"/>
      <c r="X50" s="49"/>
      <c r="AA50" s="48"/>
      <c r="AB50" s="49"/>
    </row>
    <row r="51" spans="1:28">
      <c r="A51" s="22"/>
      <c r="B51" s="22"/>
      <c r="C51" s="11"/>
      <c r="H51" s="22"/>
      <c r="S51" s="48"/>
      <c r="W51" s="48"/>
      <c r="X51" s="49"/>
      <c r="AA51" s="48"/>
      <c r="AB51" s="49"/>
    </row>
    <row r="52" spans="1:28">
      <c r="A52" s="120"/>
      <c r="B52" s="22"/>
      <c r="C52" s="151"/>
      <c r="D52" s="153"/>
      <c r="G52" s="136"/>
      <c r="H52" s="22"/>
      <c r="K52" s="136"/>
      <c r="O52" s="136"/>
      <c r="S52" s="136"/>
      <c r="W52" s="48"/>
      <c r="X52" s="23"/>
      <c r="AA52" s="48"/>
      <c r="AB52" s="23"/>
    </row>
    <row r="53" spans="1:28">
      <c r="A53" s="120"/>
      <c r="B53" s="22"/>
      <c r="C53" s="151"/>
      <c r="D53" s="116"/>
      <c r="G53" s="136"/>
      <c r="H53" s="22"/>
      <c r="K53" s="136"/>
      <c r="O53" s="136"/>
      <c r="S53" s="136"/>
    </row>
    <row r="54" spans="1:28">
      <c r="A54" s="120"/>
      <c r="B54" s="22"/>
      <c r="C54" s="151"/>
      <c r="G54" s="136"/>
      <c r="H54" s="22"/>
      <c r="K54" s="136"/>
      <c r="O54" s="136"/>
      <c r="S54" s="136"/>
    </row>
    <row r="55" spans="1:28">
      <c r="A55" s="120"/>
      <c r="B55" s="22"/>
      <c r="C55" s="151"/>
      <c r="G55" s="136"/>
      <c r="H55" s="22"/>
      <c r="K55" s="136"/>
      <c r="O55" s="136"/>
      <c r="S55" s="136"/>
    </row>
    <row r="56" spans="1:28">
      <c r="A56" s="120"/>
      <c r="B56" s="22"/>
      <c r="C56" s="151"/>
      <c r="G56" s="136"/>
      <c r="H56" s="22"/>
      <c r="K56" s="136"/>
      <c r="O56" s="136"/>
      <c r="S56" s="136"/>
    </row>
    <row r="57" spans="1:28">
      <c r="A57" s="22"/>
      <c r="B57" s="22"/>
      <c r="C57" s="151"/>
      <c r="G57" s="136"/>
      <c r="H57" s="22"/>
      <c r="K57" s="136"/>
      <c r="O57" s="136"/>
      <c r="S57" s="136"/>
    </row>
    <row r="58" spans="1:28">
      <c r="A58" s="22"/>
      <c r="C58" s="151"/>
      <c r="G58" s="136"/>
      <c r="H58" s="22"/>
      <c r="K58" s="136"/>
      <c r="O58" s="136"/>
      <c r="S58" s="136"/>
    </row>
    <row r="59" spans="1:28">
      <c r="A59" s="22"/>
      <c r="C59" s="151"/>
      <c r="G59" s="136"/>
      <c r="H59" s="22"/>
      <c r="K59" s="136"/>
      <c r="O59" s="136"/>
      <c r="S59" s="136"/>
    </row>
    <row r="60" spans="1:28">
      <c r="A60" s="22"/>
      <c r="C60" s="151"/>
      <c r="G60" s="136"/>
      <c r="K60" s="136"/>
      <c r="O60" s="136"/>
      <c r="S60" s="136"/>
    </row>
    <row r="61" spans="1:28">
      <c r="A61" s="22"/>
      <c r="C61" s="151"/>
      <c r="G61" s="136"/>
      <c r="K61" s="136"/>
      <c r="O61" s="136"/>
      <c r="S61" s="136"/>
    </row>
  </sheetData>
  <mergeCells count="7">
    <mergeCell ref="B3:D3"/>
    <mergeCell ref="F3:H3"/>
    <mergeCell ref="Z3:AB3"/>
    <mergeCell ref="J3:L3"/>
    <mergeCell ref="N3:P3"/>
    <mergeCell ref="R3:T3"/>
    <mergeCell ref="V3:X3"/>
  </mergeCells>
  <dataValidations count="1">
    <dataValidation type="list" allowBlank="1" showInputMessage="1" showErrorMessage="1" sqref="A47" xr:uid="{B00C021E-FA6A-C440-9452-3FE2CF2D1B1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ED62-645E-C840-B08A-5971AF8B40E9}">
  <dimension ref="A1:Q2001"/>
  <sheetViews>
    <sheetView zoomScaleNormal="150" zoomScaleSheetLayoutView="100" workbookViewId="0">
      <selection activeCell="F3" sqref="F3"/>
    </sheetView>
  </sheetViews>
  <sheetFormatPr defaultRowHeight="12.75"/>
  <cols>
    <col min="3" max="3" width="20.42578125" bestFit="1" customWidth="1"/>
    <col min="4" max="4" width="9.140625" style="194"/>
    <col min="6" max="6" width="20.42578125" bestFit="1" customWidth="1"/>
    <col min="8" max="8" width="20.42578125" bestFit="1" customWidth="1"/>
    <col min="17" max="17" width="12.28515625" customWidth="1"/>
  </cols>
  <sheetData>
    <row r="1" spans="1:17" ht="26.25" thickBot="1">
      <c r="A1" t="s">
        <v>193</v>
      </c>
      <c r="B1" t="s">
        <v>194</v>
      </c>
      <c r="C1" t="s">
        <v>195</v>
      </c>
      <c r="D1" s="194" t="s">
        <v>196</v>
      </c>
      <c r="E1" t="s">
        <v>197</v>
      </c>
      <c r="F1" t="s">
        <v>198</v>
      </c>
      <c r="G1" t="s">
        <v>198</v>
      </c>
      <c r="P1" s="192" t="s">
        <v>175</v>
      </c>
      <c r="Q1" s="193" t="s">
        <v>199</v>
      </c>
    </row>
    <row r="2" spans="1:17">
      <c r="A2" s="190">
        <f t="shared" ref="A2:A6" si="0">P2</f>
        <v>1.278910262142599</v>
      </c>
      <c r="B2" s="190">
        <f>AVERAGE(A2:A6)</f>
        <v>1.4966470485552392</v>
      </c>
      <c r="C2" s="196">
        <f>$B$2-3*$B4</f>
        <v>1.0043078229418203</v>
      </c>
      <c r="D2" s="194">
        <v>0.94183960382360965</v>
      </c>
      <c r="E2">
        <f>_xlfn.NORM.DIST(D2,$B$2,$B$4,FALSE)</f>
        <v>8.017674782981524E-3</v>
      </c>
      <c r="F2" s="200" t="s">
        <v>195</v>
      </c>
      <c r="G2" s="200" t="s">
        <v>200</v>
      </c>
      <c r="H2" s="200" t="s">
        <v>195</v>
      </c>
      <c r="I2" s="200" t="s">
        <v>200</v>
      </c>
      <c r="J2" s="201"/>
      <c r="K2" s="201"/>
      <c r="L2" s="201"/>
      <c r="P2" s="194">
        <f>'Cap Table'!AF22</f>
        <v>1.278910262142599</v>
      </c>
      <c r="Q2">
        <f>_xlfn.NORM.DIST(P2,$N$6,$N$7,0)</f>
        <v>0.71513140767605643</v>
      </c>
    </row>
    <row r="3" spans="1:17">
      <c r="A3" s="190">
        <f t="shared" si="0"/>
        <v>1.4586466165413534</v>
      </c>
      <c r="B3" t="s">
        <v>201</v>
      </c>
      <c r="C3" s="196">
        <f>C2+$B$4</f>
        <v>1.1684208981462934</v>
      </c>
      <c r="D3" s="194">
        <v>0.99879718318697996</v>
      </c>
      <c r="E3">
        <f t="shared" ref="E3:E66" si="1">_xlfn.NORM.DIST(D3,$B$2,$B$4,FALSE)</f>
        <v>2.4403282925222012E-2</v>
      </c>
      <c r="F3" s="197">
        <v>1.0043078229418203</v>
      </c>
      <c r="G3" s="198">
        <v>2</v>
      </c>
      <c r="H3" s="197">
        <v>1.0043078229418203</v>
      </c>
      <c r="I3" s="198">
        <v>0</v>
      </c>
      <c r="J3" s="198"/>
      <c r="K3" s="198"/>
      <c r="L3" s="198"/>
      <c r="P3" s="194">
        <f>'Cap Table'!AF26</f>
        <v>1.4586466165413534</v>
      </c>
      <c r="Q3">
        <f>_xlfn.NORM.DIST(P3,$N$6,$N$7,0)</f>
        <v>3.0180938518657521</v>
      </c>
    </row>
    <row r="4" spans="1:17">
      <c r="A4" s="190">
        <f t="shared" si="0"/>
        <v>1.4792370885724875</v>
      </c>
      <c r="B4">
        <f>STDEV(A2:A6)</f>
        <v>0.16411307520447296</v>
      </c>
      <c r="C4" s="196">
        <f t="shared" ref="C4:C8" si="2">C3+$B$4</f>
        <v>1.3325339733507664</v>
      </c>
      <c r="D4" s="194">
        <v>1.0148217264795676</v>
      </c>
      <c r="E4">
        <f t="shared" si="1"/>
        <v>3.2660264244164378E-2</v>
      </c>
      <c r="F4" s="197">
        <v>1.1684208981462934</v>
      </c>
      <c r="G4" s="198">
        <v>40</v>
      </c>
      <c r="H4" s="197">
        <v>1.1684208981462934</v>
      </c>
      <c r="I4" s="198">
        <v>0</v>
      </c>
      <c r="J4" s="198"/>
      <c r="K4" s="198"/>
      <c r="L4" s="198"/>
      <c r="P4" s="194">
        <f>'Cap Table'!AF25</f>
        <v>1.4792370885724875</v>
      </c>
      <c r="Q4">
        <f>_xlfn.NORM.DIST(P4,$N$6,$N$7,0)</f>
        <v>3.127913795075203</v>
      </c>
    </row>
    <row r="5" spans="1:17">
      <c r="A5" s="190">
        <f t="shared" si="0"/>
        <v>1.530091428564194</v>
      </c>
      <c r="C5" s="196">
        <f t="shared" si="2"/>
        <v>1.4966470485552394</v>
      </c>
      <c r="D5" s="194">
        <v>1.0222488993022125</v>
      </c>
      <c r="E5">
        <f t="shared" si="1"/>
        <v>3.7263155835832978E-2</v>
      </c>
      <c r="F5" s="197">
        <v>1.3325339733507664</v>
      </c>
      <c r="G5" s="198">
        <v>265</v>
      </c>
      <c r="H5" s="197">
        <v>1.3325339733507664</v>
      </c>
      <c r="I5" s="198">
        <v>1</v>
      </c>
      <c r="J5" s="198"/>
      <c r="K5" s="198"/>
      <c r="L5" s="198"/>
      <c r="P5" s="194">
        <f>'Cap Table'!AF23</f>
        <v>1.530091428564194</v>
      </c>
      <c r="Q5">
        <f>_xlfn.NORM.DIST(P5,$N$6,$N$7,0)</f>
        <v>3.0490263522909875</v>
      </c>
    </row>
    <row r="6" spans="1:17">
      <c r="A6" s="190">
        <f t="shared" si="0"/>
        <v>1.7363498469555623</v>
      </c>
      <c r="C6" s="196">
        <f t="shared" si="2"/>
        <v>1.6607601237597125</v>
      </c>
      <c r="D6" s="194">
        <v>1.0561189567160909</v>
      </c>
      <c r="E6">
        <f t="shared" si="1"/>
        <v>6.6240596033259991E-2</v>
      </c>
      <c r="F6" s="197">
        <v>1.4966470485552394</v>
      </c>
      <c r="G6" s="198">
        <v>696</v>
      </c>
      <c r="H6" s="197">
        <v>1.4966470485552394</v>
      </c>
      <c r="I6" s="198">
        <v>2</v>
      </c>
      <c r="J6" s="198"/>
      <c r="K6" s="198"/>
      <c r="L6" s="198"/>
      <c r="M6" s="192" t="s">
        <v>202</v>
      </c>
      <c r="N6" s="191">
        <f>'Cap Table'!AF27</f>
        <v>1.4966470485552392</v>
      </c>
      <c r="O6" s="190"/>
      <c r="P6" s="194">
        <f>'Cap Table'!AF24</f>
        <v>1.7363498469555623</v>
      </c>
      <c r="Q6">
        <f>_xlfn.NORM.DIST(P6,$N$6,$N$7,0)</f>
        <v>0.5220155839767634</v>
      </c>
    </row>
    <row r="7" spans="1:17">
      <c r="C7" s="196">
        <f t="shared" si="2"/>
        <v>1.8248731989641855</v>
      </c>
      <c r="D7" s="194">
        <v>1.0745018064917531</v>
      </c>
      <c r="E7">
        <f t="shared" si="1"/>
        <v>8.8916428866591776E-2</v>
      </c>
      <c r="F7" s="197">
        <v>1.6607601237597125</v>
      </c>
      <c r="G7" s="198">
        <v>666</v>
      </c>
      <c r="H7" s="197">
        <v>1.6607601237597125</v>
      </c>
      <c r="I7" s="198">
        <v>1</v>
      </c>
      <c r="J7" s="198"/>
      <c r="K7" s="198"/>
      <c r="L7" s="198"/>
      <c r="M7" s="192" t="s">
        <v>203</v>
      </c>
      <c r="N7" s="191">
        <f>_xlfn.STDEV.P('ROI Analysis'!AR22,'ROI Analysis'!AR23,'Cap Table'!AF24,'Cap Table'!AF25,'Cap Table'!AF26)</f>
        <v>0.12633730083669117</v>
      </c>
    </row>
    <row r="8" spans="1:17">
      <c r="C8" s="196">
        <f t="shared" si="2"/>
        <v>1.9889862741686586</v>
      </c>
      <c r="D8" s="194">
        <v>1.0755764778004959</v>
      </c>
      <c r="E8">
        <f t="shared" si="1"/>
        <v>9.0424904118495172E-2</v>
      </c>
      <c r="F8" s="197">
        <v>1.8248731989641855</v>
      </c>
      <c r="G8" s="198">
        <v>274</v>
      </c>
      <c r="H8" s="197">
        <v>1.8248731989641855</v>
      </c>
      <c r="I8" s="198">
        <v>1</v>
      </c>
      <c r="J8" s="198"/>
      <c r="K8" s="198"/>
      <c r="L8" s="198"/>
    </row>
    <row r="9" spans="1:17">
      <c r="D9" s="194">
        <v>1.0803707059167209</v>
      </c>
      <c r="E9">
        <f t="shared" si="1"/>
        <v>9.7421381368429663E-2</v>
      </c>
      <c r="F9" s="197">
        <v>1.9889862741686586</v>
      </c>
      <c r="G9" s="198">
        <v>49</v>
      </c>
      <c r="H9" s="197">
        <v>1.9889862741686586</v>
      </c>
      <c r="I9" s="198">
        <v>0</v>
      </c>
      <c r="J9" s="198"/>
      <c r="K9" s="198"/>
      <c r="L9" s="198"/>
    </row>
    <row r="10" spans="1:17" ht="13.5" thickBot="1">
      <c r="D10" s="194">
        <v>1.0881322209243081</v>
      </c>
      <c r="E10">
        <f t="shared" si="1"/>
        <v>0.10971530279821619</v>
      </c>
      <c r="F10" s="199" t="s">
        <v>204</v>
      </c>
      <c r="G10" s="199">
        <v>8</v>
      </c>
      <c r="H10" s="199" t="s">
        <v>204</v>
      </c>
      <c r="I10" s="199">
        <v>0</v>
      </c>
      <c r="J10" s="198"/>
      <c r="K10" s="198"/>
      <c r="L10" s="198"/>
    </row>
    <row r="11" spans="1:17">
      <c r="D11" s="194">
        <v>1.094807123830833</v>
      </c>
      <c r="E11">
        <f t="shared" si="1"/>
        <v>0.12130463815283744</v>
      </c>
    </row>
    <row r="12" spans="1:17">
      <c r="D12" s="194">
        <v>1.0979117298338679</v>
      </c>
      <c r="E12">
        <f t="shared" si="1"/>
        <v>0.12703296422676083</v>
      </c>
    </row>
    <row r="13" spans="1:17">
      <c r="D13" s="194">
        <v>1.1006342304826831</v>
      </c>
      <c r="E13">
        <f t="shared" si="1"/>
        <v>0.13223950370200807</v>
      </c>
      <c r="F13" s="202"/>
    </row>
    <row r="14" spans="1:17">
      <c r="D14" s="194">
        <v>1.1025447572537814</v>
      </c>
      <c r="E14">
        <f t="shared" si="1"/>
        <v>0.13599777256408563</v>
      </c>
      <c r="F14" s="203"/>
    </row>
    <row r="15" spans="1:17">
      <c r="D15" s="194">
        <v>1.105992661035998</v>
      </c>
      <c r="E15">
        <f t="shared" si="1"/>
        <v>0.14300359008321473</v>
      </c>
      <c r="F15" s="203"/>
    </row>
    <row r="16" spans="1:17">
      <c r="D16" s="194">
        <v>1.1107540519733448</v>
      </c>
      <c r="E16">
        <f t="shared" si="1"/>
        <v>0.15316427310488462</v>
      </c>
      <c r="F16" s="203"/>
    </row>
    <row r="17" spans="4:5">
      <c r="D17" s="194">
        <v>1.1128138386484352</v>
      </c>
      <c r="E17">
        <f t="shared" si="1"/>
        <v>0.15773943759145542</v>
      </c>
    </row>
    <row r="18" spans="4:5">
      <c r="D18" s="194">
        <v>1.1259248286150978</v>
      </c>
      <c r="E18">
        <f t="shared" si="1"/>
        <v>0.18954049968362577</v>
      </c>
    </row>
    <row r="19" spans="4:5">
      <c r="D19" s="194">
        <v>1.1303399365751829</v>
      </c>
      <c r="E19">
        <f t="shared" si="1"/>
        <v>0.20134358879523076</v>
      </c>
    </row>
    <row r="20" spans="4:5">
      <c r="D20" s="194">
        <v>1.1309727985681093</v>
      </c>
      <c r="E20">
        <f t="shared" si="1"/>
        <v>0.2030825875054956</v>
      </c>
    </row>
    <row r="21" spans="4:5">
      <c r="D21" s="194">
        <v>1.1343550279925694</v>
      </c>
      <c r="E21">
        <f t="shared" si="1"/>
        <v>0.21258062652797152</v>
      </c>
    </row>
    <row r="22" spans="4:5">
      <c r="D22" s="194">
        <v>1.135546122026426</v>
      </c>
      <c r="E22">
        <f t="shared" si="1"/>
        <v>0.21600834935929505</v>
      </c>
    </row>
    <row r="23" spans="4:5">
      <c r="D23" s="194">
        <v>1.136280480754067</v>
      </c>
      <c r="E23">
        <f t="shared" si="1"/>
        <v>0.21814344221545284</v>
      </c>
    </row>
    <row r="24" spans="4:5">
      <c r="D24" s="194">
        <v>1.1372984332992928</v>
      </c>
      <c r="E24">
        <f t="shared" si="1"/>
        <v>0.22113068671570144</v>
      </c>
    </row>
    <row r="25" spans="4:5">
      <c r="D25" s="194">
        <v>1.1372984332992928</v>
      </c>
      <c r="E25">
        <f t="shared" si="1"/>
        <v>0.22113068671570144</v>
      </c>
    </row>
    <row r="26" spans="4:5">
      <c r="D26" s="194">
        <v>1.1378745765287022</v>
      </c>
      <c r="E26">
        <f t="shared" si="1"/>
        <v>0.22283570777249229</v>
      </c>
    </row>
    <row r="27" spans="4:5">
      <c r="D27" s="194">
        <v>1.1385880388697842</v>
      </c>
      <c r="E27">
        <f t="shared" si="1"/>
        <v>0.22496149542863234</v>
      </c>
    </row>
    <row r="28" spans="4:5">
      <c r="D28" s="194">
        <v>1.1419165347288072</v>
      </c>
      <c r="E28">
        <f t="shared" si="1"/>
        <v>0.23509128514591246</v>
      </c>
    </row>
    <row r="29" spans="4:5">
      <c r="D29" s="194">
        <v>1.1425926820938912</v>
      </c>
      <c r="E29">
        <f t="shared" si="1"/>
        <v>0.23719220432115509</v>
      </c>
    </row>
    <row r="30" spans="4:5">
      <c r="D30" s="194">
        <v>1.1425926820938912</v>
      </c>
      <c r="E30">
        <f t="shared" si="1"/>
        <v>0.23719220432115509</v>
      </c>
    </row>
    <row r="31" spans="4:5">
      <c r="D31" s="194">
        <v>1.142859857322037</v>
      </c>
      <c r="E31">
        <f t="shared" si="1"/>
        <v>0.23802642105040137</v>
      </c>
    </row>
    <row r="32" spans="4:5">
      <c r="D32" s="194">
        <v>1.1466510588834353</v>
      </c>
      <c r="E32">
        <f t="shared" si="1"/>
        <v>0.25011360224554458</v>
      </c>
    </row>
    <row r="33" spans="4:5">
      <c r="D33" s="194">
        <v>1.1489108538298751</v>
      </c>
      <c r="E33">
        <f t="shared" si="1"/>
        <v>0.25754294535080086</v>
      </c>
    </row>
    <row r="34" spans="4:5">
      <c r="D34" s="194">
        <v>1.15182739235388</v>
      </c>
      <c r="E34">
        <f t="shared" si="1"/>
        <v>0.26738359590001026</v>
      </c>
    </row>
    <row r="35" spans="4:5">
      <c r="D35" s="194">
        <v>1.1528916154693434</v>
      </c>
      <c r="E35">
        <f t="shared" si="1"/>
        <v>0.27104594566784812</v>
      </c>
    </row>
    <row r="36" spans="4:5">
      <c r="D36" s="194">
        <v>1.1556633718864759</v>
      </c>
      <c r="E36">
        <f t="shared" si="1"/>
        <v>0.28076625782036457</v>
      </c>
    </row>
    <row r="37" spans="4:5">
      <c r="D37" s="194">
        <v>1.1588844006146246</v>
      </c>
      <c r="E37">
        <f t="shared" si="1"/>
        <v>0.29239609885951362</v>
      </c>
    </row>
    <row r="38" spans="4:5">
      <c r="D38" s="194">
        <v>1.1592112798043672</v>
      </c>
      <c r="E38">
        <f t="shared" si="1"/>
        <v>0.29359660373961283</v>
      </c>
    </row>
    <row r="39" spans="4:5">
      <c r="D39" s="194">
        <v>1.1603949108430243</v>
      </c>
      <c r="E39">
        <f t="shared" si="1"/>
        <v>0.29797513267348508</v>
      </c>
    </row>
    <row r="40" spans="4:5">
      <c r="D40" s="194">
        <v>1.1611382251649047</v>
      </c>
      <c r="E40">
        <f t="shared" si="1"/>
        <v>0.30075014802678179</v>
      </c>
    </row>
    <row r="41" spans="4:5">
      <c r="D41" s="194">
        <v>1.1613501742285735</v>
      </c>
      <c r="E41">
        <f t="shared" si="1"/>
        <v>0.30154500869131884</v>
      </c>
    </row>
    <row r="42" spans="4:5">
      <c r="D42" s="194">
        <v>1.1654637771825946</v>
      </c>
      <c r="E42">
        <f t="shared" si="1"/>
        <v>0.31729007212543603</v>
      </c>
    </row>
    <row r="43" spans="4:5">
      <c r="D43" s="194">
        <v>1.1666578564145311</v>
      </c>
      <c r="E43">
        <f t="shared" si="1"/>
        <v>0.32197469396210782</v>
      </c>
    </row>
    <row r="44" spans="4:5">
      <c r="D44" s="194">
        <v>1.1708923598907859</v>
      </c>
      <c r="E44">
        <f t="shared" si="1"/>
        <v>0.33900741084496977</v>
      </c>
    </row>
    <row r="45" spans="4:5">
      <c r="D45" s="194">
        <v>1.171078934770776</v>
      </c>
      <c r="E45">
        <f t="shared" si="1"/>
        <v>0.33977306431084153</v>
      </c>
    </row>
    <row r="46" spans="4:5">
      <c r="D46" s="194">
        <v>1.1716401520097861</v>
      </c>
      <c r="E46">
        <f t="shared" si="1"/>
        <v>0.34208392441753671</v>
      </c>
    </row>
    <row r="47" spans="4:5">
      <c r="D47" s="194">
        <v>1.1735685899693635</v>
      </c>
      <c r="E47">
        <f t="shared" si="1"/>
        <v>0.35011367635211649</v>
      </c>
    </row>
    <row r="48" spans="4:5">
      <c r="D48" s="194">
        <v>1.1741104034208547</v>
      </c>
      <c r="E48">
        <f t="shared" si="1"/>
        <v>0.35239468576986227</v>
      </c>
    </row>
    <row r="49" spans="4:5">
      <c r="D49" s="194">
        <v>1.1779866831275285</v>
      </c>
      <c r="E49">
        <f t="shared" si="1"/>
        <v>0.36903561504868804</v>
      </c>
    </row>
    <row r="50" spans="4:5">
      <c r="D50" s="194">
        <v>1.1797748167773534</v>
      </c>
      <c r="E50">
        <f t="shared" si="1"/>
        <v>0.37690387940288311</v>
      </c>
    </row>
    <row r="51" spans="4:5">
      <c r="D51" s="194">
        <v>1.1817719142927672</v>
      </c>
      <c r="E51">
        <f t="shared" si="1"/>
        <v>0.38583596618117627</v>
      </c>
    </row>
    <row r="52" spans="4:5">
      <c r="D52" s="194">
        <v>1.1831600313998933</v>
      </c>
      <c r="E52">
        <f t="shared" si="1"/>
        <v>0.3921345573385614</v>
      </c>
    </row>
    <row r="53" spans="4:5">
      <c r="D53" s="194">
        <v>1.1834824327925162</v>
      </c>
      <c r="E53">
        <f t="shared" si="1"/>
        <v>0.39360807904224204</v>
      </c>
    </row>
    <row r="54" spans="4:5">
      <c r="D54" s="194">
        <v>1.1834824327925162</v>
      </c>
      <c r="E54">
        <f t="shared" si="1"/>
        <v>0.39360807904224204</v>
      </c>
    </row>
    <row r="55" spans="4:5">
      <c r="D55" s="194">
        <v>1.1869586959564913</v>
      </c>
      <c r="E55">
        <f t="shared" si="1"/>
        <v>0.40975179446334492</v>
      </c>
    </row>
    <row r="56" spans="4:5">
      <c r="D56" s="194">
        <v>1.1878826147622021</v>
      </c>
      <c r="E56">
        <f t="shared" si="1"/>
        <v>0.41412148159443701</v>
      </c>
    </row>
    <row r="57" spans="4:5">
      <c r="D57" s="194">
        <v>1.1894767105368373</v>
      </c>
      <c r="E57">
        <f t="shared" si="1"/>
        <v>0.42173919526353154</v>
      </c>
    </row>
    <row r="58" spans="4:5">
      <c r="D58" s="194">
        <v>1.1904483925118257</v>
      </c>
      <c r="E58">
        <f t="shared" si="1"/>
        <v>0.42643141558622644</v>
      </c>
    </row>
    <row r="59" spans="4:5">
      <c r="D59" s="194">
        <v>1.1940903341692319</v>
      </c>
      <c r="E59">
        <f t="shared" si="1"/>
        <v>0.44434888721889276</v>
      </c>
    </row>
    <row r="60" spans="4:5">
      <c r="D60" s="194">
        <v>1.1950829125307791</v>
      </c>
      <c r="E60">
        <f t="shared" si="1"/>
        <v>0.44932300291809796</v>
      </c>
    </row>
    <row r="61" spans="4:5">
      <c r="D61" s="194">
        <v>1.1973113628973806</v>
      </c>
      <c r="E61">
        <f t="shared" si="1"/>
        <v>0.46063284755990508</v>
      </c>
    </row>
    <row r="62" spans="4:5">
      <c r="D62" s="194">
        <v>1.1979972121562241</v>
      </c>
      <c r="E62">
        <f t="shared" si="1"/>
        <v>0.46415341165016299</v>
      </c>
    </row>
    <row r="63" spans="4:5">
      <c r="D63" s="194">
        <v>1.1982696114810096</v>
      </c>
      <c r="E63">
        <f t="shared" si="1"/>
        <v>0.46555687522600014</v>
      </c>
    </row>
    <row r="64" spans="4:5">
      <c r="D64" s="194">
        <v>1.1998219144825271</v>
      </c>
      <c r="E64">
        <f t="shared" si="1"/>
        <v>0.47361117144957188</v>
      </c>
    </row>
    <row r="65" spans="4:5">
      <c r="D65" s="194">
        <v>1.20108316067126</v>
      </c>
      <c r="E65">
        <f t="shared" si="1"/>
        <v>0.48022614108178263</v>
      </c>
    </row>
    <row r="66" spans="4:5">
      <c r="D66" s="194">
        <v>1.20108316067126</v>
      </c>
      <c r="E66">
        <f t="shared" si="1"/>
        <v>0.48022614108178263</v>
      </c>
    </row>
    <row r="67" spans="4:5">
      <c r="D67" s="194">
        <v>1.2019369273220946</v>
      </c>
      <c r="E67">
        <f t="shared" ref="E67:E130" si="3">_xlfn.NORM.DIST(D67,$B$2,$B$4,FALSE)</f>
        <v>0.48474007743596187</v>
      </c>
    </row>
    <row r="68" spans="4:5">
      <c r="D68" s="194">
        <v>1.2032981776465022</v>
      </c>
      <c r="E68">
        <f t="shared" si="3"/>
        <v>0.49199750044470109</v>
      </c>
    </row>
    <row r="69" spans="4:5">
      <c r="D69" s="194">
        <v>1.2045758424246742</v>
      </c>
      <c r="E69">
        <f t="shared" si="3"/>
        <v>0.49887688840613426</v>
      </c>
    </row>
    <row r="70" spans="4:5">
      <c r="D70" s="194">
        <v>1.2052713935772772</v>
      </c>
      <c r="E70">
        <f t="shared" si="3"/>
        <v>0.50264951980614614</v>
      </c>
    </row>
    <row r="71" spans="4:5">
      <c r="D71" s="194">
        <v>1.2098163576538354</v>
      </c>
      <c r="E71">
        <f t="shared" si="3"/>
        <v>0.52777990086578153</v>
      </c>
    </row>
    <row r="72" spans="4:5">
      <c r="D72" s="194">
        <v>1.2110074516876921</v>
      </c>
      <c r="E72">
        <f t="shared" si="3"/>
        <v>0.53450327292800293</v>
      </c>
    </row>
    <row r="73" spans="4:5">
      <c r="D73" s="194">
        <v>1.2123007887557833</v>
      </c>
      <c r="E73">
        <f t="shared" si="3"/>
        <v>0.54186847997377119</v>
      </c>
    </row>
    <row r="74" spans="4:5">
      <c r="D74" s="194">
        <v>1.2149479131530825</v>
      </c>
      <c r="E74">
        <f t="shared" si="3"/>
        <v>0.55715320081783715</v>
      </c>
    </row>
    <row r="75" spans="4:5">
      <c r="D75" s="194">
        <v>1.2149479131530825</v>
      </c>
      <c r="E75">
        <f t="shared" si="3"/>
        <v>0.55715320081783715</v>
      </c>
    </row>
    <row r="76" spans="4:5">
      <c r="D76" s="194">
        <v>1.2152315069706674</v>
      </c>
      <c r="E76">
        <f t="shared" si="3"/>
        <v>0.55880743047738446</v>
      </c>
    </row>
    <row r="77" spans="4:5">
      <c r="D77" s="194">
        <v>1.2159636267997485</v>
      </c>
      <c r="E77">
        <f t="shared" si="3"/>
        <v>0.56309292326258076</v>
      </c>
    </row>
    <row r="78" spans="4:5">
      <c r="D78" s="194">
        <v>1.2176330988258997</v>
      </c>
      <c r="E78">
        <f t="shared" si="3"/>
        <v>0.57294592016781742</v>
      </c>
    </row>
    <row r="79" spans="4:5">
      <c r="D79" s="194">
        <v>1.2184570134959358</v>
      </c>
      <c r="E79">
        <f t="shared" si="3"/>
        <v>0.57784986668752292</v>
      </c>
    </row>
    <row r="80" spans="4:5">
      <c r="D80" s="194">
        <v>1.2189480785800697</v>
      </c>
      <c r="E80">
        <f t="shared" si="3"/>
        <v>0.58078566824336042</v>
      </c>
    </row>
    <row r="81" spans="4:5">
      <c r="D81" s="194">
        <v>1.2189480785800697</v>
      </c>
      <c r="E81">
        <f t="shared" si="3"/>
        <v>0.58078566824336042</v>
      </c>
    </row>
    <row r="82" spans="4:5">
      <c r="D82" s="194">
        <v>1.2191652517403782</v>
      </c>
      <c r="E82">
        <f t="shared" si="3"/>
        <v>0.58208711447384875</v>
      </c>
    </row>
    <row r="83" spans="4:5">
      <c r="D83" s="194">
        <v>1.2205660559393436</v>
      </c>
      <c r="E83">
        <f t="shared" si="3"/>
        <v>0.59052717670051202</v>
      </c>
    </row>
    <row r="84" spans="4:5">
      <c r="D84" s="194">
        <v>1.2206197895047808</v>
      </c>
      <c r="E84">
        <f t="shared" si="3"/>
        <v>0.59085249839238929</v>
      </c>
    </row>
    <row r="85" spans="4:5">
      <c r="D85" s="194">
        <v>1.2214713172570555</v>
      </c>
      <c r="E85">
        <f t="shared" si="3"/>
        <v>0.596023403614936</v>
      </c>
    </row>
    <row r="86" spans="4:5">
      <c r="D86" s="194">
        <v>1.2220526845831046</v>
      </c>
      <c r="E86">
        <f t="shared" si="3"/>
        <v>0.59957045742191428</v>
      </c>
    </row>
    <row r="87" spans="4:5">
      <c r="D87" s="194">
        <v>1.2233087066751978</v>
      </c>
      <c r="E87">
        <f t="shared" si="3"/>
        <v>0.60727994790961859</v>
      </c>
    </row>
    <row r="88" spans="4:5">
      <c r="D88" s="194">
        <v>1.2234124423084722</v>
      </c>
      <c r="E88">
        <f t="shared" si="3"/>
        <v>0.60791950197132394</v>
      </c>
    </row>
    <row r="89" spans="4:5">
      <c r="D89" s="194">
        <v>1.2250610179480645</v>
      </c>
      <c r="E89">
        <f t="shared" si="3"/>
        <v>0.61814107973883603</v>
      </c>
    </row>
    <row r="90" spans="4:5">
      <c r="D90" s="194">
        <v>1.225672237254912</v>
      </c>
      <c r="E90">
        <f t="shared" si="3"/>
        <v>0.6219583621600846</v>
      </c>
    </row>
    <row r="91" spans="4:5">
      <c r="D91" s="194">
        <v>1.2259259790916985</v>
      </c>
      <c r="E91">
        <f t="shared" si="3"/>
        <v>0.62354744586946576</v>
      </c>
    </row>
    <row r="92" spans="4:5">
      <c r="D92" s="194">
        <v>1.2264304775671917</v>
      </c>
      <c r="E92">
        <f t="shared" si="3"/>
        <v>0.62671453874634686</v>
      </c>
    </row>
    <row r="93" spans="4:5">
      <c r="D93" s="194">
        <v>1.2271334917149943</v>
      </c>
      <c r="E93">
        <f t="shared" si="3"/>
        <v>0.6311447520199549</v>
      </c>
    </row>
    <row r="94" spans="4:5">
      <c r="D94" s="194">
        <v>1.2276820218621651</v>
      </c>
      <c r="E94">
        <f t="shared" si="3"/>
        <v>0.63461509825028561</v>
      </c>
    </row>
    <row r="95" spans="4:5">
      <c r="D95" s="194">
        <v>1.2277320239300025</v>
      </c>
      <c r="E95">
        <f t="shared" si="3"/>
        <v>0.63493203738302229</v>
      </c>
    </row>
    <row r="96" spans="4:5">
      <c r="D96" s="194">
        <v>1.2281290552746214</v>
      </c>
      <c r="E96">
        <f t="shared" si="3"/>
        <v>0.6374521530658469</v>
      </c>
    </row>
    <row r="97" spans="4:5">
      <c r="D97" s="194">
        <v>1.2282768225795735</v>
      </c>
      <c r="E97">
        <f t="shared" si="3"/>
        <v>0.63839168882011876</v>
      </c>
    </row>
    <row r="98" spans="4:5">
      <c r="D98" s="194">
        <v>1.2286223592573151</v>
      </c>
      <c r="E98">
        <f t="shared" si="3"/>
        <v>0.64059206556772996</v>
      </c>
    </row>
    <row r="99" spans="4:5">
      <c r="D99" s="194">
        <v>1.2296515062953404</v>
      </c>
      <c r="E99">
        <f t="shared" si="3"/>
        <v>0.64717370933338292</v>
      </c>
    </row>
    <row r="100" spans="4:5">
      <c r="D100" s="194">
        <v>1.2297492715324552</v>
      </c>
      <c r="E100">
        <f t="shared" si="3"/>
        <v>0.64780112286362612</v>
      </c>
    </row>
    <row r="101" spans="4:5">
      <c r="D101" s="194">
        <v>1.2301866030511519</v>
      </c>
      <c r="E101">
        <f t="shared" si="3"/>
        <v>0.65061234878696794</v>
      </c>
    </row>
    <row r="102" spans="4:5">
      <c r="D102" s="194">
        <v>1.2302351125199493</v>
      </c>
      <c r="E102">
        <f t="shared" si="3"/>
        <v>0.65092464008212914</v>
      </c>
    </row>
    <row r="103" spans="4:5">
      <c r="D103" s="194">
        <v>1.2313441136066103</v>
      </c>
      <c r="E103">
        <f t="shared" si="3"/>
        <v>0.65808944554397386</v>
      </c>
    </row>
    <row r="104" spans="4:5">
      <c r="D104" s="194">
        <v>1.2316792020910725</v>
      </c>
      <c r="E104">
        <f t="shared" si="3"/>
        <v>0.66026385967142986</v>
      </c>
    </row>
    <row r="105" spans="4:5">
      <c r="D105" s="194">
        <v>1.2322031043540846</v>
      </c>
      <c r="E105">
        <f t="shared" si="3"/>
        <v>0.66367236227603155</v>
      </c>
    </row>
    <row r="106" spans="4:5">
      <c r="D106" s="194">
        <v>1.2326299876795019</v>
      </c>
      <c r="E106">
        <f t="shared" si="3"/>
        <v>0.66645764467904978</v>
      </c>
    </row>
    <row r="107" spans="4:5">
      <c r="D107" s="194">
        <v>1.2326777508487794</v>
      </c>
      <c r="E107">
        <f t="shared" si="3"/>
        <v>0.66676973025320596</v>
      </c>
    </row>
    <row r="108" spans="4:5">
      <c r="D108" s="194">
        <v>1.2326777508487794</v>
      </c>
      <c r="E108">
        <f t="shared" si="3"/>
        <v>0.66676973025320596</v>
      </c>
    </row>
    <row r="109" spans="4:5">
      <c r="D109" s="194">
        <v>1.2331494121453943</v>
      </c>
      <c r="E109">
        <f t="shared" si="3"/>
        <v>0.66985638669053016</v>
      </c>
    </row>
    <row r="110" spans="4:5">
      <c r="D110" s="194">
        <v>1.2341800517824595</v>
      </c>
      <c r="E110">
        <f t="shared" si="3"/>
        <v>0.67663148820243124</v>
      </c>
    </row>
    <row r="111" spans="4:5">
      <c r="D111" s="194">
        <v>1.2342733392224545</v>
      </c>
      <c r="E111">
        <f t="shared" si="3"/>
        <v>0.67724678395427562</v>
      </c>
    </row>
    <row r="112" spans="4:5">
      <c r="D112" s="194">
        <v>1.2349233661043399</v>
      </c>
      <c r="E112">
        <f t="shared" si="3"/>
        <v>0.68154361204209424</v>
      </c>
    </row>
    <row r="113" spans="4:5">
      <c r="D113" s="194">
        <v>1.235844299711971</v>
      </c>
      <c r="E113">
        <f t="shared" si="3"/>
        <v>0.68765943911548622</v>
      </c>
    </row>
    <row r="114" spans="4:5">
      <c r="D114" s="194">
        <v>1.2363017813177066</v>
      </c>
      <c r="E114">
        <f t="shared" si="3"/>
        <v>0.69070981413135268</v>
      </c>
    </row>
    <row r="115" spans="4:5">
      <c r="D115" s="194">
        <v>1.2364391004293793</v>
      </c>
      <c r="E115">
        <f t="shared" si="3"/>
        <v>0.69162701313636843</v>
      </c>
    </row>
    <row r="116" spans="4:5">
      <c r="D116" s="194">
        <v>1.2404183694698077</v>
      </c>
      <c r="E116">
        <f t="shared" si="3"/>
        <v>0.71852294578603393</v>
      </c>
    </row>
    <row r="117" spans="4:5">
      <c r="D117" s="194">
        <v>1.2404183694698077</v>
      </c>
      <c r="E117">
        <f t="shared" si="3"/>
        <v>0.71852294578603393</v>
      </c>
    </row>
    <row r="118" spans="4:5">
      <c r="D118" s="194">
        <v>1.2404616548419654</v>
      </c>
      <c r="E118">
        <f t="shared" si="3"/>
        <v>0.71881886686338603</v>
      </c>
    </row>
    <row r="119" spans="4:5">
      <c r="D119" s="194">
        <v>1.2405937498569983</v>
      </c>
      <c r="E119">
        <f t="shared" si="3"/>
        <v>0.71972238050131654</v>
      </c>
    </row>
    <row r="120" spans="4:5">
      <c r="D120" s="194">
        <v>1.242028137534362</v>
      </c>
      <c r="E120">
        <f t="shared" si="3"/>
        <v>0.72957640522988176</v>
      </c>
    </row>
    <row r="121" spans="4:5">
      <c r="D121" s="194">
        <v>1.2422012790229928</v>
      </c>
      <c r="E121">
        <f t="shared" si="3"/>
        <v>0.73077117408576553</v>
      </c>
    </row>
    <row r="122" spans="4:5">
      <c r="D122" s="194">
        <v>1.2425878621743323</v>
      </c>
      <c r="E122">
        <f t="shared" si="3"/>
        <v>0.73344292431800007</v>
      </c>
    </row>
    <row r="123" spans="4:5">
      <c r="D123" s="194">
        <v>1.2428460818082385</v>
      </c>
      <c r="E123">
        <f t="shared" si="3"/>
        <v>0.73523069628017679</v>
      </c>
    </row>
    <row r="124" spans="4:5">
      <c r="D124" s="194">
        <v>1.2430169843983094</v>
      </c>
      <c r="E124">
        <f t="shared" si="3"/>
        <v>0.73641532586760194</v>
      </c>
    </row>
    <row r="125" spans="4:5">
      <c r="D125" s="194">
        <v>1.2445036130420704</v>
      </c>
      <c r="E125">
        <f t="shared" si="3"/>
        <v>0.74676673852523678</v>
      </c>
    </row>
    <row r="126" spans="4:5">
      <c r="D126" s="194">
        <v>1.2467156448192327</v>
      </c>
      <c r="E126">
        <f t="shared" si="3"/>
        <v>0.76232328623165679</v>
      </c>
    </row>
    <row r="127" spans="4:5">
      <c r="D127" s="194">
        <v>1.2467984840659483</v>
      </c>
      <c r="E127">
        <f t="shared" si="3"/>
        <v>0.76290943076507844</v>
      </c>
    </row>
    <row r="128" spans="4:5">
      <c r="D128" s="194">
        <v>1.2471693949273686</v>
      </c>
      <c r="E128">
        <f t="shared" si="3"/>
        <v>0.76553701932630513</v>
      </c>
    </row>
    <row r="129" spans="4:5">
      <c r="D129" s="194">
        <v>1.2483963113381833</v>
      </c>
      <c r="E129">
        <f t="shared" si="3"/>
        <v>0.77426515135764418</v>
      </c>
    </row>
    <row r="130" spans="4:5">
      <c r="D130" s="194">
        <v>1.248477657985859</v>
      </c>
      <c r="E130">
        <f t="shared" si="3"/>
        <v>0.77484581574626921</v>
      </c>
    </row>
    <row r="131" spans="4:5">
      <c r="D131" s="194">
        <v>1.2486806514552882</v>
      </c>
      <c r="E131">
        <f t="shared" ref="E131:E194" si="4">_xlfn.NORM.DIST(D131,$B$2,$B$4,FALSE)</f>
        <v>0.77629588120969173</v>
      </c>
    </row>
    <row r="132" spans="4:5">
      <c r="D132" s="194">
        <v>1.2489231987992753</v>
      </c>
      <c r="E132">
        <f t="shared" si="4"/>
        <v>0.77803049412262792</v>
      </c>
    </row>
    <row r="133" spans="4:5">
      <c r="D133" s="194">
        <v>1.2500508573739353</v>
      </c>
      <c r="E133">
        <f t="shared" si="4"/>
        <v>0.78612359858662528</v>
      </c>
    </row>
    <row r="134" spans="4:5">
      <c r="D134" s="194">
        <v>1.250450127617114</v>
      </c>
      <c r="E134">
        <f t="shared" si="4"/>
        <v>0.78900033096497846</v>
      </c>
    </row>
    <row r="135" spans="4:5">
      <c r="D135" s="194">
        <v>1.2517979445501624</v>
      </c>
      <c r="E135">
        <f t="shared" si="4"/>
        <v>0.79875437461241339</v>
      </c>
    </row>
    <row r="136" spans="4:5">
      <c r="D136" s="194">
        <v>1.2533629346435191</v>
      </c>
      <c r="E136">
        <f t="shared" si="4"/>
        <v>0.81016291375118288</v>
      </c>
    </row>
    <row r="137" spans="4:5">
      <c r="D137" s="194">
        <v>1.2544062613724236</v>
      </c>
      <c r="E137">
        <f t="shared" si="4"/>
        <v>0.81781767244655057</v>
      </c>
    </row>
    <row r="138" spans="4:5">
      <c r="D138" s="194">
        <v>1.2554018249320507</v>
      </c>
      <c r="E138">
        <f t="shared" si="4"/>
        <v>0.82515832850714066</v>
      </c>
    </row>
    <row r="139" spans="4:5">
      <c r="D139" s="194">
        <v>1.2562749953704042</v>
      </c>
      <c r="E139">
        <f t="shared" si="4"/>
        <v>0.83162555960382112</v>
      </c>
    </row>
    <row r="140" spans="4:5">
      <c r="D140" s="194">
        <v>1.2564638091489542</v>
      </c>
      <c r="E140">
        <f t="shared" si="4"/>
        <v>0.83302758003123911</v>
      </c>
    </row>
    <row r="141" spans="4:5">
      <c r="D141" s="194">
        <v>1.2572914553165901</v>
      </c>
      <c r="E141">
        <f t="shared" si="4"/>
        <v>0.8391880300772373</v>
      </c>
    </row>
    <row r="142" spans="4:5">
      <c r="D142" s="194">
        <v>1.2590392887923372</v>
      </c>
      <c r="E142">
        <f t="shared" si="4"/>
        <v>0.85227662312560937</v>
      </c>
    </row>
    <row r="143" spans="4:5">
      <c r="D143" s="194">
        <v>1.2607595091858457</v>
      </c>
      <c r="E143">
        <f t="shared" si="4"/>
        <v>0.86526191214088444</v>
      </c>
    </row>
    <row r="144" spans="4:5">
      <c r="D144" s="194">
        <v>1.2611946018059825</v>
      </c>
      <c r="E144">
        <f t="shared" si="4"/>
        <v>0.86856237005917014</v>
      </c>
    </row>
    <row r="145" spans="4:5">
      <c r="D145" s="194">
        <v>1.2614475973432491</v>
      </c>
      <c r="E145">
        <f t="shared" si="4"/>
        <v>0.87048447644181781</v>
      </c>
    </row>
    <row r="146" spans="4:5">
      <c r="D146" s="194">
        <v>1.261844628687868</v>
      </c>
      <c r="E146">
        <f t="shared" si="4"/>
        <v>0.87350527327131289</v>
      </c>
    </row>
    <row r="147" spans="4:5">
      <c r="D147" s="194">
        <v>1.2625618225265498</v>
      </c>
      <c r="E147">
        <f t="shared" si="4"/>
        <v>0.87897556956955436</v>
      </c>
    </row>
    <row r="148" spans="4:5">
      <c r="D148" s="194">
        <v>1.2628476552426946</v>
      </c>
      <c r="E148">
        <f t="shared" si="4"/>
        <v>0.8811605642421988</v>
      </c>
    </row>
    <row r="149" spans="4:5">
      <c r="D149" s="194">
        <v>1.26331036094507</v>
      </c>
      <c r="E149">
        <f t="shared" si="4"/>
        <v>0.8847034617006525</v>
      </c>
    </row>
    <row r="150" spans="4:5">
      <c r="D150" s="194">
        <v>1.2635939547626549</v>
      </c>
      <c r="E150">
        <f t="shared" si="4"/>
        <v>0.88687846765642664</v>
      </c>
    </row>
    <row r="151" spans="4:5">
      <c r="D151" s="194">
        <v>1.2640185991895123</v>
      </c>
      <c r="E151">
        <f t="shared" si="4"/>
        <v>0.89014028485911401</v>
      </c>
    </row>
    <row r="152" spans="4:5">
      <c r="D152" s="194">
        <v>1.2644410047178098</v>
      </c>
      <c r="E152">
        <f t="shared" si="4"/>
        <v>0.89339087191997812</v>
      </c>
    </row>
    <row r="153" spans="4:5">
      <c r="D153" s="194">
        <v>1.264757435714273</v>
      </c>
      <c r="E153">
        <f t="shared" si="4"/>
        <v>0.89582982704278202</v>
      </c>
    </row>
    <row r="154" spans="4:5">
      <c r="D154" s="194">
        <v>1.2656306061526266</v>
      </c>
      <c r="E154">
        <f t="shared" si="4"/>
        <v>0.90257714954055634</v>
      </c>
    </row>
    <row r="155" spans="4:5">
      <c r="D155" s="194">
        <v>1.2657697910130992</v>
      </c>
      <c r="E155">
        <f t="shared" si="4"/>
        <v>0.90365500666558551</v>
      </c>
    </row>
    <row r="156" spans="4:5">
      <c r="D156" s="194">
        <v>1.2660127115068462</v>
      </c>
      <c r="E156">
        <f t="shared" si="4"/>
        <v>0.90553772386645304</v>
      </c>
    </row>
    <row r="157" spans="4:5">
      <c r="D157" s="194">
        <v>1.2660477875842844</v>
      </c>
      <c r="E157">
        <f t="shared" si="4"/>
        <v>0.90580973542591803</v>
      </c>
    </row>
    <row r="158" spans="4:5">
      <c r="D158" s="194">
        <v>1.2666702013839313</v>
      </c>
      <c r="E158">
        <f t="shared" si="4"/>
        <v>0.9106431871120092</v>
      </c>
    </row>
    <row r="159" spans="4:5">
      <c r="D159" s="194">
        <v>1.2667388609397676</v>
      </c>
      <c r="E159">
        <f t="shared" si="4"/>
        <v>0.91117714799371785</v>
      </c>
    </row>
    <row r="160" spans="4:5">
      <c r="D160" s="194">
        <v>1.2669455859067966</v>
      </c>
      <c r="E160">
        <f t="shared" si="4"/>
        <v>0.91278576109616438</v>
      </c>
    </row>
    <row r="161" spans="4:5">
      <c r="D161" s="194">
        <v>1.2690598524468442</v>
      </c>
      <c r="E161">
        <f t="shared" si="4"/>
        <v>0.9293170230943395</v>
      </c>
    </row>
    <row r="162" spans="4:5">
      <c r="D162" s="194">
        <v>1.2693300128730698</v>
      </c>
      <c r="E162">
        <f t="shared" si="4"/>
        <v>0.93143970423221711</v>
      </c>
    </row>
    <row r="163" spans="4:5">
      <c r="D163" s="194">
        <v>1.2694983034148208</v>
      </c>
      <c r="E163">
        <f t="shared" si="4"/>
        <v>0.93276315452764125</v>
      </c>
    </row>
    <row r="164" spans="4:5">
      <c r="D164" s="194">
        <v>1.2701024328762287</v>
      </c>
      <c r="E164">
        <f t="shared" si="4"/>
        <v>0.93752146577698869</v>
      </c>
    </row>
    <row r="165" spans="4:5">
      <c r="D165" s="194">
        <v>1.2702703502682198</v>
      </c>
      <c r="E165">
        <f t="shared" si="4"/>
        <v>0.93884608154792948</v>
      </c>
    </row>
    <row r="166" spans="4:5">
      <c r="D166" s="194">
        <v>1.2712360618470484</v>
      </c>
      <c r="E166">
        <f t="shared" si="4"/>
        <v>0.94648127179858133</v>
      </c>
    </row>
    <row r="167" spans="4:5">
      <c r="D167" s="194">
        <v>1.2713353196832031</v>
      </c>
      <c r="E167">
        <f t="shared" si="4"/>
        <v>0.94726768405339346</v>
      </c>
    </row>
    <row r="168" spans="4:5">
      <c r="D168" s="194">
        <v>1.2714017403404796</v>
      </c>
      <c r="E168">
        <f t="shared" si="4"/>
        <v>0.94779410110753071</v>
      </c>
    </row>
    <row r="169" spans="4:5">
      <c r="D169" s="194">
        <v>1.2714681609977561</v>
      </c>
      <c r="E169">
        <f t="shared" si="4"/>
        <v>0.94832065536585408</v>
      </c>
    </row>
    <row r="170" spans="4:5">
      <c r="D170" s="194">
        <v>1.2718972832217332</v>
      </c>
      <c r="E170">
        <f t="shared" si="4"/>
        <v>0.95172585098518225</v>
      </c>
    </row>
    <row r="171" spans="4:5">
      <c r="D171" s="194">
        <v>1.2734701094600496</v>
      </c>
      <c r="E171">
        <f t="shared" si="4"/>
        <v>0.96425513768081139</v>
      </c>
    </row>
    <row r="172" spans="4:5">
      <c r="D172" s="194">
        <v>1.2744750017636761</v>
      </c>
      <c r="E172">
        <f t="shared" si="4"/>
        <v>0.97229967229195213</v>
      </c>
    </row>
    <row r="173" spans="4:5">
      <c r="D173" s="194">
        <v>1.2751507759790002</v>
      </c>
      <c r="E173">
        <f t="shared" si="4"/>
        <v>0.97772658724445172</v>
      </c>
    </row>
    <row r="174" spans="4:5">
      <c r="D174" s="194">
        <v>1.2759825267939959</v>
      </c>
      <c r="E174">
        <f t="shared" si="4"/>
        <v>0.98442478445201054</v>
      </c>
    </row>
    <row r="175" spans="4:5">
      <c r="D175" s="194">
        <v>1.2766497185648404</v>
      </c>
      <c r="E175">
        <f t="shared" si="4"/>
        <v>0.98981254217952264</v>
      </c>
    </row>
    <row r="176" spans="4:5">
      <c r="D176" s="194">
        <v>1.2766497185648404</v>
      </c>
      <c r="E176">
        <f t="shared" si="4"/>
        <v>0.98981254217952264</v>
      </c>
    </row>
    <row r="177" spans="4:5">
      <c r="D177" s="194">
        <v>1.2766497185648404</v>
      </c>
      <c r="E177">
        <f t="shared" si="4"/>
        <v>0.98981254217952264</v>
      </c>
    </row>
    <row r="178" spans="4:5">
      <c r="D178" s="194">
        <v>1.2770609296003386</v>
      </c>
      <c r="E178">
        <f t="shared" si="4"/>
        <v>0.99313968603632474</v>
      </c>
    </row>
    <row r="179" spans="4:5">
      <c r="D179" s="194">
        <v>1.2774393034569584</v>
      </c>
      <c r="E179">
        <f t="shared" si="4"/>
        <v>0.99620549515502121</v>
      </c>
    </row>
    <row r="180" spans="4:5">
      <c r="D180" s="194">
        <v>1.2778169310140584</v>
      </c>
      <c r="E180">
        <f t="shared" si="4"/>
        <v>0.99926939735486986</v>
      </c>
    </row>
    <row r="181" spans="4:5">
      <c r="D181" s="194">
        <v>1.2781303768124417</v>
      </c>
      <c r="E181">
        <f t="shared" si="4"/>
        <v>1.0018156843783101</v>
      </c>
    </row>
    <row r="182" spans="4:5">
      <c r="D182" s="194">
        <v>1.2781930659721183</v>
      </c>
      <c r="E182">
        <f t="shared" si="4"/>
        <v>1.0023252810911483</v>
      </c>
    </row>
    <row r="183" spans="4:5">
      <c r="D183" s="194">
        <v>1.2783803871516284</v>
      </c>
      <c r="E183">
        <f t="shared" si="4"/>
        <v>1.0038486768851573</v>
      </c>
    </row>
    <row r="184" spans="4:5">
      <c r="D184" s="194">
        <v>1.2792214667106236</v>
      </c>
      <c r="E184">
        <f t="shared" si="4"/>
        <v>1.0107011428176207</v>
      </c>
    </row>
    <row r="185" spans="4:5">
      <c r="D185" s="194">
        <v>1.2793763238610154</v>
      </c>
      <c r="E185">
        <f t="shared" si="4"/>
        <v>1.0119649912719955</v>
      </c>
    </row>
    <row r="186" spans="4:5">
      <c r="D186" s="194">
        <v>1.2799946330133025</v>
      </c>
      <c r="E186">
        <f t="shared" si="4"/>
        <v>1.0170179951900902</v>
      </c>
    </row>
    <row r="187" spans="4:5">
      <c r="D187" s="194">
        <v>1.2810693043220454</v>
      </c>
      <c r="E187">
        <f t="shared" si="4"/>
        <v>1.0258259863823245</v>
      </c>
    </row>
    <row r="188" spans="4:5">
      <c r="D188" s="194">
        <v>1.2813133442650724</v>
      </c>
      <c r="E188">
        <f t="shared" si="4"/>
        <v>1.0278305981398461</v>
      </c>
    </row>
    <row r="189" spans="4:5">
      <c r="D189" s="194">
        <v>1.2817394812909697</v>
      </c>
      <c r="E189">
        <f t="shared" si="4"/>
        <v>1.0313349347965286</v>
      </c>
    </row>
    <row r="190" spans="4:5">
      <c r="D190" s="194">
        <v>1.2819521766541584</v>
      </c>
      <c r="E190">
        <f t="shared" si="4"/>
        <v>1.0330858960302931</v>
      </c>
    </row>
    <row r="191" spans="4:5">
      <c r="D191" s="194">
        <v>1.2821644988675871</v>
      </c>
      <c r="E191">
        <f t="shared" si="4"/>
        <v>1.0348350166622413</v>
      </c>
    </row>
    <row r="192" spans="4:5">
      <c r="D192" s="194">
        <v>1.2825574255648462</v>
      </c>
      <c r="E192">
        <f t="shared" si="4"/>
        <v>1.0380751977742804</v>
      </c>
    </row>
    <row r="193" spans="4:5">
      <c r="D193" s="194">
        <v>1.2830399082045005</v>
      </c>
      <c r="E193">
        <f t="shared" si="4"/>
        <v>1.0420595914594166</v>
      </c>
    </row>
    <row r="194" spans="4:5">
      <c r="D194" s="194">
        <v>1.2834902999647966</v>
      </c>
      <c r="E194">
        <f t="shared" si="4"/>
        <v>1.0457846179962742</v>
      </c>
    </row>
    <row r="195" spans="4:5">
      <c r="D195" s="194">
        <v>1.2836403061683086</v>
      </c>
      <c r="E195">
        <f t="shared" ref="E195:E258" si="5">_xlfn.NORM.DIST(D195,$B$2,$B$4,FALSE)</f>
        <v>1.0470264678168357</v>
      </c>
    </row>
    <row r="196" spans="4:5">
      <c r="D196" s="194">
        <v>1.2837000101299054</v>
      </c>
      <c r="E196">
        <f t="shared" si="5"/>
        <v>1.0475209030915342</v>
      </c>
    </row>
    <row r="197" spans="4:5">
      <c r="D197" s="194">
        <v>1.28417764182268</v>
      </c>
      <c r="E197">
        <f t="shared" si="5"/>
        <v>1.0514797902147131</v>
      </c>
    </row>
    <row r="198" spans="4:5">
      <c r="D198" s="194">
        <v>1.2844160845193073</v>
      </c>
      <c r="E198">
        <f t="shared" si="5"/>
        <v>1.0534583971441143</v>
      </c>
    </row>
    <row r="199" spans="4:5">
      <c r="D199" s="194">
        <v>1.2846836328972131</v>
      </c>
      <c r="E199">
        <f t="shared" si="5"/>
        <v>1.0556803040260909</v>
      </c>
    </row>
    <row r="200" spans="4:5">
      <c r="D200" s="194">
        <v>1.2853646312091769</v>
      </c>
      <c r="E200">
        <f t="shared" si="5"/>
        <v>1.0613442254797631</v>
      </c>
    </row>
    <row r="201" spans="4:5">
      <c r="D201" s="194">
        <v>1.2854235888712537</v>
      </c>
      <c r="E201">
        <f t="shared" si="5"/>
        <v>1.0618351484218904</v>
      </c>
    </row>
    <row r="202" spans="4:5">
      <c r="D202" s="194">
        <v>1.2854825465333306</v>
      </c>
      <c r="E202">
        <f t="shared" si="5"/>
        <v>1.0623261613349724</v>
      </c>
    </row>
    <row r="203" spans="4:5">
      <c r="D203" s="194">
        <v>1.2855709830264459</v>
      </c>
      <c r="E203">
        <f t="shared" si="5"/>
        <v>1.0630628492138143</v>
      </c>
    </row>
    <row r="204" spans="4:5">
      <c r="D204" s="194">
        <v>1.2876759208224939</v>
      </c>
      <c r="E204">
        <f t="shared" si="5"/>
        <v>1.0806562224442682</v>
      </c>
    </row>
    <row r="205" spans="4:5">
      <c r="D205" s="194">
        <v>1.2876759208224939</v>
      </c>
      <c r="E205">
        <f t="shared" si="5"/>
        <v>1.0806562224442682</v>
      </c>
    </row>
    <row r="206" spans="4:5">
      <c r="D206" s="194">
        <v>1.2883121411632601</v>
      </c>
      <c r="E206">
        <f t="shared" si="5"/>
        <v>1.0859957660519597</v>
      </c>
    </row>
    <row r="207" spans="4:5">
      <c r="D207" s="194">
        <v>1.2896890637775869</v>
      </c>
      <c r="E207">
        <f t="shared" si="5"/>
        <v>1.0975857545336667</v>
      </c>
    </row>
    <row r="208" spans="4:5">
      <c r="D208" s="194">
        <v>1.2897177963091053</v>
      </c>
      <c r="E208">
        <f t="shared" si="5"/>
        <v>1.0978280950146899</v>
      </c>
    </row>
    <row r="209" spans="4:5">
      <c r="D209" s="194">
        <v>1.2908823967100034</v>
      </c>
      <c r="E209">
        <f t="shared" si="5"/>
        <v>1.1076673431572919</v>
      </c>
    </row>
    <row r="210" spans="4:5">
      <c r="D210" s="194">
        <v>1.2922324525416116</v>
      </c>
      <c r="E210">
        <f t="shared" si="5"/>
        <v>1.1191133149324641</v>
      </c>
    </row>
    <row r="211" spans="4:5">
      <c r="D211" s="194">
        <v>1.2924555960980797</v>
      </c>
      <c r="E211">
        <f t="shared" si="5"/>
        <v>1.1210092106813263</v>
      </c>
    </row>
    <row r="212" spans="4:5">
      <c r="D212" s="194">
        <v>1.2925395547940752</v>
      </c>
      <c r="E212">
        <f t="shared" si="5"/>
        <v>1.1217228437412416</v>
      </c>
    </row>
    <row r="213" spans="4:5">
      <c r="D213" s="194">
        <v>1.2926511265723093</v>
      </c>
      <c r="E213">
        <f t="shared" si="5"/>
        <v>1.1226714311434813</v>
      </c>
    </row>
    <row r="214" spans="4:5">
      <c r="D214" s="194">
        <v>1.2928462838967789</v>
      </c>
      <c r="E214">
        <f t="shared" si="5"/>
        <v>1.1243313456486785</v>
      </c>
    </row>
    <row r="215" spans="4:5">
      <c r="D215" s="194">
        <v>1.2936235548468176</v>
      </c>
      <c r="E215">
        <f t="shared" si="5"/>
        <v>1.1309509584125055</v>
      </c>
    </row>
    <row r="216" spans="4:5">
      <c r="D216" s="194">
        <v>1.2937896064900087</v>
      </c>
      <c r="E216">
        <f t="shared" si="5"/>
        <v>1.1323668857376048</v>
      </c>
    </row>
    <row r="217" spans="4:5">
      <c r="D217" s="194">
        <v>1.2939280450509614</v>
      </c>
      <c r="E217">
        <f t="shared" si="5"/>
        <v>1.1335478233691545</v>
      </c>
    </row>
    <row r="218" spans="4:5">
      <c r="D218" s="194">
        <v>1.2940933503946326</v>
      </c>
      <c r="E218">
        <f t="shared" si="5"/>
        <v>1.1349585011451022</v>
      </c>
    </row>
    <row r="219" spans="4:5">
      <c r="D219" s="194">
        <v>1.2943138819027808</v>
      </c>
      <c r="E219">
        <f t="shared" si="5"/>
        <v>1.1368414041762898</v>
      </c>
    </row>
    <row r="220" spans="4:5">
      <c r="D220" s="194">
        <v>1.29508257040834</v>
      </c>
      <c r="E220">
        <f t="shared" si="5"/>
        <v>1.1434127967337293</v>
      </c>
    </row>
    <row r="221" spans="4:5">
      <c r="D221" s="194">
        <v>1.2958467811167793</v>
      </c>
      <c r="E221">
        <f t="shared" si="5"/>
        <v>1.1499585538386237</v>
      </c>
    </row>
    <row r="222" spans="4:5">
      <c r="D222" s="194">
        <v>1.2961460472242834</v>
      </c>
      <c r="E222">
        <f t="shared" si="5"/>
        <v>1.1525252716095846</v>
      </c>
    </row>
    <row r="223" spans="4:5">
      <c r="D223" s="194">
        <v>1.2962818737369162</v>
      </c>
      <c r="E223">
        <f t="shared" si="5"/>
        <v>1.1536908394873413</v>
      </c>
    </row>
    <row r="224" spans="4:5">
      <c r="D224" s="194">
        <v>1.2965796472453803</v>
      </c>
      <c r="E224">
        <f t="shared" si="5"/>
        <v>1.1562474778802336</v>
      </c>
    </row>
    <row r="225" spans="4:5">
      <c r="D225" s="194">
        <v>1.2973625154418187</v>
      </c>
      <c r="E225">
        <f t="shared" si="5"/>
        <v>1.1629778614047592</v>
      </c>
    </row>
    <row r="226" spans="4:5">
      <c r="D226" s="194">
        <v>1.2977386503998787</v>
      </c>
      <c r="E226">
        <f t="shared" si="5"/>
        <v>1.1662160060521058</v>
      </c>
    </row>
    <row r="227" spans="4:5">
      <c r="D227" s="194">
        <v>1.2985677891665546</v>
      </c>
      <c r="E227">
        <f t="shared" si="5"/>
        <v>1.1733641690778505</v>
      </c>
    </row>
    <row r="228" spans="4:5">
      <c r="D228" s="194">
        <v>1.2986476432151903</v>
      </c>
      <c r="E228">
        <f t="shared" si="5"/>
        <v>1.1740533327185403</v>
      </c>
    </row>
    <row r="229" spans="4:5">
      <c r="D229" s="194">
        <v>1.2986476432151903</v>
      </c>
      <c r="E229">
        <f t="shared" si="5"/>
        <v>1.1740533327185403</v>
      </c>
    </row>
    <row r="230" spans="4:5">
      <c r="D230" s="194">
        <v>1.2988073513124618</v>
      </c>
      <c r="E230">
        <f t="shared" si="5"/>
        <v>1.1754320396730618</v>
      </c>
    </row>
    <row r="231" spans="4:5">
      <c r="D231" s="194">
        <v>1.2988872053610976</v>
      </c>
      <c r="E231">
        <f t="shared" si="5"/>
        <v>1.176121582482383</v>
      </c>
    </row>
    <row r="232" spans="4:5">
      <c r="D232" s="194">
        <v>1.2993652102036322</v>
      </c>
      <c r="E232">
        <f t="shared" si="5"/>
        <v>1.180251796174407</v>
      </c>
    </row>
    <row r="233" spans="4:5">
      <c r="D233" s="194">
        <v>1.2997092542823339</v>
      </c>
      <c r="E233">
        <f t="shared" si="5"/>
        <v>1.1832272794291379</v>
      </c>
    </row>
    <row r="234" spans="4:5">
      <c r="D234" s="194">
        <v>1.2999208301962426</v>
      </c>
      <c r="E234">
        <f t="shared" si="5"/>
        <v>1.1850582423758822</v>
      </c>
    </row>
    <row r="235" spans="4:5">
      <c r="D235" s="194">
        <v>1.2999734443123998</v>
      </c>
      <c r="E235">
        <f t="shared" si="5"/>
        <v>1.1855136950059169</v>
      </c>
    </row>
    <row r="236" spans="4:5">
      <c r="D236" s="194">
        <v>1.3003159957920616</v>
      </c>
      <c r="E236">
        <f t="shared" si="5"/>
        <v>1.1884802784742274</v>
      </c>
    </row>
    <row r="237" spans="4:5">
      <c r="D237" s="194">
        <v>1.3007365355715592</v>
      </c>
      <c r="E237">
        <f t="shared" si="5"/>
        <v>1.1921253113338248</v>
      </c>
    </row>
    <row r="238" spans="4:5">
      <c r="D238" s="194">
        <v>1.3015473899999961</v>
      </c>
      <c r="E238">
        <f t="shared" si="5"/>
        <v>1.1991627598910428</v>
      </c>
    </row>
    <row r="239" spans="4:5">
      <c r="D239" s="194">
        <v>1.3027418423816925</v>
      </c>
      <c r="E239">
        <f t="shared" si="5"/>
        <v>1.2095514333051707</v>
      </c>
    </row>
    <row r="240" spans="4:5">
      <c r="D240" s="194">
        <v>1.3046926693268688</v>
      </c>
      <c r="E240">
        <f t="shared" si="5"/>
        <v>1.2265727848870078</v>
      </c>
    </row>
    <row r="241" spans="4:5">
      <c r="D241" s="194">
        <v>1.3046926693268688</v>
      </c>
      <c r="E241">
        <f t="shared" si="5"/>
        <v>1.2265727848870078</v>
      </c>
    </row>
    <row r="242" spans="4:5">
      <c r="D242" s="194">
        <v>1.3048710349121393</v>
      </c>
      <c r="E242">
        <f t="shared" si="5"/>
        <v>1.2281323020811641</v>
      </c>
    </row>
    <row r="243" spans="4:5">
      <c r="D243" s="194">
        <v>1.3049217832794966</v>
      </c>
      <c r="E243">
        <f t="shared" si="5"/>
        <v>1.2285761111185394</v>
      </c>
    </row>
    <row r="244" spans="4:5">
      <c r="D244" s="194">
        <v>1.3051508972321244</v>
      </c>
      <c r="E244">
        <f t="shared" si="5"/>
        <v>1.2305803108952251</v>
      </c>
    </row>
    <row r="245" spans="4:5">
      <c r="D245" s="194">
        <v>1.3052016455994817</v>
      </c>
      <c r="E245">
        <f t="shared" si="5"/>
        <v>1.2310243554145428</v>
      </c>
    </row>
    <row r="246" spans="4:5">
      <c r="D246" s="194">
        <v>1.3057083829735348</v>
      </c>
      <c r="E246">
        <f t="shared" si="5"/>
        <v>1.2354605886220316</v>
      </c>
    </row>
    <row r="247" spans="4:5">
      <c r="D247" s="194">
        <v>1.3060875031296746</v>
      </c>
      <c r="E247">
        <f t="shared" si="5"/>
        <v>1.2387823244900062</v>
      </c>
    </row>
    <row r="248" spans="4:5">
      <c r="D248" s="194">
        <v>1.3062390019322265</v>
      </c>
      <c r="E248">
        <f t="shared" si="5"/>
        <v>1.2401103565468397</v>
      </c>
    </row>
    <row r="249" spans="4:5">
      <c r="D249" s="194">
        <v>1.3065408800880505</v>
      </c>
      <c r="E249">
        <f t="shared" si="5"/>
        <v>1.2427576963619755</v>
      </c>
    </row>
    <row r="250" spans="4:5">
      <c r="D250" s="194">
        <v>1.3075435334931171</v>
      </c>
      <c r="E250">
        <f t="shared" si="5"/>
        <v>1.2515607630381202</v>
      </c>
    </row>
    <row r="251" spans="4:5">
      <c r="D251" s="194">
        <v>1.3079920595046133</v>
      </c>
      <c r="E251">
        <f t="shared" si="5"/>
        <v>1.2555037075924234</v>
      </c>
    </row>
    <row r="252" spans="4:5">
      <c r="D252" s="194">
        <v>1.3080666894566093</v>
      </c>
      <c r="E252">
        <f t="shared" si="5"/>
        <v>1.2561600654312779</v>
      </c>
    </row>
    <row r="253" spans="4:5">
      <c r="D253" s="194">
        <v>1.3081166915244467</v>
      </c>
      <c r="E253">
        <f t="shared" si="5"/>
        <v>1.2565998717605529</v>
      </c>
    </row>
    <row r="254" spans="4:5">
      <c r="D254" s="194">
        <v>1.3097484754248399</v>
      </c>
      <c r="E254">
        <f t="shared" si="5"/>
        <v>1.2709727245852751</v>
      </c>
    </row>
    <row r="255" spans="4:5">
      <c r="D255" s="194">
        <v>1.3113130923684366</v>
      </c>
      <c r="E255">
        <f t="shared" si="5"/>
        <v>1.2847890365669314</v>
      </c>
    </row>
    <row r="256" spans="4:5">
      <c r="D256" s="194">
        <v>1.3117500507373734</v>
      </c>
      <c r="E256">
        <f t="shared" si="5"/>
        <v>1.288653423146541</v>
      </c>
    </row>
    <row r="257" spans="4:5">
      <c r="D257" s="194">
        <v>1.3118228149405695</v>
      </c>
      <c r="E257">
        <f t="shared" si="5"/>
        <v>1.2892971778165236</v>
      </c>
    </row>
    <row r="258" spans="4:5">
      <c r="D258" s="194">
        <v>1.3118713244093669</v>
      </c>
      <c r="E258">
        <f t="shared" si="5"/>
        <v>1.2897263853929228</v>
      </c>
    </row>
    <row r="259" spans="4:5">
      <c r="D259" s="194">
        <v>1.3119922249316005</v>
      </c>
      <c r="E259">
        <f t="shared" ref="E259:E322" si="6">_xlfn.NORM.DIST(D259,$B$2,$B$4,FALSE)</f>
        <v>1.2907962338572991</v>
      </c>
    </row>
    <row r="260" spans="4:5">
      <c r="D260" s="194">
        <v>1.3123064170295038</v>
      </c>
      <c r="E260">
        <f t="shared" si="6"/>
        <v>1.293577387929141</v>
      </c>
    </row>
    <row r="261" spans="4:5">
      <c r="D261" s="194">
        <v>1.3125235901898122</v>
      </c>
      <c r="E261">
        <f t="shared" si="6"/>
        <v>1.2955004796299177</v>
      </c>
    </row>
    <row r="262" spans="4:5">
      <c r="D262" s="194">
        <v>1.3127403902003607</v>
      </c>
      <c r="E262">
        <f t="shared" si="6"/>
        <v>1.2974208524976876</v>
      </c>
    </row>
    <row r="263" spans="4:5">
      <c r="D263" s="194">
        <v>1.3128605444230743</v>
      </c>
      <c r="E263">
        <f t="shared" si="6"/>
        <v>1.2984854053181276</v>
      </c>
    </row>
    <row r="264" spans="4:5">
      <c r="D264" s="194">
        <v>1.3131251076029002</v>
      </c>
      <c r="E264">
        <f t="shared" si="6"/>
        <v>1.3008300272581035</v>
      </c>
    </row>
    <row r="265" spans="4:5">
      <c r="D265" s="194">
        <v>1.3135087055561598</v>
      </c>
      <c r="E265">
        <f t="shared" si="6"/>
        <v>1.3042310650608862</v>
      </c>
    </row>
    <row r="266" spans="4:5">
      <c r="D266" s="194">
        <v>1.313580350310076</v>
      </c>
      <c r="E266">
        <f t="shared" si="6"/>
        <v>1.3048664730367807</v>
      </c>
    </row>
    <row r="267" spans="4:5">
      <c r="D267" s="194">
        <v>1.3141773899260443</v>
      </c>
      <c r="E267">
        <f t="shared" si="6"/>
        <v>1.3101638821029071</v>
      </c>
    </row>
    <row r="268" spans="4:5">
      <c r="D268" s="194">
        <v>1.3154352777669374</v>
      </c>
      <c r="E268">
        <f t="shared" si="6"/>
        <v>1.3213381165740636</v>
      </c>
    </row>
    <row r="269" spans="4:5">
      <c r="D269" s="194">
        <v>1.3160718712574635</v>
      </c>
      <c r="E269">
        <f t="shared" si="6"/>
        <v>1.326999746239385</v>
      </c>
    </row>
    <row r="270" spans="4:5">
      <c r="D270" s="194">
        <v>1.3161894134318572</v>
      </c>
      <c r="E270">
        <f t="shared" si="6"/>
        <v>1.3280455879415942</v>
      </c>
    </row>
    <row r="271" spans="4:5">
      <c r="D271" s="194">
        <v>1.3166588358299123</v>
      </c>
      <c r="E271">
        <f t="shared" si="6"/>
        <v>1.3322237254020315</v>
      </c>
    </row>
    <row r="272" spans="4:5">
      <c r="D272" s="194">
        <v>1.3167058526996698</v>
      </c>
      <c r="E272">
        <f t="shared" si="6"/>
        <v>1.332642326214452</v>
      </c>
    </row>
    <row r="273" spans="4:5">
      <c r="D273" s="194">
        <v>1.3177558961242539</v>
      </c>
      <c r="E273">
        <f t="shared" si="6"/>
        <v>1.3419967254058947</v>
      </c>
    </row>
    <row r="274" spans="4:5">
      <c r="D274" s="194">
        <v>1.3189372882643511</v>
      </c>
      <c r="E274">
        <f t="shared" si="6"/>
        <v>1.3525335809992725</v>
      </c>
    </row>
    <row r="275" spans="4:5">
      <c r="D275" s="194">
        <v>1.3189835588345886</v>
      </c>
      <c r="E275">
        <f t="shared" si="6"/>
        <v>1.3529465215839886</v>
      </c>
    </row>
    <row r="276" spans="4:5">
      <c r="D276" s="194">
        <v>1.3190529646899449</v>
      </c>
      <c r="E276">
        <f t="shared" si="6"/>
        <v>1.3535659671170863</v>
      </c>
    </row>
    <row r="277" spans="4:5">
      <c r="D277" s="194">
        <v>1.3193753660825678</v>
      </c>
      <c r="E277">
        <f t="shared" si="6"/>
        <v>1.3564439312017322</v>
      </c>
    </row>
    <row r="278" spans="4:5">
      <c r="D278" s="194">
        <v>1.3194902962086417</v>
      </c>
      <c r="E278">
        <f t="shared" si="6"/>
        <v>1.3574700842622804</v>
      </c>
    </row>
    <row r="279" spans="4:5">
      <c r="D279" s="194">
        <v>1.3201324869455675</v>
      </c>
      <c r="E279">
        <f t="shared" si="6"/>
        <v>1.3632058801857916</v>
      </c>
    </row>
    <row r="280" spans="4:5">
      <c r="D280" s="194">
        <v>1.3201783843660451</v>
      </c>
      <c r="E280">
        <f t="shared" si="6"/>
        <v>1.3636159452260981</v>
      </c>
    </row>
    <row r="281" spans="4:5">
      <c r="D281" s="194">
        <v>1.3202698060572402</v>
      </c>
      <c r="E281">
        <f t="shared" si="6"/>
        <v>1.3644327910403364</v>
      </c>
    </row>
    <row r="282" spans="4:5">
      <c r="D282" s="194">
        <v>1.3204981737103481</v>
      </c>
      <c r="E282">
        <f t="shared" si="6"/>
        <v>1.3664735243305399</v>
      </c>
    </row>
    <row r="283" spans="4:5">
      <c r="D283" s="194">
        <v>1.3208858763109674</v>
      </c>
      <c r="E283">
        <f t="shared" si="6"/>
        <v>1.3699390200160164</v>
      </c>
    </row>
    <row r="284" spans="4:5">
      <c r="D284" s="194">
        <v>1.3209769248524026</v>
      </c>
      <c r="E284">
        <f t="shared" si="6"/>
        <v>1.3707530254332907</v>
      </c>
    </row>
    <row r="285" spans="4:5">
      <c r="D285" s="194">
        <v>1.3214997076661348</v>
      </c>
      <c r="E285">
        <f t="shared" si="6"/>
        <v>1.3754280608061535</v>
      </c>
    </row>
    <row r="286" spans="4:5">
      <c r="D286" s="194">
        <v>1.3217489717058015</v>
      </c>
      <c r="E286">
        <f t="shared" si="6"/>
        <v>1.3776578167552702</v>
      </c>
    </row>
    <row r="287" spans="4:5">
      <c r="D287" s="194">
        <v>1.3218847982184343</v>
      </c>
      <c r="E287">
        <f t="shared" si="6"/>
        <v>1.3788730156837752</v>
      </c>
    </row>
    <row r="288" spans="4:5">
      <c r="D288" s="194">
        <v>1.3219523383249907</v>
      </c>
      <c r="E288">
        <f t="shared" si="6"/>
        <v>1.3794773238969236</v>
      </c>
    </row>
    <row r="289" spans="4:5">
      <c r="D289" s="194">
        <v>1.3222463803358551</v>
      </c>
      <c r="E289">
        <f t="shared" si="6"/>
        <v>1.3821085947394318</v>
      </c>
    </row>
    <row r="290" spans="4:5">
      <c r="D290" s="194">
        <v>1.3223590715633691</v>
      </c>
      <c r="E290">
        <f t="shared" si="6"/>
        <v>1.3831171788762258</v>
      </c>
    </row>
    <row r="291" spans="4:5">
      <c r="D291" s="194">
        <v>1.3227195342315099</v>
      </c>
      <c r="E291">
        <f t="shared" si="6"/>
        <v>1.3863438677174982</v>
      </c>
    </row>
    <row r="292" spans="4:5">
      <c r="D292" s="194">
        <v>1.3232135845137236</v>
      </c>
      <c r="E292">
        <f t="shared" si="6"/>
        <v>1.3907677013190092</v>
      </c>
    </row>
    <row r="293" spans="4:5">
      <c r="D293" s="194">
        <v>1.3233035136058788</v>
      </c>
      <c r="E293">
        <f t="shared" si="6"/>
        <v>1.3915731065539343</v>
      </c>
    </row>
    <row r="294" spans="4:5">
      <c r="D294" s="194">
        <v>1.323639348389861</v>
      </c>
      <c r="E294">
        <f t="shared" si="6"/>
        <v>1.3945812674788256</v>
      </c>
    </row>
    <row r="295" spans="4:5">
      <c r="D295" s="194">
        <v>1.3246199859590888</v>
      </c>
      <c r="E295">
        <f t="shared" si="6"/>
        <v>1.403368731165733</v>
      </c>
    </row>
    <row r="296" spans="4:5">
      <c r="D296" s="194">
        <v>1.3248864148877146</v>
      </c>
      <c r="E296">
        <f t="shared" si="6"/>
        <v>1.4057570727163458</v>
      </c>
    </row>
    <row r="297" spans="4:5">
      <c r="D297" s="194">
        <v>1.325218891323857</v>
      </c>
      <c r="E297">
        <f t="shared" si="6"/>
        <v>1.4087379763304928</v>
      </c>
    </row>
    <row r="298" spans="4:5">
      <c r="D298" s="194">
        <v>1.3264316280437924</v>
      </c>
      <c r="E298">
        <f t="shared" si="6"/>
        <v>1.4196153727065612</v>
      </c>
    </row>
    <row r="299" spans="4:5">
      <c r="D299" s="194">
        <v>1.3264316280437924</v>
      </c>
      <c r="E299">
        <f t="shared" si="6"/>
        <v>1.4196153727065612</v>
      </c>
    </row>
    <row r="300" spans="4:5">
      <c r="D300" s="194">
        <v>1.3266510401026608</v>
      </c>
      <c r="E300">
        <f t="shared" si="6"/>
        <v>1.4215840053166493</v>
      </c>
    </row>
    <row r="301" spans="4:5">
      <c r="D301" s="194">
        <v>1.3277872811218003</v>
      </c>
      <c r="E301">
        <f t="shared" si="6"/>
        <v>1.4317815251686397</v>
      </c>
    </row>
    <row r="302" spans="4:5">
      <c r="D302" s="194">
        <v>1.3288291152516649</v>
      </c>
      <c r="E302">
        <f t="shared" si="6"/>
        <v>1.4411353255371464</v>
      </c>
    </row>
    <row r="303" spans="4:5">
      <c r="D303" s="194">
        <v>1.3295627276797859</v>
      </c>
      <c r="E303">
        <f t="shared" si="6"/>
        <v>1.447723482777665</v>
      </c>
    </row>
    <row r="304" spans="4:5">
      <c r="D304" s="194">
        <v>1.3297563924052156</v>
      </c>
      <c r="E304">
        <f t="shared" si="6"/>
        <v>1.4494628627784005</v>
      </c>
    </row>
    <row r="305" spans="4:5">
      <c r="D305" s="194">
        <v>1.3301858877789527</v>
      </c>
      <c r="E305">
        <f t="shared" si="6"/>
        <v>1.4533205706626433</v>
      </c>
    </row>
    <row r="306" spans="4:5">
      <c r="D306" s="194">
        <v>1.3304213452775002</v>
      </c>
      <c r="E306">
        <f t="shared" si="6"/>
        <v>1.4554355642580534</v>
      </c>
    </row>
    <row r="307" spans="4:5">
      <c r="D307" s="194">
        <v>1.3304642574998979</v>
      </c>
      <c r="E307">
        <f t="shared" si="6"/>
        <v>1.4558210312943243</v>
      </c>
    </row>
    <row r="308" spans="4:5">
      <c r="D308" s="194">
        <v>1.3322732875362817</v>
      </c>
      <c r="E308">
        <f t="shared" si="6"/>
        <v>1.4720726276922003</v>
      </c>
    </row>
    <row r="309" spans="4:5">
      <c r="D309" s="194">
        <v>1.3327595016735359</v>
      </c>
      <c r="E309">
        <f t="shared" si="6"/>
        <v>1.4764408397925384</v>
      </c>
    </row>
    <row r="310" spans="4:5">
      <c r="D310" s="194">
        <v>1.3332860159848678</v>
      </c>
      <c r="E310">
        <f t="shared" si="6"/>
        <v>1.4811710714284498</v>
      </c>
    </row>
    <row r="311" spans="4:5">
      <c r="D311" s="194">
        <v>1.3347726446286288</v>
      </c>
      <c r="E311">
        <f t="shared" si="6"/>
        <v>1.4945259452896784</v>
      </c>
    </row>
    <row r="312" spans="4:5">
      <c r="D312" s="194">
        <v>1.3350222818180555</v>
      </c>
      <c r="E312">
        <f t="shared" si="6"/>
        <v>1.4967682526625203</v>
      </c>
    </row>
    <row r="313" spans="4:5">
      <c r="D313" s="194">
        <v>1.3355834990570656</v>
      </c>
      <c r="E313">
        <f t="shared" si="6"/>
        <v>1.5018088580341957</v>
      </c>
    </row>
    <row r="314" spans="4:5">
      <c r="D314" s="194">
        <v>1.3356663383037812</v>
      </c>
      <c r="E314">
        <f t="shared" si="6"/>
        <v>1.5025528316803483</v>
      </c>
    </row>
    <row r="315" spans="4:5">
      <c r="D315" s="194">
        <v>1.3361835238711137</v>
      </c>
      <c r="E315">
        <f t="shared" si="6"/>
        <v>1.5071972975603238</v>
      </c>
    </row>
    <row r="316" spans="4:5">
      <c r="D316" s="194">
        <v>1.3363074095914271</v>
      </c>
      <c r="E316">
        <f t="shared" si="6"/>
        <v>1.5083097305504736</v>
      </c>
    </row>
    <row r="317" spans="4:5">
      <c r="D317" s="194">
        <v>1.3363488292147849</v>
      </c>
      <c r="E317">
        <f t="shared" si="6"/>
        <v>1.5086816497969071</v>
      </c>
    </row>
    <row r="318" spans="4:5">
      <c r="D318" s="194">
        <v>1.3365137614086962</v>
      </c>
      <c r="E318">
        <f t="shared" si="6"/>
        <v>1.510162581256089</v>
      </c>
    </row>
    <row r="319" spans="4:5">
      <c r="D319" s="194">
        <v>1.3365137614086962</v>
      </c>
      <c r="E319">
        <f t="shared" si="6"/>
        <v>1.510162581256089</v>
      </c>
    </row>
    <row r="320" spans="4:5">
      <c r="D320" s="194">
        <v>1.3367816829363619</v>
      </c>
      <c r="E320">
        <f t="shared" si="6"/>
        <v>1.5125681001087796</v>
      </c>
    </row>
    <row r="321" spans="4:5">
      <c r="D321" s="194">
        <v>1.3368846722701164</v>
      </c>
      <c r="E321">
        <f t="shared" si="6"/>
        <v>1.5134927301455043</v>
      </c>
    </row>
    <row r="322" spans="4:5">
      <c r="D322" s="194">
        <v>1.3379306110473408</v>
      </c>
      <c r="E322">
        <f t="shared" si="6"/>
        <v>1.5228811893062493</v>
      </c>
    </row>
    <row r="323" spans="4:5">
      <c r="D323" s="194">
        <v>1.338114573879011</v>
      </c>
      <c r="E323">
        <f t="shared" ref="E323:E386" si="7">_xlfn.NORM.DIST(D323,$B$2,$B$4,FALSE)</f>
        <v>1.5245320680633563</v>
      </c>
    </row>
    <row r="324" spans="4:5">
      <c r="D324" s="194">
        <v>1.3384407067692337</v>
      </c>
      <c r="E324">
        <f t="shared" si="7"/>
        <v>1.527458460589123</v>
      </c>
    </row>
    <row r="325" spans="4:5">
      <c r="D325" s="194">
        <v>1.3384612300060326</v>
      </c>
      <c r="E325">
        <f t="shared" si="7"/>
        <v>1.5276426017142066</v>
      </c>
    </row>
    <row r="326" spans="4:5">
      <c r="D326" s="194">
        <v>1.3387463164226574</v>
      </c>
      <c r="E326">
        <f t="shared" si="7"/>
        <v>1.5302003114343758</v>
      </c>
    </row>
    <row r="327" spans="4:5">
      <c r="D327" s="194">
        <v>1.3390105064527233</v>
      </c>
      <c r="E327">
        <f t="shared" si="7"/>
        <v>1.5325702392126699</v>
      </c>
    </row>
    <row r="328" spans="4:5">
      <c r="D328" s="194">
        <v>1.3390511797765612</v>
      </c>
      <c r="E328">
        <f t="shared" si="7"/>
        <v>1.5329350739989913</v>
      </c>
    </row>
    <row r="329" spans="4:5">
      <c r="D329" s="194">
        <v>1.3391933498351136</v>
      </c>
      <c r="E329">
        <f t="shared" si="7"/>
        <v>1.5342102643045552</v>
      </c>
    </row>
    <row r="330" spans="4:5">
      <c r="D330" s="194">
        <v>1.3392541732459904</v>
      </c>
      <c r="E330">
        <f t="shared" si="7"/>
        <v>1.5347557903180458</v>
      </c>
    </row>
    <row r="331" spans="4:5">
      <c r="D331" s="194">
        <v>1.3398411378184392</v>
      </c>
      <c r="E331">
        <f t="shared" si="7"/>
        <v>1.5400193915074092</v>
      </c>
    </row>
    <row r="332" spans="4:5">
      <c r="D332" s="194">
        <v>1.3402247357716988</v>
      </c>
      <c r="E332">
        <f t="shared" si="7"/>
        <v>1.5434583857839268</v>
      </c>
    </row>
    <row r="333" spans="4:5">
      <c r="D333" s="194">
        <v>1.3402247357716988</v>
      </c>
      <c r="E333">
        <f t="shared" si="7"/>
        <v>1.5434583857839268</v>
      </c>
    </row>
    <row r="334" spans="4:5">
      <c r="D334" s="194">
        <v>1.3406075874254384</v>
      </c>
      <c r="E334">
        <f t="shared" si="7"/>
        <v>1.5468899198529582</v>
      </c>
    </row>
    <row r="335" spans="4:5">
      <c r="D335" s="194">
        <v>1.340728487947672</v>
      </c>
      <c r="E335">
        <f t="shared" si="7"/>
        <v>1.5479733961919397</v>
      </c>
    </row>
    <row r="336" spans="4:5">
      <c r="D336" s="194">
        <v>1.3407684149719898</v>
      </c>
      <c r="E336">
        <f t="shared" si="7"/>
        <v>1.548331193001103</v>
      </c>
    </row>
    <row r="337" spans="4:5">
      <c r="D337" s="194">
        <v>1.3409292425185413</v>
      </c>
      <c r="E337">
        <f t="shared" si="7"/>
        <v>1.5497723206752243</v>
      </c>
    </row>
    <row r="338" spans="4:5">
      <c r="D338" s="194">
        <v>1.3409893196298981</v>
      </c>
      <c r="E338">
        <f t="shared" si="7"/>
        <v>1.5503106158406135</v>
      </c>
    </row>
    <row r="339" spans="4:5">
      <c r="D339" s="194">
        <v>1.3413904556218768</v>
      </c>
      <c r="E339">
        <f t="shared" si="7"/>
        <v>1.5539042807991961</v>
      </c>
    </row>
    <row r="340" spans="4:5">
      <c r="D340" s="194">
        <v>1.3415106098445904</v>
      </c>
      <c r="E340">
        <f t="shared" si="7"/>
        <v>1.5549805211113152</v>
      </c>
    </row>
    <row r="341" spans="4:5">
      <c r="D341" s="194">
        <v>1.3419703303488859</v>
      </c>
      <c r="E341">
        <f t="shared" si="7"/>
        <v>1.5590974807260833</v>
      </c>
    </row>
    <row r="342" spans="4:5">
      <c r="D342" s="194">
        <v>1.3423293004179868</v>
      </c>
      <c r="E342">
        <f t="shared" si="7"/>
        <v>1.5623112379646298</v>
      </c>
    </row>
    <row r="343" spans="4:5">
      <c r="D343" s="194">
        <v>1.3425281892400562</v>
      </c>
      <c r="E343">
        <f t="shared" si="7"/>
        <v>1.5640914625937168</v>
      </c>
    </row>
    <row r="344" spans="4:5">
      <c r="D344" s="194">
        <v>1.342607670138932</v>
      </c>
      <c r="E344">
        <f t="shared" si="7"/>
        <v>1.5648028088892865</v>
      </c>
    </row>
    <row r="345" spans="4:5">
      <c r="D345" s="194">
        <v>1.3426475971632499</v>
      </c>
      <c r="E345">
        <f t="shared" si="7"/>
        <v>1.5651601354052758</v>
      </c>
    </row>
    <row r="346" spans="4:5">
      <c r="D346" s="194">
        <v>1.3426875241875678</v>
      </c>
      <c r="E346">
        <f t="shared" si="7"/>
        <v>1.5655174508548351</v>
      </c>
    </row>
    <row r="347" spans="4:5">
      <c r="D347" s="194">
        <v>1.3427073011248467</v>
      </c>
      <c r="E347">
        <f t="shared" si="7"/>
        <v>1.5656944347691237</v>
      </c>
    </row>
    <row r="348" spans="4:5">
      <c r="D348" s="194">
        <v>1.3431043324694656</v>
      </c>
      <c r="E348">
        <f t="shared" si="7"/>
        <v>1.5692468851315269</v>
      </c>
    </row>
    <row r="349" spans="4:5">
      <c r="D349" s="194">
        <v>1.3434606904902466</v>
      </c>
      <c r="E349">
        <f t="shared" si="7"/>
        <v>1.5724344358553055</v>
      </c>
    </row>
    <row r="350" spans="4:5">
      <c r="D350" s="194">
        <v>1.3436386829257572</v>
      </c>
      <c r="E350">
        <f t="shared" si="7"/>
        <v>1.5740261869382326</v>
      </c>
    </row>
    <row r="351" spans="4:5">
      <c r="D351" s="194">
        <v>1.3440730292463741</v>
      </c>
      <c r="E351">
        <f t="shared" si="7"/>
        <v>1.5779094357987271</v>
      </c>
    </row>
    <row r="352" spans="4:5">
      <c r="D352" s="194">
        <v>1.3450365019266428</v>
      </c>
      <c r="E352">
        <f t="shared" si="7"/>
        <v>1.5865178721567699</v>
      </c>
    </row>
    <row r="353" spans="4:5">
      <c r="D353" s="194">
        <v>1.3454477129621409</v>
      </c>
      <c r="E353">
        <f t="shared" si="7"/>
        <v>1.5901895576400831</v>
      </c>
    </row>
    <row r="354" spans="4:5">
      <c r="D354" s="194">
        <v>1.3456040627115726</v>
      </c>
      <c r="E354">
        <f t="shared" si="7"/>
        <v>1.591585204402115</v>
      </c>
    </row>
    <row r="355" spans="4:5">
      <c r="D355" s="194">
        <v>1.345916389060676</v>
      </c>
      <c r="E355">
        <f t="shared" si="7"/>
        <v>1.5943725028365383</v>
      </c>
    </row>
    <row r="356" spans="4:5">
      <c r="D356" s="194">
        <v>1.3460141542977908</v>
      </c>
      <c r="E356">
        <f t="shared" si="7"/>
        <v>1.5952448058979816</v>
      </c>
    </row>
    <row r="357" spans="4:5">
      <c r="D357" s="194">
        <v>1.3460335580853098</v>
      </c>
      <c r="E357">
        <f t="shared" si="7"/>
        <v>1.5954179241644018</v>
      </c>
    </row>
    <row r="358" spans="4:5">
      <c r="D358" s="194">
        <v>1.3462089384725004</v>
      </c>
      <c r="E358">
        <f t="shared" si="7"/>
        <v>1.5969824867121145</v>
      </c>
    </row>
    <row r="359" spans="4:5">
      <c r="D359" s="194">
        <v>1.3465395491598429</v>
      </c>
      <c r="E359">
        <f t="shared" si="7"/>
        <v>1.5999310583696009</v>
      </c>
    </row>
    <row r="360" spans="4:5">
      <c r="D360" s="194">
        <v>1.3467339601847925</v>
      </c>
      <c r="E360">
        <f t="shared" si="7"/>
        <v>1.6016644312844728</v>
      </c>
    </row>
    <row r="361" spans="4:5">
      <c r="D361" s="194">
        <v>1.3469668056350201</v>
      </c>
      <c r="E361">
        <f t="shared" si="7"/>
        <v>1.603739996156204</v>
      </c>
    </row>
    <row r="362" spans="4:5">
      <c r="D362" s="194">
        <v>1.3471798741479688</v>
      </c>
      <c r="E362">
        <f t="shared" si="7"/>
        <v>1.6056387956267733</v>
      </c>
    </row>
    <row r="363" spans="4:5">
      <c r="D363" s="194">
        <v>1.3474317502359554</v>
      </c>
      <c r="E363">
        <f t="shared" si="7"/>
        <v>1.6078828401887983</v>
      </c>
    </row>
    <row r="364" spans="4:5">
      <c r="D364" s="194">
        <v>1.3479336366631287</v>
      </c>
      <c r="E364">
        <f t="shared" si="7"/>
        <v>1.6123523383219975</v>
      </c>
    </row>
    <row r="365" spans="4:5">
      <c r="D365" s="194">
        <v>1.3481265550890384</v>
      </c>
      <c r="E365">
        <f t="shared" si="7"/>
        <v>1.6140696409147099</v>
      </c>
    </row>
    <row r="366" spans="4:5">
      <c r="D366" s="194">
        <v>1.3481265550890384</v>
      </c>
      <c r="E366">
        <f t="shared" si="7"/>
        <v>1.6140696409147099</v>
      </c>
    </row>
    <row r="367" spans="4:5">
      <c r="D367" s="194">
        <v>1.3483191003651882</v>
      </c>
      <c r="E367">
        <f t="shared" si="7"/>
        <v>1.6157832193200559</v>
      </c>
    </row>
    <row r="368" spans="4:5">
      <c r="D368" s="194">
        <v>1.3489530818073945</v>
      </c>
      <c r="E368">
        <f t="shared" si="7"/>
        <v>1.6214225025960438</v>
      </c>
    </row>
    <row r="369" spans="4:5">
      <c r="D369" s="194">
        <v>1.3490295775081904</v>
      </c>
      <c r="E369">
        <f t="shared" si="7"/>
        <v>1.622102626748988</v>
      </c>
    </row>
    <row r="370" spans="4:5">
      <c r="D370" s="194">
        <v>1.3497184119651138</v>
      </c>
      <c r="E370">
        <f t="shared" si="7"/>
        <v>1.628223991861419</v>
      </c>
    </row>
    <row r="371" spans="4:5">
      <c r="D371" s="194">
        <v>1.3498519995791867</v>
      </c>
      <c r="E371">
        <f t="shared" si="7"/>
        <v>1.6294104738119299</v>
      </c>
    </row>
    <row r="372" spans="4:5">
      <c r="D372" s="194">
        <v>1.3500807403820545</v>
      </c>
      <c r="E372">
        <f t="shared" si="7"/>
        <v>1.6314415734415624</v>
      </c>
    </row>
    <row r="373" spans="4:5">
      <c r="D373" s="194">
        <v>1.3503281386729213</v>
      </c>
      <c r="E373">
        <f t="shared" si="7"/>
        <v>1.6336376194969247</v>
      </c>
    </row>
    <row r="374" spans="4:5">
      <c r="D374" s="194">
        <v>1.3503852305861983</v>
      </c>
      <c r="E374">
        <f t="shared" si="7"/>
        <v>1.6341442916267066</v>
      </c>
    </row>
    <row r="375" spans="4:5">
      <c r="D375" s="194">
        <v>1.3506326288770651</v>
      </c>
      <c r="E375">
        <f t="shared" si="7"/>
        <v>1.6363393989941588</v>
      </c>
    </row>
    <row r="376" spans="4:5">
      <c r="D376" s="194">
        <v>1.3512013091112749</v>
      </c>
      <c r="E376">
        <f t="shared" si="7"/>
        <v>1.641382210029898</v>
      </c>
    </row>
    <row r="377" spans="4:5">
      <c r="D377" s="194">
        <v>1.3522965036568166</v>
      </c>
      <c r="E377">
        <f t="shared" si="7"/>
        <v>1.6510818925319382</v>
      </c>
    </row>
    <row r="378" spans="4:5">
      <c r="D378" s="194">
        <v>1.3525786048753616</v>
      </c>
      <c r="E378">
        <f t="shared" si="7"/>
        <v>1.6535776886185678</v>
      </c>
    </row>
    <row r="379" spans="4:5">
      <c r="D379" s="194">
        <v>1.3526162930011196</v>
      </c>
      <c r="E379">
        <f t="shared" si="7"/>
        <v>1.6539110371945587</v>
      </c>
    </row>
    <row r="380" spans="4:5">
      <c r="D380" s="194">
        <v>1.3528976479201447</v>
      </c>
      <c r="E380">
        <f t="shared" si="7"/>
        <v>1.656398963903398</v>
      </c>
    </row>
    <row r="381" spans="4:5">
      <c r="D381" s="194">
        <v>1.3529166785579037</v>
      </c>
      <c r="E381">
        <f t="shared" si="7"/>
        <v>1.6565672046839675</v>
      </c>
    </row>
    <row r="382" spans="4:5">
      <c r="D382" s="194">
        <v>1.3529353360459027</v>
      </c>
      <c r="E382">
        <f t="shared" si="7"/>
        <v>1.6567321415877616</v>
      </c>
    </row>
    <row r="383" spans="4:5">
      <c r="D383" s="194">
        <v>1.3539267949581699</v>
      </c>
      <c r="E383">
        <f t="shared" si="7"/>
        <v>1.6654895873286839</v>
      </c>
    </row>
    <row r="384" spans="4:5">
      <c r="D384" s="194">
        <v>1.3539454524461689</v>
      </c>
      <c r="E384">
        <f t="shared" si="7"/>
        <v>1.6656542470643569</v>
      </c>
    </row>
    <row r="385" spans="4:5">
      <c r="D385" s="194">
        <v>1.3542062841283951</v>
      </c>
      <c r="E385">
        <f t="shared" si="7"/>
        <v>1.6679556381728791</v>
      </c>
    </row>
    <row r="386" spans="4:5">
      <c r="D386" s="194">
        <v>1.3544111433466242</v>
      </c>
      <c r="E386">
        <f t="shared" si="7"/>
        <v>1.6697624404858422</v>
      </c>
    </row>
    <row r="387" spans="4:5">
      <c r="D387" s="194">
        <v>1.3544857732986202</v>
      </c>
      <c r="E387">
        <f t="shared" ref="E387:E450" si="8">_xlfn.NORM.DIST(D387,$B$2,$B$4,FALSE)</f>
        <v>1.6704204957047786</v>
      </c>
    </row>
    <row r="388" spans="4:5">
      <c r="D388" s="194">
        <v>1.3545600301008562</v>
      </c>
      <c r="E388">
        <f t="shared" si="8"/>
        <v>1.6710751750634176</v>
      </c>
    </row>
    <row r="389" spans="4:5">
      <c r="D389" s="194">
        <v>1.3548201154835624</v>
      </c>
      <c r="E389">
        <f t="shared" si="8"/>
        <v>1.6733675202308045</v>
      </c>
    </row>
    <row r="390" spans="4:5">
      <c r="D390" s="194">
        <v>1.3548201154835624</v>
      </c>
      <c r="E390">
        <f t="shared" si="8"/>
        <v>1.6733675202308045</v>
      </c>
    </row>
    <row r="391" spans="4:5">
      <c r="D391" s="194">
        <v>1.3552652831472187</v>
      </c>
      <c r="E391">
        <f t="shared" si="8"/>
        <v>1.6772886707099457</v>
      </c>
    </row>
    <row r="392" spans="4:5">
      <c r="D392" s="194">
        <v>1.3563918222725988</v>
      </c>
      <c r="E392">
        <f t="shared" si="8"/>
        <v>1.6871971513460982</v>
      </c>
    </row>
    <row r="393" spans="4:5">
      <c r="D393" s="194">
        <v>1.3567045217714622</v>
      </c>
      <c r="E393">
        <f t="shared" si="8"/>
        <v>1.6899437459318254</v>
      </c>
    </row>
    <row r="394" spans="4:5">
      <c r="D394" s="194">
        <v>1.3568146009506563</v>
      </c>
      <c r="E394">
        <f t="shared" si="8"/>
        <v>1.690910228644424</v>
      </c>
    </row>
    <row r="395" spans="4:5">
      <c r="D395" s="194">
        <v>1.3571448384882387</v>
      </c>
      <c r="E395">
        <f t="shared" si="8"/>
        <v>1.693808422092044</v>
      </c>
    </row>
    <row r="396" spans="4:5">
      <c r="D396" s="194">
        <v>1.3578038209643637</v>
      </c>
      <c r="E396">
        <f t="shared" si="8"/>
        <v>1.6995859963519293</v>
      </c>
    </row>
    <row r="397" spans="4:5">
      <c r="D397" s="194">
        <v>1.3578952426555588</v>
      </c>
      <c r="E397">
        <f t="shared" si="8"/>
        <v>1.7003869180024493</v>
      </c>
    </row>
    <row r="398" spans="4:5">
      <c r="D398" s="194">
        <v>1.3588788654228665</v>
      </c>
      <c r="E398">
        <f t="shared" si="8"/>
        <v>1.7089945445813686</v>
      </c>
    </row>
    <row r="399" spans="4:5">
      <c r="D399" s="194">
        <v>1.3592785088158053</v>
      </c>
      <c r="E399">
        <f t="shared" si="8"/>
        <v>1.7124866620750472</v>
      </c>
    </row>
    <row r="400" spans="4:5">
      <c r="D400" s="194">
        <v>1.3593326155310024</v>
      </c>
      <c r="E400">
        <f t="shared" si="8"/>
        <v>1.7129592184834175</v>
      </c>
    </row>
    <row r="401" spans="4:5">
      <c r="D401" s="194">
        <v>1.3593691842074804</v>
      </c>
      <c r="E401">
        <f t="shared" si="8"/>
        <v>1.7132785698169184</v>
      </c>
    </row>
    <row r="402" spans="4:5">
      <c r="D402" s="194">
        <v>1.359640837232746</v>
      </c>
      <c r="E402">
        <f t="shared" si="8"/>
        <v>1.7156500918410302</v>
      </c>
    </row>
    <row r="403" spans="4:5">
      <c r="D403" s="194">
        <v>1.3597132282861821</v>
      </c>
      <c r="E403">
        <f t="shared" si="8"/>
        <v>1.7162818235819741</v>
      </c>
    </row>
    <row r="404" spans="4:5">
      <c r="D404" s="194">
        <v>1.3597311394746612</v>
      </c>
      <c r="E404">
        <f t="shared" si="8"/>
        <v>1.7164381126975927</v>
      </c>
    </row>
    <row r="405" spans="4:5">
      <c r="D405" s="194">
        <v>1.3598397260548154</v>
      </c>
      <c r="E405">
        <f t="shared" si="8"/>
        <v>1.7173854822556018</v>
      </c>
    </row>
    <row r="406" spans="4:5">
      <c r="D406" s="194">
        <v>1.360561397690617</v>
      </c>
      <c r="E406">
        <f t="shared" si="8"/>
        <v>1.7236758721323602</v>
      </c>
    </row>
    <row r="407" spans="4:5">
      <c r="D407" s="194">
        <v>1.3608136469283636</v>
      </c>
      <c r="E407">
        <f t="shared" si="8"/>
        <v>1.725872139848643</v>
      </c>
    </row>
    <row r="408" spans="4:5">
      <c r="D408" s="194">
        <v>1.3613166528048168</v>
      </c>
      <c r="E408">
        <f t="shared" si="8"/>
        <v>1.7302478342728751</v>
      </c>
    </row>
    <row r="409" spans="4:5">
      <c r="D409" s="194">
        <v>1.3622651994946864</v>
      </c>
      <c r="E409">
        <f t="shared" si="8"/>
        <v>1.7384850997984096</v>
      </c>
    </row>
    <row r="410" spans="4:5">
      <c r="D410" s="194">
        <v>1.3623006487218845</v>
      </c>
      <c r="E410">
        <f t="shared" si="8"/>
        <v>1.7387925771325938</v>
      </c>
    </row>
    <row r="411" spans="4:5">
      <c r="D411" s="194">
        <v>1.3623543822873216</v>
      </c>
      <c r="E411">
        <f t="shared" si="8"/>
        <v>1.7392585970026653</v>
      </c>
    </row>
    <row r="412" spans="4:5">
      <c r="D412" s="194">
        <v>1.3623722934758007</v>
      </c>
      <c r="E412">
        <f t="shared" si="8"/>
        <v>1.7394139232754968</v>
      </c>
    </row>
    <row r="413" spans="4:5">
      <c r="D413" s="194">
        <v>1.3623900180893997</v>
      </c>
      <c r="E413">
        <f t="shared" si="8"/>
        <v>1.7395676248238643</v>
      </c>
    </row>
    <row r="414" spans="4:5">
      <c r="D414" s="194">
        <v>1.3630491871404047</v>
      </c>
      <c r="E414">
        <f t="shared" si="8"/>
        <v>1.745278902822635</v>
      </c>
    </row>
    <row r="415" spans="4:5">
      <c r="D415" s="194">
        <v>1.3630667251791238</v>
      </c>
      <c r="E415">
        <f t="shared" si="8"/>
        <v>1.7454307299535803</v>
      </c>
    </row>
    <row r="416" spans="4:5">
      <c r="D416" s="194">
        <v>1.3632447176146343</v>
      </c>
      <c r="E416">
        <f t="shared" si="8"/>
        <v>1.7469712325306943</v>
      </c>
    </row>
    <row r="417" spans="4:5">
      <c r="D417" s="194">
        <v>1.3642016601741034</v>
      </c>
      <c r="E417">
        <f t="shared" si="8"/>
        <v>1.7552413971272396</v>
      </c>
    </row>
    <row r="418" spans="4:5">
      <c r="D418" s="194">
        <v>1.364378346585454</v>
      </c>
      <c r="E418">
        <f t="shared" si="8"/>
        <v>1.7567661141856865</v>
      </c>
    </row>
    <row r="419" spans="4:5">
      <c r="D419" s="194">
        <v>1.364395884624173</v>
      </c>
      <c r="E419">
        <f t="shared" si="8"/>
        <v>1.7569174199951327</v>
      </c>
    </row>
    <row r="420" spans="4:5">
      <c r="D420" s="194">
        <v>1.365242188279808</v>
      </c>
      <c r="E420">
        <f t="shared" si="8"/>
        <v>1.7642102940560589</v>
      </c>
    </row>
    <row r="421" spans="4:5">
      <c r="D421" s="194">
        <v>1.3656638475085856</v>
      </c>
      <c r="E421">
        <f t="shared" si="8"/>
        <v>1.767837613094221</v>
      </c>
    </row>
    <row r="422" spans="4:5">
      <c r="D422" s="194">
        <v>1.3658216898570572</v>
      </c>
      <c r="E422">
        <f t="shared" si="8"/>
        <v>1.7691943635682439</v>
      </c>
    </row>
    <row r="423" spans="4:5">
      <c r="D423" s="194">
        <v>1.3658918420119335</v>
      </c>
      <c r="E423">
        <f t="shared" si="8"/>
        <v>1.7697971724619697</v>
      </c>
    </row>
    <row r="424" spans="4:5">
      <c r="D424" s="194">
        <v>1.3671848059302647</v>
      </c>
      <c r="E424">
        <f t="shared" si="8"/>
        <v>1.780886034409793</v>
      </c>
    </row>
    <row r="425" spans="4:5">
      <c r="D425" s="194">
        <v>1.3672892878630591</v>
      </c>
      <c r="E425">
        <f t="shared" si="8"/>
        <v>1.7817803026747649</v>
      </c>
    </row>
    <row r="426" spans="4:5">
      <c r="D426" s="194">
        <v>1.3677935997636723</v>
      </c>
      <c r="E426">
        <f t="shared" si="8"/>
        <v>1.7860928825147984</v>
      </c>
    </row>
    <row r="427" spans="4:5">
      <c r="D427" s="194">
        <v>1.367949762938224</v>
      </c>
      <c r="E427">
        <f t="shared" si="8"/>
        <v>1.7874269913022243</v>
      </c>
    </row>
    <row r="428" spans="4:5">
      <c r="D428" s="194">
        <v>1.3681579805042929</v>
      </c>
      <c r="E428">
        <f t="shared" si="8"/>
        <v>1.7892048331683668</v>
      </c>
    </row>
    <row r="429" spans="4:5">
      <c r="D429" s="194">
        <v>1.3682966056401256</v>
      </c>
      <c r="E429">
        <f t="shared" si="8"/>
        <v>1.79038785036208</v>
      </c>
    </row>
    <row r="430" spans="4:5">
      <c r="D430" s="194">
        <v>1.3683658249206019</v>
      </c>
      <c r="E430">
        <f t="shared" si="8"/>
        <v>1.790978377276752</v>
      </c>
    </row>
    <row r="431" spans="4:5">
      <c r="D431" s="194">
        <v>1.3683658249206019</v>
      </c>
      <c r="E431">
        <f t="shared" si="8"/>
        <v>1.790978377276752</v>
      </c>
    </row>
    <row r="432" spans="4:5">
      <c r="D432" s="194">
        <v>1.3685218015202736</v>
      </c>
      <c r="E432">
        <f t="shared" si="8"/>
        <v>1.7923085977933315</v>
      </c>
    </row>
    <row r="433" spans="4:5">
      <c r="D433" s="194">
        <v>1.368815656956258</v>
      </c>
      <c r="E433">
        <f t="shared" si="8"/>
        <v>1.7948129752980675</v>
      </c>
    </row>
    <row r="434" spans="4:5">
      <c r="D434" s="194">
        <v>1.3690574580007251</v>
      </c>
      <c r="E434">
        <f t="shared" si="8"/>
        <v>1.7968720238053713</v>
      </c>
    </row>
    <row r="435" spans="4:5">
      <c r="D435" s="194">
        <v>1.3697121492546103</v>
      </c>
      <c r="E435">
        <f t="shared" si="8"/>
        <v>1.8024392493571937</v>
      </c>
    </row>
    <row r="436" spans="4:5">
      <c r="D436" s="194">
        <v>1.3697983468491657</v>
      </c>
      <c r="E436">
        <f t="shared" si="8"/>
        <v>1.803171384347964</v>
      </c>
    </row>
    <row r="437" spans="4:5">
      <c r="D437" s="194">
        <v>1.3698155117381248</v>
      </c>
      <c r="E437">
        <f t="shared" si="8"/>
        <v>1.8033171535691122</v>
      </c>
    </row>
    <row r="438" spans="4:5">
      <c r="D438" s="194">
        <v>1.3700218635553938</v>
      </c>
      <c r="E438">
        <f t="shared" si="8"/>
        <v>1.8050689301583465</v>
      </c>
    </row>
    <row r="439" spans="4:5">
      <c r="D439" s="194">
        <v>1.3702965017787392</v>
      </c>
      <c r="E439">
        <f t="shared" si="8"/>
        <v>1.8073986160916349</v>
      </c>
    </row>
    <row r="440" spans="4:5">
      <c r="D440" s="194">
        <v>1.3705879317412837</v>
      </c>
      <c r="E440">
        <f t="shared" si="8"/>
        <v>1.8098684874360074</v>
      </c>
    </row>
    <row r="441" spans="4:5">
      <c r="D441" s="194">
        <v>1.3706050966302428</v>
      </c>
      <c r="E441">
        <f t="shared" si="8"/>
        <v>1.8100138872279909</v>
      </c>
    </row>
    <row r="442" spans="4:5">
      <c r="D442" s="194">
        <v>1.3709644398491037</v>
      </c>
      <c r="E442">
        <f t="shared" si="8"/>
        <v>1.813055929802375</v>
      </c>
    </row>
    <row r="443" spans="4:5">
      <c r="D443" s="194">
        <v>1.3718348116642574</v>
      </c>
      <c r="E443">
        <f t="shared" si="8"/>
        <v>1.8204091513723153</v>
      </c>
    </row>
    <row r="444" spans="4:5">
      <c r="D444" s="194">
        <v>1.3719029114954537</v>
      </c>
      <c r="E444">
        <f t="shared" si="8"/>
        <v>1.8209835797162683</v>
      </c>
    </row>
    <row r="445" spans="4:5">
      <c r="D445" s="194">
        <v>1.3719200763844128</v>
      </c>
      <c r="E445">
        <f t="shared" si="8"/>
        <v>1.8211283462533099</v>
      </c>
    </row>
    <row r="446" spans="4:5">
      <c r="D446" s="194">
        <v>1.3722260591875965</v>
      </c>
      <c r="E446">
        <f t="shared" si="8"/>
        <v>1.8237075515153041</v>
      </c>
    </row>
    <row r="447" spans="4:5">
      <c r="D447" s="194">
        <v>1.3727693652381276</v>
      </c>
      <c r="E447">
        <f t="shared" si="8"/>
        <v>1.8282805568597582</v>
      </c>
    </row>
    <row r="448" spans="4:5">
      <c r="D448" s="194">
        <v>1.3731253501091487</v>
      </c>
      <c r="E448">
        <f t="shared" si="8"/>
        <v>1.8312722132466099</v>
      </c>
    </row>
    <row r="449" spans="4:5">
      <c r="D449" s="194">
        <v>1.3731421418483478</v>
      </c>
      <c r="E449">
        <f t="shared" si="8"/>
        <v>1.8314132371317366</v>
      </c>
    </row>
    <row r="450" spans="4:5">
      <c r="D450" s="194">
        <v>1.3734466320524916</v>
      </c>
      <c r="E450">
        <f t="shared" si="8"/>
        <v>1.8339690243322431</v>
      </c>
    </row>
    <row r="451" spans="4:5">
      <c r="D451" s="194">
        <v>1.37366604411136</v>
      </c>
      <c r="E451">
        <f t="shared" ref="E451:E514" si="9">_xlfn.NORM.DIST(D451,$B$2,$B$4,FALSE)</f>
        <v>1.8358089876559469</v>
      </c>
    </row>
    <row r="452" spans="4:5">
      <c r="D452" s="194">
        <v>1.3739024344843074</v>
      </c>
      <c r="E452">
        <f t="shared" si="9"/>
        <v>1.8377897188250376</v>
      </c>
    </row>
    <row r="453" spans="4:5">
      <c r="D453" s="194">
        <v>1.3739697880159838</v>
      </c>
      <c r="E453">
        <f t="shared" si="9"/>
        <v>1.8383537715932521</v>
      </c>
    </row>
    <row r="454" spans="4:5">
      <c r="D454" s="194">
        <v>1.3740877033401375</v>
      </c>
      <c r="E454">
        <f t="shared" si="9"/>
        <v>1.8393409254589417</v>
      </c>
    </row>
    <row r="455" spans="4:5">
      <c r="D455" s="194">
        <v>1.374172035185893</v>
      </c>
      <c r="E455">
        <f t="shared" si="9"/>
        <v>1.8400466703893537</v>
      </c>
    </row>
    <row r="456" spans="4:5">
      <c r="D456" s="194">
        <v>1.3742563670316486</v>
      </c>
      <c r="E456">
        <f t="shared" si="9"/>
        <v>1.8407522000475611</v>
      </c>
    </row>
    <row r="457" spans="4:5">
      <c r="D457" s="194">
        <v>1.3746265315935489</v>
      </c>
      <c r="E457">
        <f t="shared" si="9"/>
        <v>1.8438464804817247</v>
      </c>
    </row>
    <row r="458" spans="4:5">
      <c r="D458" s="194">
        <v>1.3746601150719471</v>
      </c>
      <c r="E458">
        <f t="shared" si="9"/>
        <v>1.8441270045922615</v>
      </c>
    </row>
    <row r="459" spans="4:5">
      <c r="D459" s="194">
        <v>1.3750631168127256</v>
      </c>
      <c r="E459">
        <f t="shared" si="9"/>
        <v>1.8474905902319272</v>
      </c>
    </row>
    <row r="460" spans="4:5">
      <c r="D460" s="194">
        <v>1.3754149970363869</v>
      </c>
      <c r="E460">
        <f t="shared" si="9"/>
        <v>1.8504233904851064</v>
      </c>
    </row>
    <row r="461" spans="4:5">
      <c r="D461" s="194">
        <v>1.375582354703738</v>
      </c>
      <c r="E461">
        <f t="shared" si="9"/>
        <v>1.8518169047508743</v>
      </c>
    </row>
    <row r="462" spans="4:5">
      <c r="D462" s="194">
        <v>1.3757161288926909</v>
      </c>
      <c r="E462">
        <f t="shared" si="9"/>
        <v>1.8529301529746829</v>
      </c>
    </row>
    <row r="463" spans="4:5">
      <c r="D463" s="194">
        <v>1.375883299985162</v>
      </c>
      <c r="E463">
        <f t="shared" si="9"/>
        <v>1.8543205339806379</v>
      </c>
    </row>
    <row r="464" spans="4:5">
      <c r="D464" s="194">
        <v>1.3760504710776331</v>
      </c>
      <c r="E464">
        <f t="shared" si="9"/>
        <v>1.8557100327726748</v>
      </c>
    </row>
    <row r="465" spans="4:5">
      <c r="D465" s="194">
        <v>1.3762172690203442</v>
      </c>
      <c r="E465">
        <f t="shared" si="9"/>
        <v>1.8570955472114477</v>
      </c>
    </row>
    <row r="466" spans="4:5">
      <c r="D466" s="194">
        <v>1.3764674659344109</v>
      </c>
      <c r="E466">
        <f t="shared" si="9"/>
        <v>1.8591721577722846</v>
      </c>
    </row>
    <row r="467" spans="4:5">
      <c r="D467" s="194">
        <v>1.3770833496132582</v>
      </c>
      <c r="E467">
        <f t="shared" si="9"/>
        <v>1.8642753713979483</v>
      </c>
    </row>
    <row r="468" spans="4:5">
      <c r="D468" s="194">
        <v>1.3775479210644335</v>
      </c>
      <c r="E468">
        <f t="shared" si="9"/>
        <v>1.8681166697558773</v>
      </c>
    </row>
    <row r="469" spans="4:5">
      <c r="D469" s="194">
        <v>1.3776971809684255</v>
      </c>
      <c r="E469">
        <f t="shared" si="9"/>
        <v>1.8693493214752057</v>
      </c>
    </row>
    <row r="470" spans="4:5">
      <c r="D470" s="194">
        <v>1.3777469964613829</v>
      </c>
      <c r="E470">
        <f t="shared" si="9"/>
        <v>1.8697605557542907</v>
      </c>
    </row>
    <row r="471" spans="4:5">
      <c r="D471" s="194">
        <v>1.3779789090372105</v>
      </c>
      <c r="E471">
        <f t="shared" si="9"/>
        <v>1.8716739494661847</v>
      </c>
    </row>
    <row r="472" spans="4:5">
      <c r="D472" s="194">
        <v>1.3794470667678524</v>
      </c>
      <c r="E472">
        <f t="shared" si="9"/>
        <v>1.8837452073317498</v>
      </c>
    </row>
    <row r="473" spans="4:5">
      <c r="D473" s="194">
        <v>1.3796278578265628</v>
      </c>
      <c r="E473">
        <f t="shared" si="9"/>
        <v>1.8852266194763903</v>
      </c>
    </row>
    <row r="474" spans="4:5">
      <c r="D474" s="194">
        <v>1.3796606950054411</v>
      </c>
      <c r="E474">
        <f t="shared" si="9"/>
        <v>1.8854955686185551</v>
      </c>
    </row>
    <row r="475" spans="4:5">
      <c r="D475" s="194">
        <v>1.380169298128294</v>
      </c>
      <c r="E475">
        <f t="shared" si="9"/>
        <v>1.8896564664327118</v>
      </c>
    </row>
    <row r="476" spans="4:5">
      <c r="D476" s="194">
        <v>1.3805950620044314</v>
      </c>
      <c r="E476">
        <f t="shared" si="9"/>
        <v>1.8931327321949274</v>
      </c>
    </row>
    <row r="477" spans="4:5">
      <c r="D477" s="194">
        <v>1.380676781801867</v>
      </c>
      <c r="E477">
        <f t="shared" si="9"/>
        <v>1.89379922898343</v>
      </c>
    </row>
    <row r="478" spans="4:5">
      <c r="D478" s="194">
        <v>1.3807096189807453</v>
      </c>
      <c r="E478">
        <f t="shared" si="9"/>
        <v>1.8940669788556785</v>
      </c>
    </row>
    <row r="479" spans="4:5">
      <c r="D479" s="194">
        <v>1.3809057091796149</v>
      </c>
      <c r="E479">
        <f t="shared" si="9"/>
        <v>1.8956650799369619</v>
      </c>
    </row>
    <row r="480" spans="4:5">
      <c r="D480" s="194">
        <v>1.3814441642832662</v>
      </c>
      <c r="E480">
        <f t="shared" si="9"/>
        <v>1.9000463824636915</v>
      </c>
    </row>
    <row r="481" spans="4:5">
      <c r="D481" s="194">
        <v>1.3816070441534976</v>
      </c>
      <c r="E481">
        <f t="shared" si="9"/>
        <v>1.9013696652646457</v>
      </c>
    </row>
    <row r="482" spans="4:5">
      <c r="D482" s="194">
        <v>1.3817048093906124</v>
      </c>
      <c r="E482">
        <f t="shared" si="9"/>
        <v>1.9021634808199739</v>
      </c>
    </row>
    <row r="483" spans="4:5">
      <c r="D483" s="194">
        <v>1.381786156038288</v>
      </c>
      <c r="E483">
        <f t="shared" si="9"/>
        <v>1.9028237217452861</v>
      </c>
    </row>
    <row r="484" spans="4:5">
      <c r="D484" s="194">
        <v>1.3820626600104333</v>
      </c>
      <c r="E484">
        <f t="shared" si="9"/>
        <v>1.9050661495807815</v>
      </c>
    </row>
    <row r="485" spans="4:5">
      <c r="D485" s="194">
        <v>1.3827119405927988</v>
      </c>
      <c r="E485">
        <f t="shared" si="9"/>
        <v>1.9103208460617067</v>
      </c>
    </row>
    <row r="486" spans="4:5">
      <c r="D486" s="194">
        <v>1.3827929140907145</v>
      </c>
      <c r="E486">
        <f t="shared" si="9"/>
        <v>1.9109750910743666</v>
      </c>
    </row>
    <row r="487" spans="4:5">
      <c r="D487" s="194">
        <v>1.3830033705553433</v>
      </c>
      <c r="E487">
        <f t="shared" si="9"/>
        <v>1.9126743954760512</v>
      </c>
    </row>
    <row r="488" spans="4:5">
      <c r="D488" s="194">
        <v>1.3830518800241407</v>
      </c>
      <c r="E488">
        <f t="shared" si="9"/>
        <v>1.9130658472039894</v>
      </c>
    </row>
    <row r="489" spans="4:5">
      <c r="D489" s="194">
        <v>1.3830518800241407</v>
      </c>
      <c r="E489">
        <f t="shared" si="9"/>
        <v>1.9130658472039894</v>
      </c>
    </row>
    <row r="490" spans="4:5">
      <c r="D490" s="194">
        <v>1.3837306394375446</v>
      </c>
      <c r="E490">
        <f t="shared" si="9"/>
        <v>1.9185339889443482</v>
      </c>
    </row>
    <row r="491" spans="4:5">
      <c r="D491" s="194">
        <v>1.3842946552997546</v>
      </c>
      <c r="E491">
        <f t="shared" si="9"/>
        <v>1.9230646105629754</v>
      </c>
    </row>
    <row r="492" spans="4:5">
      <c r="D492" s="194">
        <v>1.3846164969677375</v>
      </c>
      <c r="E492">
        <f t="shared" si="9"/>
        <v>1.9256444981214671</v>
      </c>
    </row>
    <row r="493" spans="4:5">
      <c r="D493" s="194">
        <v>1.385114278747551</v>
      </c>
      <c r="E493">
        <f t="shared" si="9"/>
        <v>1.9296269267000792</v>
      </c>
    </row>
    <row r="494" spans="4:5">
      <c r="D494" s="194">
        <v>1.3853866780723365</v>
      </c>
      <c r="E494">
        <f t="shared" si="9"/>
        <v>1.9318021783317736</v>
      </c>
    </row>
    <row r="495" spans="4:5">
      <c r="D495" s="194">
        <v>1.3861225293990174</v>
      </c>
      <c r="E495">
        <f t="shared" si="9"/>
        <v>1.9376639161054829</v>
      </c>
    </row>
    <row r="496" spans="4:5">
      <c r="D496" s="194">
        <v>1.386505381052757</v>
      </c>
      <c r="E496">
        <f t="shared" si="9"/>
        <v>1.9407052844356387</v>
      </c>
    </row>
    <row r="497" spans="4:5">
      <c r="D497" s="194">
        <v>1.3870949576735256</v>
      </c>
      <c r="E497">
        <f t="shared" si="9"/>
        <v>1.9453775062551864</v>
      </c>
    </row>
    <row r="498" spans="4:5">
      <c r="D498" s="194">
        <v>1.3871901108623206</v>
      </c>
      <c r="E498">
        <f t="shared" si="9"/>
        <v>1.9461302668979326</v>
      </c>
    </row>
    <row r="499" spans="4:5">
      <c r="D499" s="194">
        <v>1.3876031876466186</v>
      </c>
      <c r="E499">
        <f t="shared" si="9"/>
        <v>1.9493939145134864</v>
      </c>
    </row>
    <row r="500" spans="4:5">
      <c r="D500" s="194">
        <v>1.3876031876466186</v>
      </c>
      <c r="E500">
        <f t="shared" si="9"/>
        <v>1.9493939145134864</v>
      </c>
    </row>
    <row r="501" spans="4:5">
      <c r="D501" s="194">
        <v>1.3886327078344038</v>
      </c>
      <c r="E501">
        <f t="shared" si="9"/>
        <v>1.957497840484423</v>
      </c>
    </row>
    <row r="502" spans="4:5">
      <c r="D502" s="194">
        <v>1.3886644255640022</v>
      </c>
      <c r="E502">
        <f t="shared" si="9"/>
        <v>1.9577468192363199</v>
      </c>
    </row>
    <row r="503" spans="4:5">
      <c r="D503" s="194">
        <v>1.388948765681107</v>
      </c>
      <c r="E503">
        <f t="shared" si="9"/>
        <v>1.9599769855267539</v>
      </c>
    </row>
    <row r="504" spans="4:5">
      <c r="D504" s="194">
        <v>1.389137952609417</v>
      </c>
      <c r="E504">
        <f t="shared" si="9"/>
        <v>1.9614589815308685</v>
      </c>
    </row>
    <row r="505" spans="4:5">
      <c r="D505" s="194">
        <v>1.3894058741370827</v>
      </c>
      <c r="E505">
        <f t="shared" si="9"/>
        <v>1.9635551981533814</v>
      </c>
    </row>
    <row r="506" spans="4:5">
      <c r="D506" s="194">
        <v>1.3896107333553118</v>
      </c>
      <c r="E506">
        <f t="shared" si="9"/>
        <v>1.9651559933866394</v>
      </c>
    </row>
    <row r="507" spans="4:5">
      <c r="D507" s="194">
        <v>1.3901139258066451</v>
      </c>
      <c r="E507">
        <f t="shared" si="9"/>
        <v>1.9690805191492022</v>
      </c>
    </row>
    <row r="508" spans="4:5">
      <c r="D508" s="194">
        <v>1.3904749481994259</v>
      </c>
      <c r="E508">
        <f t="shared" si="9"/>
        <v>1.971889630846684</v>
      </c>
    </row>
    <row r="509" spans="4:5">
      <c r="D509" s="194">
        <v>1.3907257048381325</v>
      </c>
      <c r="E509">
        <f t="shared" si="9"/>
        <v>1.9738375025058346</v>
      </c>
    </row>
    <row r="510" spans="4:5">
      <c r="D510" s="194">
        <v>1.3911014666464325</v>
      </c>
      <c r="E510">
        <f t="shared" si="9"/>
        <v>1.9767513746257777</v>
      </c>
    </row>
    <row r="511" spans="4:5">
      <c r="D511" s="194">
        <v>1.3915705158947276</v>
      </c>
      <c r="E511">
        <f t="shared" si="9"/>
        <v>1.9803801193277986</v>
      </c>
    </row>
    <row r="512" spans="4:5">
      <c r="D512" s="194">
        <v>1.3915861881846467</v>
      </c>
      <c r="E512">
        <f t="shared" si="9"/>
        <v>1.9805012017969261</v>
      </c>
    </row>
    <row r="513" spans="4:5">
      <c r="D513" s="194">
        <v>1.3916641764844826</v>
      </c>
      <c r="E513">
        <f t="shared" si="9"/>
        <v>1.9811035726707629</v>
      </c>
    </row>
    <row r="514" spans="4:5">
      <c r="D514" s="194">
        <v>1.3926302612130712</v>
      </c>
      <c r="E514">
        <f t="shared" si="9"/>
        <v>1.9885434507750754</v>
      </c>
    </row>
    <row r="515" spans="4:5">
      <c r="D515" s="194">
        <v>1.3926769049330687</v>
      </c>
      <c r="E515">
        <f t="shared" ref="E515:E578" si="10">_xlfn.NORM.DIST(D515,$B$2,$B$4,FALSE)</f>
        <v>1.9889016190021878</v>
      </c>
    </row>
    <row r="516" spans="4:5">
      <c r="D516" s="194">
        <v>1.3927078763631471</v>
      </c>
      <c r="E516">
        <f t="shared" si="10"/>
        <v>1.9891393895756364</v>
      </c>
    </row>
    <row r="517" spans="4:5">
      <c r="D517" s="194">
        <v>1.3931582681234431</v>
      </c>
      <c r="E517">
        <f t="shared" si="10"/>
        <v>1.9925922835266663</v>
      </c>
    </row>
    <row r="518" spans="4:5">
      <c r="D518" s="194">
        <v>1.393499513578945</v>
      </c>
      <c r="E518">
        <f t="shared" si="10"/>
        <v>1.9952024000460082</v>
      </c>
    </row>
    <row r="519" spans="4:5">
      <c r="D519" s="194">
        <v>1.3936855287342951</v>
      </c>
      <c r="E519">
        <f t="shared" si="10"/>
        <v>1.9966229959595339</v>
      </c>
    </row>
    <row r="520" spans="4:5">
      <c r="D520" s="194">
        <v>1.3939485993150811</v>
      </c>
      <c r="E520">
        <f t="shared" si="10"/>
        <v>1.9986294068491226</v>
      </c>
    </row>
    <row r="521" spans="4:5">
      <c r="D521" s="194">
        <v>1.3943349958915405</v>
      </c>
      <c r="E521">
        <f t="shared" si="10"/>
        <v>2.0015707430212961</v>
      </c>
    </row>
    <row r="522" spans="4:5">
      <c r="D522" s="194">
        <v>1.3945049656072115</v>
      </c>
      <c r="E522">
        <f t="shared" si="10"/>
        <v>2.0028624444092071</v>
      </c>
    </row>
    <row r="523" spans="4:5">
      <c r="D523" s="194">
        <v>1.3946128058878458</v>
      </c>
      <c r="E523">
        <f t="shared" si="10"/>
        <v>2.0036813049017432</v>
      </c>
    </row>
    <row r="524" spans="4:5">
      <c r="D524" s="194">
        <v>1.3947053470283208</v>
      </c>
      <c r="E524">
        <f t="shared" si="10"/>
        <v>2.0043835717696474</v>
      </c>
    </row>
    <row r="525" spans="4:5">
      <c r="D525" s="194">
        <v>1.3947671033135975</v>
      </c>
      <c r="E525">
        <f t="shared" si="10"/>
        <v>2.0048520039104458</v>
      </c>
    </row>
    <row r="526" spans="4:5">
      <c r="D526" s="194">
        <v>1.3948288595988743</v>
      </c>
      <c r="E526">
        <f t="shared" si="10"/>
        <v>2.0053202615639569</v>
      </c>
    </row>
    <row r="527" spans="4:5">
      <c r="D527" s="194">
        <v>1.3952139501511738</v>
      </c>
      <c r="E527">
        <f t="shared" si="10"/>
        <v>2.0082362051100735</v>
      </c>
    </row>
    <row r="528" spans="4:5">
      <c r="D528" s="194">
        <v>1.3954600424178807</v>
      </c>
      <c r="E528">
        <f t="shared" si="10"/>
        <v>2.0100960638382857</v>
      </c>
    </row>
    <row r="529" spans="4:5">
      <c r="D529" s="194">
        <v>1.3955523969834758</v>
      </c>
      <c r="E529">
        <f t="shared" si="10"/>
        <v>2.0107933172317072</v>
      </c>
    </row>
    <row r="530" spans="4:5">
      <c r="D530" s="194">
        <v>1.3956137801189925</v>
      </c>
      <c r="E530">
        <f t="shared" si="10"/>
        <v>2.0112565256715418</v>
      </c>
    </row>
    <row r="531" spans="4:5">
      <c r="D531" s="194">
        <v>1.3957520321050652</v>
      </c>
      <c r="E531">
        <f t="shared" si="10"/>
        <v>2.0122991603934368</v>
      </c>
    </row>
    <row r="532" spans="4:5">
      <c r="D532" s="194">
        <v>1.3959977512220121</v>
      </c>
      <c r="E532">
        <f t="shared" si="10"/>
        <v>2.0141500705317554</v>
      </c>
    </row>
    <row r="533" spans="4:5">
      <c r="D533" s="194">
        <v>1.396074433497688</v>
      </c>
      <c r="E533">
        <f t="shared" si="10"/>
        <v>2.0147271132064724</v>
      </c>
    </row>
    <row r="534" spans="4:5">
      <c r="D534" s="194">
        <v>1.3963352651799141</v>
      </c>
      <c r="E534">
        <f t="shared" si="10"/>
        <v>2.0166878426080457</v>
      </c>
    </row>
    <row r="535" spans="4:5">
      <c r="D535" s="194">
        <v>1.3964423591610284</v>
      </c>
      <c r="E535">
        <f t="shared" si="10"/>
        <v>2.0174919684281494</v>
      </c>
    </row>
    <row r="536" spans="4:5">
      <c r="D536" s="194">
        <v>1.3967181168336538</v>
      </c>
      <c r="E536">
        <f t="shared" si="10"/>
        <v>2.0195600401983191</v>
      </c>
    </row>
    <row r="537" spans="4:5">
      <c r="D537" s="194">
        <v>1.3969629030762007</v>
      </c>
      <c r="E537">
        <f t="shared" si="10"/>
        <v>2.0213928330957454</v>
      </c>
    </row>
    <row r="538" spans="4:5">
      <c r="D538" s="194">
        <v>1.3976804700646426</v>
      </c>
      <c r="E538">
        <f t="shared" si="10"/>
        <v>2.0267490939776578</v>
      </c>
    </row>
    <row r="539" spans="4:5">
      <c r="D539" s="194">
        <v>1.3977259943353602</v>
      </c>
      <c r="E539">
        <f t="shared" si="10"/>
        <v>2.0270880798446345</v>
      </c>
    </row>
    <row r="540" spans="4:5">
      <c r="D540" s="194">
        <v>1.3983200487532486</v>
      </c>
      <c r="E540">
        <f t="shared" si="10"/>
        <v>2.0315024389943064</v>
      </c>
    </row>
    <row r="541" spans="4:5">
      <c r="D541" s="194">
        <v>1.3987152143490675</v>
      </c>
      <c r="E541">
        <f t="shared" si="10"/>
        <v>2.0344294341604527</v>
      </c>
    </row>
    <row r="542" spans="4:5">
      <c r="D542" s="194">
        <v>1.3987454394796259</v>
      </c>
      <c r="E542">
        <f t="shared" si="10"/>
        <v>2.0346529998610259</v>
      </c>
    </row>
    <row r="543" spans="4:5">
      <c r="D543" s="194">
        <v>1.3988215620306619</v>
      </c>
      <c r="E543">
        <f t="shared" si="10"/>
        <v>2.0352158572086259</v>
      </c>
    </row>
    <row r="544" spans="4:5">
      <c r="D544" s="194">
        <v>1.3992006821868017</v>
      </c>
      <c r="E544">
        <f t="shared" si="10"/>
        <v>2.0380148972370482</v>
      </c>
    </row>
    <row r="545" spans="4:5">
      <c r="D545" s="194">
        <v>1.399382779269672</v>
      </c>
      <c r="E545">
        <f t="shared" si="10"/>
        <v>2.0393568171421501</v>
      </c>
    </row>
    <row r="546" spans="4:5">
      <c r="D546" s="194">
        <v>1.3994130044002304</v>
      </c>
      <c r="E546">
        <f t="shared" si="10"/>
        <v>2.0395793963437954</v>
      </c>
    </row>
    <row r="547" spans="4:5">
      <c r="D547" s="194">
        <v>1.3996551785944575</v>
      </c>
      <c r="E547">
        <f t="shared" si="10"/>
        <v>2.0413611551743647</v>
      </c>
    </row>
    <row r="548" spans="4:5">
      <c r="D548" s="194">
        <v>1.400305205476343</v>
      </c>
      <c r="E548">
        <f t="shared" si="10"/>
        <v>2.0461292963425781</v>
      </c>
    </row>
    <row r="549" spans="4:5">
      <c r="D549" s="194">
        <v>1.400380581727859</v>
      </c>
      <c r="E549">
        <f t="shared" si="10"/>
        <v>2.0466808462227188</v>
      </c>
    </row>
    <row r="550" spans="4:5">
      <c r="D550" s="194">
        <v>1.4004410319889757</v>
      </c>
      <c r="E550">
        <f t="shared" si="10"/>
        <v>2.0471229736915193</v>
      </c>
    </row>
    <row r="551" spans="4:5">
      <c r="D551" s="194">
        <v>1.4006824598836829</v>
      </c>
      <c r="E551">
        <f t="shared" si="10"/>
        <v>2.0488869348525474</v>
      </c>
    </row>
    <row r="552" spans="4:5">
      <c r="D552" s="194">
        <v>1.4009686657495877</v>
      </c>
      <c r="E552">
        <f t="shared" si="10"/>
        <v>2.0509742796140773</v>
      </c>
    </row>
    <row r="553" spans="4:5">
      <c r="D553" s="194">
        <v>1.4010440420011037</v>
      </c>
      <c r="E553">
        <f t="shared" si="10"/>
        <v>2.0515233262425041</v>
      </c>
    </row>
    <row r="554" spans="4:5">
      <c r="D554" s="194">
        <v>1.4011041191124605</v>
      </c>
      <c r="E554">
        <f t="shared" si="10"/>
        <v>2.051960727977713</v>
      </c>
    </row>
    <row r="555" spans="4:5">
      <c r="D555" s="194">
        <v>1.4014653280801213</v>
      </c>
      <c r="E555">
        <f t="shared" si="10"/>
        <v>2.0545867343730349</v>
      </c>
    </row>
    <row r="556" spans="4:5">
      <c r="D556" s="194">
        <v>1.4017657136369053</v>
      </c>
      <c r="E556">
        <f t="shared" si="10"/>
        <v>2.0567655227152901</v>
      </c>
    </row>
    <row r="557" spans="4:5">
      <c r="D557" s="194">
        <v>1.4019910960919333</v>
      </c>
      <c r="E557">
        <f t="shared" si="10"/>
        <v>2.058397279421218</v>
      </c>
    </row>
    <row r="558" spans="4:5">
      <c r="D558" s="194">
        <v>1.4022310313876005</v>
      </c>
      <c r="E558">
        <f t="shared" si="10"/>
        <v>2.0601315506303459</v>
      </c>
    </row>
    <row r="559" spans="4:5">
      <c r="D559" s="194">
        <v>1.4025306706448646</v>
      </c>
      <c r="E559">
        <f t="shared" si="10"/>
        <v>2.0622932288085485</v>
      </c>
    </row>
    <row r="560" spans="4:5">
      <c r="D560" s="194">
        <v>1.402635525727419</v>
      </c>
      <c r="E560">
        <f t="shared" si="10"/>
        <v>2.0630485927900533</v>
      </c>
    </row>
    <row r="561" spans="4:5">
      <c r="D561" s="194">
        <v>1.4027702327907718</v>
      </c>
      <c r="E561">
        <f t="shared" si="10"/>
        <v>2.0640181765294909</v>
      </c>
    </row>
    <row r="562" spans="4:5">
      <c r="D562" s="194">
        <v>1.4028299367523687</v>
      </c>
      <c r="E562">
        <f t="shared" si="10"/>
        <v>2.064447609812694</v>
      </c>
    </row>
    <row r="563" spans="4:5">
      <c r="D563" s="194">
        <v>1.4030243477773183</v>
      </c>
      <c r="E563">
        <f t="shared" si="10"/>
        <v>2.0658446765175289</v>
      </c>
    </row>
    <row r="564" spans="4:5">
      <c r="D564" s="194">
        <v>1.4030541997581167</v>
      </c>
      <c r="E564">
        <f t="shared" si="10"/>
        <v>2.0660590242547348</v>
      </c>
    </row>
    <row r="565" spans="4:5">
      <c r="D565" s="194">
        <v>1.4030991643041943</v>
      </c>
      <c r="E565">
        <f t="shared" si="10"/>
        <v>2.0663817984624098</v>
      </c>
    </row>
    <row r="566" spans="4:5">
      <c r="D566" s="194">
        <v>1.4039049812108715</v>
      </c>
      <c r="E566">
        <f t="shared" si="10"/>
        <v>2.0721484711446378</v>
      </c>
    </row>
    <row r="567" spans="4:5">
      <c r="D567" s="194">
        <v>1.4039646851724683</v>
      </c>
      <c r="E567">
        <f t="shared" si="10"/>
        <v>2.0725743825200218</v>
      </c>
    </row>
    <row r="568" spans="4:5">
      <c r="D568" s="194">
        <v>1.4042475326905333</v>
      </c>
      <c r="E568">
        <f t="shared" si="10"/>
        <v>2.0745895961315841</v>
      </c>
    </row>
    <row r="569" spans="4:5">
      <c r="D569" s="194">
        <v>1.4044557502566022</v>
      </c>
      <c r="E569">
        <f t="shared" si="10"/>
        <v>2.0760704023642647</v>
      </c>
    </row>
    <row r="570" spans="4:5">
      <c r="D570" s="194">
        <v>1.404515454218199</v>
      </c>
      <c r="E570">
        <f t="shared" si="10"/>
        <v>2.0764945846270844</v>
      </c>
    </row>
    <row r="571" spans="4:5">
      <c r="D571" s="194">
        <v>1.4047085592189887</v>
      </c>
      <c r="E571">
        <f t="shared" si="10"/>
        <v>2.0778652595527216</v>
      </c>
    </row>
    <row r="572" spans="4:5">
      <c r="D572" s="194">
        <v>1.4050945826456882</v>
      </c>
      <c r="E572">
        <f t="shared" si="10"/>
        <v>2.0805993628170389</v>
      </c>
    </row>
    <row r="573" spans="4:5">
      <c r="D573" s="194">
        <v>1.4051244346264866</v>
      </c>
      <c r="E573">
        <f t="shared" si="10"/>
        <v>2.0808104668429794</v>
      </c>
    </row>
    <row r="574" spans="4:5">
      <c r="D574" s="194">
        <v>1.4055543031499838</v>
      </c>
      <c r="E574">
        <f t="shared" si="10"/>
        <v>2.0838450958279569</v>
      </c>
    </row>
    <row r="575" spans="4:5">
      <c r="D575" s="194">
        <v>1.4060871610072354</v>
      </c>
      <c r="E575">
        <f t="shared" si="10"/>
        <v>2.0875930338668764</v>
      </c>
    </row>
    <row r="576" spans="4:5">
      <c r="D576" s="194">
        <v>1.4061020869976346</v>
      </c>
      <c r="E576">
        <f t="shared" si="10"/>
        <v>2.0876977982379472</v>
      </c>
    </row>
    <row r="577" spans="4:5">
      <c r="D577" s="194">
        <v>1.4061905234907499</v>
      </c>
      <c r="E577">
        <f t="shared" si="10"/>
        <v>2.0883182806206277</v>
      </c>
    </row>
    <row r="578" spans="4:5">
      <c r="D578" s="194">
        <v>1.4065599417531303</v>
      </c>
      <c r="E578">
        <f t="shared" si="10"/>
        <v>2.0909055983154121</v>
      </c>
    </row>
    <row r="579" spans="4:5">
      <c r="D579" s="194">
        <v>1.4066633042366448</v>
      </c>
      <c r="E579">
        <f t="shared" ref="E579:E642" si="11">_xlfn.NORM.DIST(D579,$B$2,$B$4,FALSE)</f>
        <v>2.091628200798322</v>
      </c>
    </row>
    <row r="580" spans="4:5">
      <c r="D580" s="194">
        <v>1.4068256243822361</v>
      </c>
      <c r="E580">
        <f t="shared" si="11"/>
        <v>2.092761802219715</v>
      </c>
    </row>
    <row r="581" spans="4:5">
      <c r="D581" s="194">
        <v>1.4074592326746824</v>
      </c>
      <c r="E581">
        <f t="shared" si="11"/>
        <v>2.0971730052618294</v>
      </c>
    </row>
    <row r="582" spans="4:5">
      <c r="D582" s="194">
        <v>1.4080473166964111</v>
      </c>
      <c r="E582">
        <f t="shared" si="11"/>
        <v>2.1012475600831837</v>
      </c>
    </row>
    <row r="583" spans="4:5">
      <c r="D583" s="194">
        <v>1.4086048024378215</v>
      </c>
      <c r="E583">
        <f t="shared" si="11"/>
        <v>2.105092464788807</v>
      </c>
    </row>
    <row r="584" spans="4:5">
      <c r="D584" s="194">
        <v>1.4091615418797119</v>
      </c>
      <c r="E584">
        <f t="shared" si="11"/>
        <v>2.1089149569301111</v>
      </c>
    </row>
    <row r="585" spans="4:5">
      <c r="D585" s="194">
        <v>1.409234679232668</v>
      </c>
      <c r="E585">
        <f t="shared" si="11"/>
        <v>2.1094158188851511</v>
      </c>
    </row>
    <row r="586" spans="4:5">
      <c r="D586" s="194">
        <v>1.4093955067792194</v>
      </c>
      <c r="E586">
        <f t="shared" si="11"/>
        <v>2.1105161482384287</v>
      </c>
    </row>
    <row r="587" spans="4:5">
      <c r="D587" s="194">
        <v>1.4097169752974423</v>
      </c>
      <c r="E587">
        <f t="shared" si="11"/>
        <v>2.1127111699598089</v>
      </c>
    </row>
    <row r="588" spans="4:5">
      <c r="D588" s="194">
        <v>1.4100089649846268</v>
      </c>
      <c r="E588">
        <f t="shared" si="11"/>
        <v>2.1146998533642223</v>
      </c>
    </row>
    <row r="589" spans="4:5">
      <c r="D589" s="194">
        <v>1.4106649622626719</v>
      </c>
      <c r="E589">
        <f t="shared" si="11"/>
        <v>2.1191500840060153</v>
      </c>
    </row>
    <row r="590" spans="4:5">
      <c r="D590" s="194">
        <v>1.4106795151033111</v>
      </c>
      <c r="E590">
        <f t="shared" si="11"/>
        <v>2.1192485314475316</v>
      </c>
    </row>
    <row r="591" spans="4:5">
      <c r="D591" s="194">
        <v>1.4107813849877857</v>
      </c>
      <c r="E591">
        <f t="shared" si="11"/>
        <v>2.1199373248511972</v>
      </c>
    </row>
    <row r="592" spans="4:5">
      <c r="D592" s="194">
        <v>1.4109560190754564</v>
      </c>
      <c r="E592">
        <f t="shared" si="11"/>
        <v>2.1211167330008762</v>
      </c>
    </row>
    <row r="593" spans="4:5">
      <c r="D593" s="194">
        <v>1.411377305154474</v>
      </c>
      <c r="E593">
        <f t="shared" si="11"/>
        <v>2.1239547315158247</v>
      </c>
    </row>
    <row r="594" spans="4:5">
      <c r="D594" s="194">
        <v>1.4114646221983094</v>
      </c>
      <c r="E594">
        <f t="shared" si="11"/>
        <v>2.124541667114821</v>
      </c>
    </row>
    <row r="595" spans="4:5">
      <c r="D595" s="194">
        <v>1.4118709822869278</v>
      </c>
      <c r="E595">
        <f t="shared" si="11"/>
        <v>2.127267387182465</v>
      </c>
    </row>
    <row r="596" spans="4:5">
      <c r="D596" s="194">
        <v>1.4118709822869278</v>
      </c>
      <c r="E596">
        <f t="shared" si="11"/>
        <v>2.127267387182465</v>
      </c>
    </row>
    <row r="597" spans="4:5">
      <c r="D597" s="194">
        <v>1.4121463668097931</v>
      </c>
      <c r="E597">
        <f t="shared" si="11"/>
        <v>2.129109136379959</v>
      </c>
    </row>
    <row r="598" spans="4:5">
      <c r="D598" s="194">
        <v>1.4129710277793492</v>
      </c>
      <c r="E598">
        <f t="shared" si="11"/>
        <v>2.1345979949535256</v>
      </c>
    </row>
    <row r="599" spans="4:5">
      <c r="D599" s="194">
        <v>1.413202007480777</v>
      </c>
      <c r="E599">
        <f t="shared" si="11"/>
        <v>2.1361282377992494</v>
      </c>
    </row>
    <row r="600" spans="4:5">
      <c r="D600" s="194">
        <v>1.413202007480777</v>
      </c>
      <c r="E600">
        <f t="shared" si="11"/>
        <v>2.1361282377992494</v>
      </c>
    </row>
    <row r="601" spans="4:5">
      <c r="D601" s="194">
        <v>1.4132165603214162</v>
      </c>
      <c r="E601">
        <f t="shared" si="11"/>
        <v>2.1362245455362689</v>
      </c>
    </row>
    <row r="602" spans="4:5">
      <c r="D602" s="194">
        <v>1.413822368956744</v>
      </c>
      <c r="E602">
        <f t="shared" si="11"/>
        <v>2.1402225864650273</v>
      </c>
    </row>
    <row r="603" spans="4:5">
      <c r="D603" s="194">
        <v>1.4138800205946609</v>
      </c>
      <c r="E603">
        <f t="shared" si="11"/>
        <v>2.1406019287890112</v>
      </c>
    </row>
    <row r="604" spans="4:5">
      <c r="D604" s="194">
        <v>1.414254289803921</v>
      </c>
      <c r="E604">
        <f t="shared" si="11"/>
        <v>2.1430597889719025</v>
      </c>
    </row>
    <row r="605" spans="4:5">
      <c r="D605" s="194">
        <v>1.4145278085779864</v>
      </c>
      <c r="E605">
        <f t="shared" si="11"/>
        <v>2.1448507414055373</v>
      </c>
    </row>
    <row r="606" spans="4:5">
      <c r="D606" s="194">
        <v>1.414743302564375</v>
      </c>
      <c r="E606">
        <f t="shared" si="11"/>
        <v>2.1462586130993437</v>
      </c>
    </row>
    <row r="607" spans="4:5">
      <c r="D607" s="194">
        <v>1.4147576688301342</v>
      </c>
      <c r="E607">
        <f t="shared" si="11"/>
        <v>2.1463523724824327</v>
      </c>
    </row>
    <row r="608" spans="4:5">
      <c r="D608" s="194">
        <v>1.414987529082282</v>
      </c>
      <c r="E608">
        <f t="shared" si="11"/>
        <v>2.1478508413375077</v>
      </c>
    </row>
    <row r="609" spans="4:5">
      <c r="D609" s="194">
        <v>1.4152170161846698</v>
      </c>
      <c r="E609">
        <f t="shared" si="11"/>
        <v>2.1493437150225962</v>
      </c>
    </row>
    <row r="610" spans="4:5">
      <c r="D610" s="194">
        <v>1.4152457487161882</v>
      </c>
      <c r="E610">
        <f t="shared" si="11"/>
        <v>2.1495304046708621</v>
      </c>
    </row>
    <row r="611" spans="4:5">
      <c r="D611" s="194">
        <v>1.4152457487161882</v>
      </c>
      <c r="E611">
        <f t="shared" si="11"/>
        <v>2.1495304046708621</v>
      </c>
    </row>
    <row r="612" spans="4:5">
      <c r="D612" s="194">
        <v>1.4152457487161882</v>
      </c>
      <c r="E612">
        <f t="shared" si="11"/>
        <v>2.1495304046708621</v>
      </c>
    </row>
    <row r="613" spans="4:5">
      <c r="D613" s="194">
        <v>1.4154608695528168</v>
      </c>
      <c r="E613">
        <f t="shared" si="11"/>
        <v>2.1509265730851057</v>
      </c>
    </row>
    <row r="614" spans="4:5">
      <c r="D614" s="194">
        <v>1.4156472578579269</v>
      </c>
      <c r="E614">
        <f t="shared" si="11"/>
        <v>2.1521340060576817</v>
      </c>
    </row>
    <row r="615" spans="4:5">
      <c r="D615" s="194">
        <v>1.4157043497712039</v>
      </c>
      <c r="E615">
        <f t="shared" si="11"/>
        <v>2.152503430501024</v>
      </c>
    </row>
    <row r="616" spans="4:5">
      <c r="D616" s="194">
        <v>1.41577599452512</v>
      </c>
      <c r="E616">
        <f t="shared" si="11"/>
        <v>2.1529667430362642</v>
      </c>
    </row>
    <row r="617" spans="4:5">
      <c r="D617" s="194">
        <v>1.4160194747435071</v>
      </c>
      <c r="E617">
        <f t="shared" si="11"/>
        <v>2.1545389582797014</v>
      </c>
    </row>
    <row r="618" spans="4:5">
      <c r="D618" s="194">
        <v>1.4162625818121342</v>
      </c>
      <c r="E618">
        <f t="shared" si="11"/>
        <v>2.1561051745605186</v>
      </c>
    </row>
    <row r="619" spans="4:5">
      <c r="D619" s="194">
        <v>1.4162913143436526</v>
      </c>
      <c r="E619">
        <f t="shared" si="11"/>
        <v>2.1562900463292052</v>
      </c>
    </row>
    <row r="620" spans="4:5">
      <c r="D620" s="194">
        <v>1.4165200551465205</v>
      </c>
      <c r="E620">
        <f t="shared" si="11"/>
        <v>2.1577600240226973</v>
      </c>
    </row>
    <row r="621" spans="4:5">
      <c r="D621" s="194">
        <v>1.4165342348373997</v>
      </c>
      <c r="E621">
        <f t="shared" si="11"/>
        <v>2.1578510432441798</v>
      </c>
    </row>
    <row r="622" spans="4:5">
      <c r="D622" s="194">
        <v>1.4165627807940382</v>
      </c>
      <c r="E622">
        <f t="shared" si="11"/>
        <v>2.1580342420910186</v>
      </c>
    </row>
    <row r="623" spans="4:5">
      <c r="D623" s="194">
        <v>1.4167198768429898</v>
      </c>
      <c r="E623">
        <f t="shared" si="11"/>
        <v>2.1590415438703885</v>
      </c>
    </row>
    <row r="624" spans="4:5">
      <c r="D624" s="194">
        <v>1.4168913391577007</v>
      </c>
      <c r="E624">
        <f t="shared" si="11"/>
        <v>2.1601392398074828</v>
      </c>
    </row>
    <row r="625" spans="4:5">
      <c r="D625" s="194">
        <v>1.4171051539701693</v>
      </c>
      <c r="E625">
        <f t="shared" si="11"/>
        <v>2.1615055513189714</v>
      </c>
    </row>
    <row r="626" spans="4:5">
      <c r="D626" s="194">
        <v>1.4172193377967233</v>
      </c>
      <c r="E626">
        <f t="shared" si="11"/>
        <v>2.1622340551798369</v>
      </c>
    </row>
    <row r="627" spans="4:5">
      <c r="D627" s="194">
        <v>1.417318968782638</v>
      </c>
      <c r="E627">
        <f t="shared" si="11"/>
        <v>2.1628690557378967</v>
      </c>
    </row>
    <row r="628" spans="4:5">
      <c r="D628" s="194">
        <v>1.4175613295517451</v>
      </c>
      <c r="E628">
        <f t="shared" si="11"/>
        <v>2.1644111963576447</v>
      </c>
    </row>
    <row r="629" spans="4:5">
      <c r="D629" s="194">
        <v>1.417675326803419</v>
      </c>
      <c r="E629">
        <f t="shared" si="11"/>
        <v>2.1651353077383004</v>
      </c>
    </row>
    <row r="630" spans="4:5">
      <c r="D630" s="194">
        <v>1.4178174968619714</v>
      </c>
      <c r="E630">
        <f t="shared" si="11"/>
        <v>2.1660372479875325</v>
      </c>
    </row>
    <row r="631" spans="4:5">
      <c r="D631" s="194">
        <v>1.4179598534954039</v>
      </c>
      <c r="E631">
        <f t="shared" si="11"/>
        <v>2.1669391189375271</v>
      </c>
    </row>
    <row r="632" spans="4:5">
      <c r="D632" s="194">
        <v>1.418144749201474</v>
      </c>
      <c r="E632">
        <f t="shared" si="11"/>
        <v>2.1681086125585751</v>
      </c>
    </row>
    <row r="633" spans="4:5">
      <c r="D633" s="194">
        <v>1.418201654539871</v>
      </c>
      <c r="E633">
        <f t="shared" si="11"/>
        <v>2.1684681206120877</v>
      </c>
    </row>
    <row r="634" spans="4:5">
      <c r="D634" s="194">
        <v>1.4185141674638544</v>
      </c>
      <c r="E634">
        <f t="shared" si="11"/>
        <v>2.1704388792563063</v>
      </c>
    </row>
    <row r="635" spans="4:5">
      <c r="D635" s="194">
        <v>1.4185567065364921</v>
      </c>
      <c r="E635">
        <f t="shared" si="11"/>
        <v>2.1707066675571056</v>
      </c>
    </row>
    <row r="636" spans="4:5">
      <c r="D636" s="194">
        <v>1.4189966501035087</v>
      </c>
      <c r="E636">
        <f t="shared" si="11"/>
        <v>2.1734695361039895</v>
      </c>
    </row>
    <row r="637" spans="4:5">
      <c r="D637" s="194">
        <v>1.4191809860849389</v>
      </c>
      <c r="E637">
        <f t="shared" si="11"/>
        <v>2.1746235750623009</v>
      </c>
    </row>
    <row r="638" spans="4:5">
      <c r="D638" s="194">
        <v>1.4191951657758182</v>
      </c>
      <c r="E638">
        <f t="shared" si="11"/>
        <v>2.1747122590220016</v>
      </c>
    </row>
    <row r="639" spans="4:5">
      <c r="D639" s="194">
        <v>1.4194360339458854</v>
      </c>
      <c r="E639">
        <f t="shared" si="11"/>
        <v>2.1762167901608898</v>
      </c>
    </row>
    <row r="640" spans="4:5">
      <c r="D640" s="194">
        <v>1.4196625358501933</v>
      </c>
      <c r="E640">
        <f t="shared" si="11"/>
        <v>2.1776282555363258</v>
      </c>
    </row>
    <row r="641" spans="4:5">
      <c r="D641" s="194">
        <v>1.419931390252259</v>
      </c>
      <c r="E641">
        <f t="shared" si="11"/>
        <v>2.1792994441807227</v>
      </c>
    </row>
    <row r="642" spans="4:5">
      <c r="D642" s="194">
        <v>1.419987735866016</v>
      </c>
      <c r="E642">
        <f t="shared" si="11"/>
        <v>2.1796491074318891</v>
      </c>
    </row>
    <row r="643" spans="4:5">
      <c r="D643" s="194">
        <v>1.4201858783885655</v>
      </c>
      <c r="E643">
        <f t="shared" ref="E643:E706" si="12">_xlfn.NORM.DIST(D643,$B$2,$B$4,FALSE)</f>
        <v>2.1808771219776162</v>
      </c>
    </row>
    <row r="644" spans="4:5">
      <c r="D644" s="194">
        <v>1.4202422240023225</v>
      </c>
      <c r="E644">
        <f t="shared" si="12"/>
        <v>2.1812258770696826</v>
      </c>
    </row>
    <row r="645" spans="4:5">
      <c r="D645" s="194">
        <v>1.4202847630749602</v>
      </c>
      <c r="E645">
        <f t="shared" si="12"/>
        <v>2.1814890422077671</v>
      </c>
    </row>
    <row r="646" spans="4:5">
      <c r="D646" s="194">
        <v>1.4203694680704757</v>
      </c>
      <c r="E646">
        <f t="shared" si="12"/>
        <v>2.182012721975402</v>
      </c>
    </row>
    <row r="647" spans="4:5">
      <c r="D647" s="194">
        <v>1.4206375761730214</v>
      </c>
      <c r="E647">
        <f t="shared" si="12"/>
        <v>2.1836672664288419</v>
      </c>
    </row>
    <row r="648" spans="4:5">
      <c r="D648" s="194">
        <v>1.4206517558639007</v>
      </c>
      <c r="E648">
        <f t="shared" si="12"/>
        <v>2.1837546445608291</v>
      </c>
    </row>
    <row r="649" spans="4:5">
      <c r="D649" s="194">
        <v>1.4206941083616584</v>
      </c>
      <c r="E649">
        <f t="shared" si="12"/>
        <v>2.184015552986144</v>
      </c>
    </row>
    <row r="650" spans="4:5">
      <c r="D650" s="194">
        <v>1.4217504953321622</v>
      </c>
      <c r="E650">
        <f t="shared" si="12"/>
        <v>2.1904862164578351</v>
      </c>
    </row>
    <row r="651" spans="4:5">
      <c r="D651" s="194">
        <v>1.421961511521431</v>
      </c>
      <c r="E651">
        <f t="shared" si="12"/>
        <v>2.1917701625349957</v>
      </c>
    </row>
    <row r="652" spans="4:5">
      <c r="D652" s="194">
        <v>1.4222005139426983</v>
      </c>
      <c r="E652">
        <f t="shared" si="12"/>
        <v>2.1932209229335866</v>
      </c>
    </row>
    <row r="653" spans="4:5">
      <c r="D653" s="194">
        <v>1.4226917656017122</v>
      </c>
      <c r="E653">
        <f t="shared" si="12"/>
        <v>2.1961912425845607</v>
      </c>
    </row>
    <row r="654" spans="4:5">
      <c r="D654" s="194">
        <v>1.423014353569215</v>
      </c>
      <c r="E654">
        <f t="shared" si="12"/>
        <v>2.1981332231583171</v>
      </c>
    </row>
    <row r="655" spans="4:5">
      <c r="D655" s="194">
        <v>1.4232804093480809</v>
      </c>
      <c r="E655">
        <f t="shared" si="12"/>
        <v>2.1997297763157029</v>
      </c>
    </row>
    <row r="656" spans="4:5">
      <c r="D656" s="194">
        <v>1.4242313815113903</v>
      </c>
      <c r="E656">
        <f t="shared" si="12"/>
        <v>2.2053984907736761</v>
      </c>
    </row>
    <row r="657" spans="4:5">
      <c r="D657" s="194">
        <v>1.4248592059825569</v>
      </c>
      <c r="E657">
        <f t="shared" si="12"/>
        <v>2.2091082847951733</v>
      </c>
    </row>
    <row r="658" spans="4:5">
      <c r="D658" s="194">
        <v>1.4250125705339087</v>
      </c>
      <c r="E658">
        <f t="shared" si="12"/>
        <v>2.2100105434340214</v>
      </c>
    </row>
    <row r="659" spans="4:5">
      <c r="D659" s="194">
        <v>1.425082349539025</v>
      </c>
      <c r="E659">
        <f t="shared" si="12"/>
        <v>2.2104205431539636</v>
      </c>
    </row>
    <row r="660" spans="4:5">
      <c r="D660" s="194">
        <v>1.425402512033088</v>
      </c>
      <c r="E660">
        <f t="shared" si="12"/>
        <v>2.2122975662827336</v>
      </c>
    </row>
    <row r="661" spans="4:5">
      <c r="D661" s="194">
        <v>1.4254722910382043</v>
      </c>
      <c r="E661">
        <f t="shared" si="12"/>
        <v>2.2127057548562048</v>
      </c>
    </row>
    <row r="662" spans="4:5">
      <c r="D662" s="194">
        <v>1.4259034655858613</v>
      </c>
      <c r="E662">
        <f t="shared" si="12"/>
        <v>2.2152207991851576</v>
      </c>
    </row>
    <row r="663" spans="4:5">
      <c r="D663" s="194">
        <v>1.4260146642143354</v>
      </c>
      <c r="E663">
        <f t="shared" si="12"/>
        <v>2.2158674041779132</v>
      </c>
    </row>
    <row r="664" spans="4:5">
      <c r="D664" s="194">
        <v>1.4261812755821666</v>
      </c>
      <c r="E664">
        <f t="shared" si="12"/>
        <v>2.2168346751397485</v>
      </c>
    </row>
    <row r="665" spans="4:5">
      <c r="D665" s="194">
        <v>1.4263756866071162</v>
      </c>
      <c r="E665">
        <f t="shared" si="12"/>
        <v>2.2179609822904696</v>
      </c>
    </row>
    <row r="666" spans="4:5">
      <c r="D666" s="194">
        <v>1.426417479380234</v>
      </c>
      <c r="E666">
        <f t="shared" si="12"/>
        <v>2.2182027741093209</v>
      </c>
    </row>
    <row r="667" spans="4:5">
      <c r="D667" s="194">
        <v>1.4264868852355903</v>
      </c>
      <c r="E667">
        <f t="shared" si="12"/>
        <v>2.2186040615976466</v>
      </c>
    </row>
    <row r="668" spans="4:5">
      <c r="D668" s="194">
        <v>1.4266533100285415</v>
      </c>
      <c r="E668">
        <f t="shared" si="12"/>
        <v>2.219564967124906</v>
      </c>
    </row>
    <row r="669" spans="4:5">
      <c r="D669" s="194">
        <v>1.4267921217392541</v>
      </c>
      <c r="E669">
        <f t="shared" si="12"/>
        <v>2.2203650117105664</v>
      </c>
    </row>
    <row r="670" spans="4:5">
      <c r="D670" s="194">
        <v>1.4269585465322052</v>
      </c>
      <c r="E670">
        <f t="shared" si="12"/>
        <v>2.2213224902544</v>
      </c>
    </row>
    <row r="671" spans="4:5">
      <c r="D671" s="194">
        <v>1.4269723530733245</v>
      </c>
      <c r="E671">
        <f t="shared" si="12"/>
        <v>2.2214018382572838</v>
      </c>
    </row>
    <row r="672" spans="4:5">
      <c r="D672" s="194">
        <v>1.4270969850931579</v>
      </c>
      <c r="E672">
        <f t="shared" si="12"/>
        <v>2.2221175313463482</v>
      </c>
    </row>
    <row r="673" spans="4:5">
      <c r="D673" s="194">
        <v>1.4271801974896334</v>
      </c>
      <c r="E673">
        <f t="shared" si="12"/>
        <v>2.2225947890768527</v>
      </c>
    </row>
    <row r="674" spans="4:5">
      <c r="D674" s="194">
        <v>1.427470881152658</v>
      </c>
      <c r="E674">
        <f t="shared" si="12"/>
        <v>2.2242582976077148</v>
      </c>
    </row>
    <row r="675" spans="4:5">
      <c r="D675" s="194">
        <v>1.4281623276579012</v>
      </c>
      <c r="E675">
        <f t="shared" si="12"/>
        <v>2.2281921836978134</v>
      </c>
    </row>
    <row r="676" spans="4:5">
      <c r="D676" s="194">
        <v>1.4288664612549837</v>
      </c>
      <c r="E676">
        <f t="shared" si="12"/>
        <v>2.232164680017255</v>
      </c>
    </row>
    <row r="677" spans="4:5">
      <c r="D677" s="194">
        <v>1.4290455731397742</v>
      </c>
      <c r="E677">
        <f t="shared" si="12"/>
        <v>2.2331697427161847</v>
      </c>
    </row>
    <row r="678" spans="4:5">
      <c r="D678" s="194">
        <v>1.429086992763132</v>
      </c>
      <c r="E678">
        <f t="shared" si="12"/>
        <v>2.2334018491554866</v>
      </c>
    </row>
    <row r="679" spans="4:5">
      <c r="D679" s="194">
        <v>1.4292661046479225</v>
      </c>
      <c r="E679">
        <f t="shared" si="12"/>
        <v>2.2344041919497712</v>
      </c>
    </row>
    <row r="680" spans="4:5">
      <c r="D680" s="194">
        <v>1.4295552957119071</v>
      </c>
      <c r="E680">
        <f t="shared" si="12"/>
        <v>2.2360178857690336</v>
      </c>
    </row>
    <row r="681" spans="4:5">
      <c r="D681" s="194">
        <v>1.4297616475291761</v>
      </c>
      <c r="E681">
        <f t="shared" si="12"/>
        <v>2.2371657999207621</v>
      </c>
    </row>
    <row r="682" spans="4:5">
      <c r="D682" s="194">
        <v>1.4301193115741171</v>
      </c>
      <c r="E682">
        <f t="shared" si="12"/>
        <v>2.2391484590993898</v>
      </c>
    </row>
    <row r="683" spans="4:5">
      <c r="D683" s="194">
        <v>1.4303254768165061</v>
      </c>
      <c r="E683">
        <f t="shared" si="12"/>
        <v>2.2402872701950303</v>
      </c>
    </row>
    <row r="684" spans="4:5">
      <c r="D684" s="194">
        <v>1.4303665232901039</v>
      </c>
      <c r="E684">
        <f t="shared" si="12"/>
        <v>2.2405136488806137</v>
      </c>
    </row>
    <row r="685" spans="4:5">
      <c r="D685" s="194">
        <v>1.4304353694208203</v>
      </c>
      <c r="E685">
        <f t="shared" si="12"/>
        <v>2.2408930842975447</v>
      </c>
    </row>
    <row r="686" spans="4:5">
      <c r="D686" s="194">
        <v>1.4308745666883169</v>
      </c>
      <c r="E686">
        <f t="shared" si="12"/>
        <v>2.243305876490354</v>
      </c>
    </row>
    <row r="687" spans="4:5">
      <c r="D687" s="194">
        <v>1.4309157997367947</v>
      </c>
      <c r="E687">
        <f t="shared" si="12"/>
        <v>2.2435317043447971</v>
      </c>
    </row>
    <row r="688" spans="4:5">
      <c r="D688" s="194">
        <v>1.4309978926839904</v>
      </c>
      <c r="E688">
        <f t="shared" si="12"/>
        <v>2.2439809622940809</v>
      </c>
    </row>
    <row r="689" spans="4:5">
      <c r="D689" s="194">
        <v>1.4312173047428587</v>
      </c>
      <c r="E689">
        <f t="shared" si="12"/>
        <v>2.2451793905217929</v>
      </c>
    </row>
    <row r="690" spans="4:5">
      <c r="D690" s="194">
        <v>1.4312995842649343</v>
      </c>
      <c r="E690">
        <f t="shared" si="12"/>
        <v>2.2456279312504743</v>
      </c>
    </row>
    <row r="691" spans="4:5">
      <c r="D691" s="194">
        <v>1.4316421357445961</v>
      </c>
      <c r="E691">
        <f t="shared" si="12"/>
        <v>2.2474902167367437</v>
      </c>
    </row>
    <row r="692" spans="4:5">
      <c r="D692" s="194">
        <v>1.4316968021844332</v>
      </c>
      <c r="E692">
        <f t="shared" si="12"/>
        <v>2.2477866482718336</v>
      </c>
    </row>
    <row r="693" spans="4:5">
      <c r="D693" s="194">
        <v>1.431888414586183</v>
      </c>
      <c r="E693">
        <f t="shared" si="12"/>
        <v>2.2488240148337075</v>
      </c>
    </row>
    <row r="694" spans="4:5">
      <c r="D694" s="194">
        <v>1.4320662204468135</v>
      </c>
      <c r="E694">
        <f t="shared" si="12"/>
        <v>2.2497843192818214</v>
      </c>
    </row>
    <row r="695" spans="4:5">
      <c r="D695" s="194">
        <v>1.4322714528148026</v>
      </c>
      <c r="E695">
        <f t="shared" si="12"/>
        <v>2.2508899753531009</v>
      </c>
    </row>
    <row r="696" spans="4:5">
      <c r="D696" s="194">
        <v>1.4330770831465998</v>
      </c>
      <c r="E696">
        <f t="shared" si="12"/>
        <v>2.255201337750905</v>
      </c>
    </row>
    <row r="697" spans="4:5">
      <c r="D697" s="194">
        <v>1.433240895891231</v>
      </c>
      <c r="E697">
        <f t="shared" si="12"/>
        <v>2.2560723465530645</v>
      </c>
    </row>
    <row r="698" spans="4:5">
      <c r="D698" s="194">
        <v>1.433786067690562</v>
      </c>
      <c r="E698">
        <f t="shared" si="12"/>
        <v>2.2589572939062132</v>
      </c>
    </row>
    <row r="699" spans="4:5">
      <c r="D699" s="194">
        <v>1.4339901806092712</v>
      </c>
      <c r="E699">
        <f t="shared" si="12"/>
        <v>2.2600319535043063</v>
      </c>
    </row>
    <row r="700" spans="4:5">
      <c r="D700" s="194">
        <v>1.4345342329593223</v>
      </c>
      <c r="E700">
        <f t="shared" si="12"/>
        <v>2.2628818012273362</v>
      </c>
    </row>
    <row r="701" spans="4:5">
      <c r="D701" s="194">
        <v>1.4353626254264782</v>
      </c>
      <c r="E701">
        <f t="shared" si="12"/>
        <v>2.2671801260604729</v>
      </c>
    </row>
    <row r="702" spans="4:5">
      <c r="D702" s="194">
        <v>1.4356339053019838</v>
      </c>
      <c r="E702">
        <f t="shared" si="12"/>
        <v>2.2685769407908092</v>
      </c>
    </row>
    <row r="703" spans="4:5">
      <c r="D703" s="194">
        <v>1.4357965985973351</v>
      </c>
      <c r="E703">
        <f t="shared" si="12"/>
        <v>2.2694120835367104</v>
      </c>
    </row>
    <row r="704" spans="4:5">
      <c r="D704" s="194">
        <v>1.4357965985973351</v>
      </c>
      <c r="E704">
        <f t="shared" si="12"/>
        <v>2.2694120835367104</v>
      </c>
    </row>
    <row r="705" spans="4:5">
      <c r="D705" s="194">
        <v>1.4360133986078836</v>
      </c>
      <c r="E705">
        <f t="shared" si="12"/>
        <v>2.2705219785943833</v>
      </c>
    </row>
    <row r="706" spans="4:5">
      <c r="D706" s="194">
        <v>1.4361895252945942</v>
      </c>
      <c r="E706">
        <f t="shared" si="12"/>
        <v>2.2714211303119822</v>
      </c>
    </row>
    <row r="707" spans="4:5">
      <c r="D707" s="194">
        <v>1.4362029586859535</v>
      </c>
      <c r="E707">
        <f t="shared" ref="E707:E770" si="13">_xlfn.NORM.DIST(D707,$B$2,$B$4,FALSE)</f>
        <v>2.2714896169124006</v>
      </c>
    </row>
    <row r="708" spans="4:5">
      <c r="D708" s="194">
        <v>1.4367443989876847</v>
      </c>
      <c r="E708">
        <f t="shared" si="13"/>
        <v>2.2742390427189378</v>
      </c>
    </row>
    <row r="709" spans="4:5">
      <c r="D709" s="194">
        <v>1.4367712657704033</v>
      </c>
      <c r="E709">
        <f t="shared" si="13"/>
        <v>2.2743749137931251</v>
      </c>
    </row>
    <row r="710" spans="4:5">
      <c r="D710" s="194">
        <v>1.4369201525246353</v>
      </c>
      <c r="E710">
        <f t="shared" si="13"/>
        <v>2.2751269079225094</v>
      </c>
    </row>
    <row r="711" spans="4:5">
      <c r="D711" s="194">
        <v>1.4372712864487767</v>
      </c>
      <c r="E711">
        <f t="shared" si="13"/>
        <v>2.2768939712319725</v>
      </c>
    </row>
    <row r="712" spans="4:5">
      <c r="D712" s="194">
        <v>1.4372712864487767</v>
      </c>
      <c r="E712">
        <f t="shared" si="13"/>
        <v>2.2768939712319725</v>
      </c>
    </row>
    <row r="713" spans="4:5">
      <c r="D713" s="194">
        <v>1.4373929332705302</v>
      </c>
      <c r="E713">
        <f t="shared" si="13"/>
        <v>2.2775040409500424</v>
      </c>
    </row>
    <row r="714" spans="4:5">
      <c r="D714" s="194">
        <v>1.4375007735511645</v>
      </c>
      <c r="E714">
        <f t="shared" si="13"/>
        <v>2.2780439597004603</v>
      </c>
    </row>
    <row r="715" spans="4:5">
      <c r="D715" s="194">
        <v>1.4377033938708337</v>
      </c>
      <c r="E715">
        <f t="shared" si="13"/>
        <v>2.279056093804138</v>
      </c>
    </row>
    <row r="716" spans="4:5">
      <c r="D716" s="194">
        <v>1.438053968070335</v>
      </c>
      <c r="E716">
        <f t="shared" si="13"/>
        <v>2.2808001414484242</v>
      </c>
    </row>
    <row r="717" spans="4:5">
      <c r="D717" s="194">
        <v>1.4388754572669313</v>
      </c>
      <c r="E717">
        <f t="shared" si="13"/>
        <v>2.284851300420776</v>
      </c>
    </row>
    <row r="718" spans="4:5">
      <c r="D718" s="194">
        <v>1.4388888906582906</v>
      </c>
      <c r="E718">
        <f t="shared" si="13"/>
        <v>2.2849171309479055</v>
      </c>
    </row>
    <row r="719" spans="4:5">
      <c r="D719" s="194">
        <v>1.4391713650265956</v>
      </c>
      <c r="E719">
        <f t="shared" si="13"/>
        <v>2.286298292253182</v>
      </c>
    </row>
    <row r="720" spans="4:5">
      <c r="D720" s="194">
        <v>1.4393598056553856</v>
      </c>
      <c r="E720">
        <f t="shared" si="13"/>
        <v>2.2872163708662558</v>
      </c>
    </row>
    <row r="721" spans="4:5">
      <c r="D721" s="194">
        <v>1.439426972612182</v>
      </c>
      <c r="E721">
        <f t="shared" si="13"/>
        <v>2.2875429668282101</v>
      </c>
    </row>
    <row r="722" spans="4:5">
      <c r="D722" s="194">
        <v>1.4395075729603377</v>
      </c>
      <c r="E722">
        <f t="shared" si="13"/>
        <v>2.2879344376674795</v>
      </c>
    </row>
    <row r="723" spans="4:5">
      <c r="D723" s="194">
        <v>1.4396687736566491</v>
      </c>
      <c r="E723">
        <f t="shared" si="13"/>
        <v>2.288715924182346</v>
      </c>
    </row>
    <row r="724" spans="4:5">
      <c r="D724" s="194">
        <v>1.4402460363353384</v>
      </c>
      <c r="E724">
        <f t="shared" si="13"/>
        <v>2.2914984973979595</v>
      </c>
    </row>
    <row r="725" spans="4:5">
      <c r="D725" s="194">
        <v>1.4402861499345363</v>
      </c>
      <c r="E725">
        <f t="shared" si="13"/>
        <v>2.2916909286059943</v>
      </c>
    </row>
    <row r="726" spans="4:5">
      <c r="D726" s="194">
        <v>1.4406749719844356</v>
      </c>
      <c r="E726">
        <f t="shared" si="13"/>
        <v>2.2935499051769765</v>
      </c>
    </row>
    <row r="727" spans="4:5">
      <c r="D727" s="194">
        <v>1.4407419523663521</v>
      </c>
      <c r="E727">
        <f t="shared" si="13"/>
        <v>2.2938689936698302</v>
      </c>
    </row>
    <row r="728" spans="4:5">
      <c r="D728" s="194">
        <v>1.4410098738940178</v>
      </c>
      <c r="E728">
        <f t="shared" si="13"/>
        <v>2.295141968505042</v>
      </c>
    </row>
    <row r="729" spans="4:5">
      <c r="D729" s="194">
        <v>1.4416524377807036</v>
      </c>
      <c r="E729">
        <f t="shared" si="13"/>
        <v>2.2981728993723838</v>
      </c>
    </row>
    <row r="730" spans="4:5">
      <c r="D730" s="194">
        <v>1.4417860253947765</v>
      </c>
      <c r="E730">
        <f t="shared" si="13"/>
        <v>2.2987991007594903</v>
      </c>
    </row>
    <row r="731" spans="4:5">
      <c r="D731" s="194">
        <v>1.4417994587861358</v>
      </c>
      <c r="E731">
        <f t="shared" si="13"/>
        <v>2.2988619958850647</v>
      </c>
    </row>
    <row r="732" spans="4:5">
      <c r="D732" s="194">
        <v>1.4422537686189116</v>
      </c>
      <c r="E732">
        <f t="shared" si="13"/>
        <v>2.3009810102743988</v>
      </c>
    </row>
    <row r="733" spans="4:5">
      <c r="D733" s="194">
        <v>1.4428543531575997</v>
      </c>
      <c r="E733">
        <f t="shared" si="13"/>
        <v>2.3037581884212721</v>
      </c>
    </row>
    <row r="734" spans="4:5">
      <c r="D734" s="194">
        <v>1.4430144344046312</v>
      </c>
      <c r="E734">
        <f t="shared" si="13"/>
        <v>2.3044937803034888</v>
      </c>
    </row>
    <row r="735" spans="4:5">
      <c r="D735" s="194">
        <v>1.4434409445802885</v>
      </c>
      <c r="E735">
        <f t="shared" si="13"/>
        <v>2.3064440781923996</v>
      </c>
    </row>
    <row r="736" spans="4:5">
      <c r="D736" s="194">
        <v>1.4435741590446014</v>
      </c>
      <c r="E736">
        <f t="shared" si="13"/>
        <v>2.3070503710569659</v>
      </c>
    </row>
    <row r="737" spans="4:5">
      <c r="D737" s="194">
        <v>1.4437073735089143</v>
      </c>
      <c r="E737">
        <f t="shared" si="13"/>
        <v>2.3076553027934934</v>
      </c>
    </row>
    <row r="738" spans="4:5">
      <c r="D738" s="194">
        <v>1.4438137211905087</v>
      </c>
      <c r="E738">
        <f t="shared" si="13"/>
        <v>2.3081372536776317</v>
      </c>
    </row>
    <row r="739" spans="4:5">
      <c r="D739" s="194">
        <v>1.4446518155514241</v>
      </c>
      <c r="E739">
        <f t="shared" si="13"/>
        <v>2.3119049164601515</v>
      </c>
    </row>
    <row r="740" spans="4:5">
      <c r="D740" s="194">
        <v>1.444691742575742</v>
      </c>
      <c r="E740">
        <f t="shared" si="13"/>
        <v>2.3120830575180755</v>
      </c>
    </row>
    <row r="741" spans="4:5">
      <c r="D741" s="194">
        <v>1.444784656865977</v>
      </c>
      <c r="E741">
        <f t="shared" si="13"/>
        <v>2.3124971333301052</v>
      </c>
    </row>
    <row r="742" spans="4:5">
      <c r="D742" s="194">
        <v>1.4449174981805299</v>
      </c>
      <c r="E742">
        <f t="shared" si="13"/>
        <v>2.3130879863452143</v>
      </c>
    </row>
    <row r="743" spans="4:5">
      <c r="D743" s="194">
        <v>1.4452096744425944</v>
      </c>
      <c r="E743">
        <f t="shared" si="13"/>
        <v>2.3143827268114019</v>
      </c>
    </row>
    <row r="744" spans="4:5">
      <c r="D744" s="194">
        <v>1.4453025887328295</v>
      </c>
      <c r="E744">
        <f t="shared" si="13"/>
        <v>2.3147930784682993</v>
      </c>
    </row>
    <row r="745" spans="4:5">
      <c r="D745" s="194">
        <v>1.4453555759987466</v>
      </c>
      <c r="E745">
        <f t="shared" si="13"/>
        <v>2.3150267945943019</v>
      </c>
    </row>
    <row r="746" spans="4:5">
      <c r="D746" s="194">
        <v>1.4456738727440097</v>
      </c>
      <c r="E746">
        <f t="shared" si="13"/>
        <v>2.3164261518751585</v>
      </c>
    </row>
    <row r="747" spans="4:5">
      <c r="D747" s="194">
        <v>1.4457932806672034</v>
      </c>
      <c r="E747">
        <f t="shared" si="13"/>
        <v>2.3169490859801973</v>
      </c>
    </row>
    <row r="748" spans="4:5">
      <c r="D748" s="194">
        <v>1.4458727615660791</v>
      </c>
      <c r="E748">
        <f t="shared" si="13"/>
        <v>2.3172965493873119</v>
      </c>
    </row>
    <row r="749" spans="4:5">
      <c r="D749" s="194">
        <v>1.4462173653694208</v>
      </c>
      <c r="E749">
        <f t="shared" si="13"/>
        <v>2.3187973516180715</v>
      </c>
    </row>
    <row r="750" spans="4:5">
      <c r="D750" s="194">
        <v>1.446270352635338</v>
      </c>
      <c r="E750">
        <f t="shared" si="13"/>
        <v>2.3190272984827129</v>
      </c>
    </row>
    <row r="751" spans="4:5">
      <c r="D751" s="194">
        <v>1.4463365867177345</v>
      </c>
      <c r="E751">
        <f t="shared" si="13"/>
        <v>2.3193144241305648</v>
      </c>
    </row>
    <row r="752" spans="4:5">
      <c r="D752" s="194">
        <v>1.4464690548825274</v>
      </c>
      <c r="E752">
        <f t="shared" si="13"/>
        <v>2.3198876484668425</v>
      </c>
    </row>
    <row r="753" spans="4:5">
      <c r="D753" s="194">
        <v>1.4465750294143618</v>
      </c>
      <c r="E753">
        <f t="shared" si="13"/>
        <v>2.3203452414557648</v>
      </c>
    </row>
    <row r="754" spans="4:5">
      <c r="D754" s="194">
        <v>1.4466145832889197</v>
      </c>
      <c r="E754">
        <f t="shared" si="13"/>
        <v>2.3205158083619168</v>
      </c>
    </row>
    <row r="755" spans="4:5">
      <c r="D755" s="194">
        <v>1.4470909089575343</v>
      </c>
      <c r="E755">
        <f t="shared" si="13"/>
        <v>2.3225602421266025</v>
      </c>
    </row>
    <row r="756" spans="4:5">
      <c r="D756" s="194">
        <v>1.4471041557740136</v>
      </c>
      <c r="E756">
        <f t="shared" si="13"/>
        <v>2.3226168447878273</v>
      </c>
    </row>
    <row r="757" spans="4:5">
      <c r="D757" s="194">
        <v>1.4471174025904929</v>
      </c>
      <c r="E757">
        <f t="shared" si="13"/>
        <v>2.3226734336955119</v>
      </c>
    </row>
    <row r="758" spans="4:5">
      <c r="D758" s="194">
        <v>1.447209943730968</v>
      </c>
      <c r="E758">
        <f t="shared" si="13"/>
        <v>2.323068375285199</v>
      </c>
    </row>
    <row r="759" spans="4:5">
      <c r="D759" s="194">
        <v>1.4476592160419841</v>
      </c>
      <c r="E759">
        <f t="shared" si="13"/>
        <v>2.3249762010176829</v>
      </c>
    </row>
    <row r="760" spans="4:5">
      <c r="D760" s="194">
        <v>1.4478706053810129</v>
      </c>
      <c r="E760">
        <f t="shared" si="13"/>
        <v>2.3258683733076175</v>
      </c>
    </row>
    <row r="761" spans="4:5">
      <c r="D761" s="194">
        <v>1.4482269634017939</v>
      </c>
      <c r="E761">
        <f t="shared" si="13"/>
        <v>2.3273644218942757</v>
      </c>
    </row>
    <row r="762" spans="4:5">
      <c r="D762" s="194">
        <v>1.448319317967389</v>
      </c>
      <c r="E762">
        <f t="shared" si="13"/>
        <v>2.3277505074793075</v>
      </c>
    </row>
    <row r="763" spans="4:5">
      <c r="D763" s="194">
        <v>1.4487939644620837</v>
      </c>
      <c r="E763">
        <f t="shared" si="13"/>
        <v>2.3297241243232696</v>
      </c>
    </row>
    <row r="764" spans="4:5">
      <c r="D764" s="194">
        <v>1.4488202715201624</v>
      </c>
      <c r="E764">
        <f t="shared" si="13"/>
        <v>2.3298329900311714</v>
      </c>
    </row>
    <row r="765" spans="4:5">
      <c r="D765" s="194">
        <v>1.4494132064887708</v>
      </c>
      <c r="E765">
        <f t="shared" si="13"/>
        <v>2.3322721673296605</v>
      </c>
    </row>
    <row r="766" spans="4:5">
      <c r="D766" s="194">
        <v>1.449597355895321</v>
      </c>
      <c r="E766">
        <f t="shared" si="13"/>
        <v>2.3330240308948547</v>
      </c>
    </row>
    <row r="767" spans="4:5">
      <c r="D767" s="194">
        <v>1.4499789015249007</v>
      </c>
      <c r="E767">
        <f t="shared" si="13"/>
        <v>2.3345732603914673</v>
      </c>
    </row>
    <row r="768" spans="4:5">
      <c r="D768" s="194">
        <v>1.4503470137631211</v>
      </c>
      <c r="E768">
        <f t="shared" si="13"/>
        <v>2.3360569522209427</v>
      </c>
    </row>
    <row r="769" spans="4:5">
      <c r="D769" s="194">
        <v>1.4503602605796004</v>
      </c>
      <c r="E769">
        <f t="shared" si="13"/>
        <v>2.3361101425538791</v>
      </c>
    </row>
    <row r="770" spans="4:5">
      <c r="D770" s="194">
        <v>1.4504520554205556</v>
      </c>
      <c r="E770">
        <f t="shared" si="13"/>
        <v>2.3364783441224084</v>
      </c>
    </row>
    <row r="771" spans="4:5">
      <c r="D771" s="194">
        <v>1.4508330413254953</v>
      </c>
      <c r="E771">
        <f t="shared" ref="E771:E834" si="14">_xlfn.NORM.DIST(D771,$B$2,$B$4,FALSE)</f>
        <v>2.3379993326470747</v>
      </c>
    </row>
    <row r="772" spans="4:5">
      <c r="D772" s="194">
        <v>1.4510431246403641</v>
      </c>
      <c r="E772">
        <f t="shared" si="14"/>
        <v>2.3388330683391767</v>
      </c>
    </row>
    <row r="773" spans="4:5">
      <c r="D773" s="194">
        <v>1.4510957387565213</v>
      </c>
      <c r="E773">
        <f t="shared" si="14"/>
        <v>2.3390413188547341</v>
      </c>
    </row>
    <row r="774" spans="4:5">
      <c r="D774" s="194">
        <v>1.4511481662977985</v>
      </c>
      <c r="E774">
        <f t="shared" si="14"/>
        <v>2.3392486101815697</v>
      </c>
    </row>
    <row r="775" spans="4:5">
      <c r="D775" s="194">
        <v>1.4511875335974764</v>
      </c>
      <c r="E775">
        <f t="shared" si="14"/>
        <v>2.3394041182323608</v>
      </c>
    </row>
    <row r="776" spans="4:5">
      <c r="D776" s="194">
        <v>1.4515942668358548</v>
      </c>
      <c r="E776">
        <f t="shared" si="14"/>
        <v>2.3410035088815797</v>
      </c>
    </row>
    <row r="777" spans="4:5">
      <c r="D777" s="194">
        <v>1.451777669942885</v>
      </c>
      <c r="E777">
        <f t="shared" si="14"/>
        <v>2.3417203544547047</v>
      </c>
    </row>
    <row r="778" spans="4:5">
      <c r="D778" s="194">
        <v>1.4520922351905483</v>
      </c>
      <c r="E778">
        <f t="shared" si="14"/>
        <v>2.3429435554803466</v>
      </c>
    </row>
    <row r="779" spans="4:5">
      <c r="D779" s="194">
        <v>1.4521577229734248</v>
      </c>
      <c r="E779">
        <f t="shared" si="14"/>
        <v>2.3431972053228276</v>
      </c>
    </row>
    <row r="780" spans="4:5">
      <c r="D780" s="194">
        <v>1.4523541863220544</v>
      </c>
      <c r="E780">
        <f t="shared" si="14"/>
        <v>2.3439560802069055</v>
      </c>
    </row>
    <row r="781" spans="4:5">
      <c r="D781" s="194">
        <v>1.4523672465636537</v>
      </c>
      <c r="E781">
        <f t="shared" si="14"/>
        <v>2.3440064173646369</v>
      </c>
    </row>
    <row r="782" spans="4:5">
      <c r="D782" s="194">
        <v>1.4529038359185051</v>
      </c>
      <c r="E782">
        <f t="shared" si="14"/>
        <v>2.3460626447674837</v>
      </c>
    </row>
    <row r="783" spans="4:5">
      <c r="D783" s="194">
        <v>1.4532047811999291</v>
      </c>
      <c r="E783">
        <f t="shared" si="14"/>
        <v>2.3472056829001602</v>
      </c>
    </row>
    <row r="784" spans="4:5">
      <c r="D784" s="194">
        <v>1.4532178414415284</v>
      </c>
      <c r="E784">
        <f t="shared" si="14"/>
        <v>2.3472551216821724</v>
      </c>
    </row>
    <row r="785" spans="4:5">
      <c r="D785" s="194">
        <v>1.4534792328483945</v>
      </c>
      <c r="E785">
        <f t="shared" si="14"/>
        <v>2.3482416951991456</v>
      </c>
    </row>
    <row r="786" spans="4:5">
      <c r="D786" s="194">
        <v>1.4536490159891855</v>
      </c>
      <c r="E786">
        <f t="shared" si="14"/>
        <v>2.3488795401761258</v>
      </c>
    </row>
    <row r="787" spans="4:5">
      <c r="D787" s="194">
        <v>1.4539104073960516</v>
      </c>
      <c r="E787">
        <f t="shared" si="14"/>
        <v>2.3498569631265829</v>
      </c>
    </row>
    <row r="788" spans="4:5">
      <c r="D788" s="194">
        <v>1.4539626483624488</v>
      </c>
      <c r="E788">
        <f t="shared" si="14"/>
        <v>2.3500516421315867</v>
      </c>
    </row>
    <row r="789" spans="4:5">
      <c r="D789" s="194">
        <v>1.4542889678275515</v>
      </c>
      <c r="E789">
        <f t="shared" si="14"/>
        <v>2.3512626635397589</v>
      </c>
    </row>
    <row r="790" spans="4:5">
      <c r="D790" s="194">
        <v>1.45469327559249</v>
      </c>
      <c r="E790">
        <f t="shared" si="14"/>
        <v>2.3527510747376503</v>
      </c>
    </row>
    <row r="791" spans="4:5">
      <c r="D791" s="194">
        <v>1.454993287999514</v>
      </c>
      <c r="E791">
        <f t="shared" si="14"/>
        <v>2.3538469102373223</v>
      </c>
    </row>
    <row r="792" spans="4:5">
      <c r="D792" s="194">
        <v>1.4550584026326305</v>
      </c>
      <c r="E792">
        <f t="shared" si="14"/>
        <v>2.3540837785282429</v>
      </c>
    </row>
    <row r="793" spans="4:5">
      <c r="D793" s="194">
        <v>1.4551757582321443</v>
      </c>
      <c r="E793">
        <f t="shared" si="14"/>
        <v>2.3545098086017511</v>
      </c>
    </row>
    <row r="794" spans="4:5">
      <c r="D794" s="194">
        <v>1.4556576811471587</v>
      </c>
      <c r="E794">
        <f t="shared" si="14"/>
        <v>2.3562474842811825</v>
      </c>
    </row>
    <row r="795" spans="4:5">
      <c r="D795" s="194">
        <v>1.455800784080111</v>
      </c>
      <c r="E795">
        <f t="shared" si="14"/>
        <v>2.3567598059518788</v>
      </c>
    </row>
    <row r="796" spans="4:5">
      <c r="D796" s="194">
        <v>1.4559050794380255</v>
      </c>
      <c r="E796">
        <f t="shared" si="14"/>
        <v>2.3571321340165077</v>
      </c>
    </row>
    <row r="797" spans="4:5">
      <c r="D797" s="194">
        <v>1.4559179531047448</v>
      </c>
      <c r="E797">
        <f t="shared" si="14"/>
        <v>2.3571780302923226</v>
      </c>
    </row>
    <row r="798" spans="4:5">
      <c r="D798" s="194">
        <v>1.4560220618877793</v>
      </c>
      <c r="E798">
        <f t="shared" si="14"/>
        <v>2.3575486912854595</v>
      </c>
    </row>
    <row r="799" spans="4:5">
      <c r="D799" s="194">
        <v>1.4564644309282357</v>
      </c>
      <c r="E799">
        <f t="shared" si="14"/>
        <v>2.3591137310493138</v>
      </c>
    </row>
    <row r="800" spans="4:5">
      <c r="D800" s="194">
        <v>1.4566465280111061</v>
      </c>
      <c r="E800">
        <f t="shared" si="14"/>
        <v>2.3597532853381087</v>
      </c>
    </row>
    <row r="801" spans="4:5">
      <c r="D801" s="194">
        <v>1.4575948881260956</v>
      </c>
      <c r="E801">
        <f t="shared" si="14"/>
        <v>2.3630398514941788</v>
      </c>
    </row>
    <row r="802" spans="4:5">
      <c r="D802" s="194">
        <v>1.4577116840009694</v>
      </c>
      <c r="E802">
        <f t="shared" si="14"/>
        <v>2.3634394685764737</v>
      </c>
    </row>
    <row r="803" spans="4:5">
      <c r="D803" s="194">
        <v>1.457737617909288</v>
      </c>
      <c r="E803">
        <f t="shared" si="14"/>
        <v>2.363528048196113</v>
      </c>
    </row>
    <row r="804" spans="4:5">
      <c r="D804" s="194">
        <v>1.4578934079340797</v>
      </c>
      <c r="E804">
        <f t="shared" si="14"/>
        <v>2.3640589905620351</v>
      </c>
    </row>
    <row r="805" spans="4:5">
      <c r="D805" s="194">
        <v>1.4581915545923039</v>
      </c>
      <c r="E805">
        <f t="shared" si="14"/>
        <v>2.3650694837218063</v>
      </c>
    </row>
    <row r="806" spans="4:5">
      <c r="D806" s="194">
        <v>1.4586195573670011</v>
      </c>
      <c r="E806">
        <f t="shared" si="14"/>
        <v>2.3665071925030912</v>
      </c>
    </row>
    <row r="807" spans="4:5">
      <c r="D807" s="194">
        <v>1.4587878479087522</v>
      </c>
      <c r="E807">
        <f t="shared" si="14"/>
        <v>2.3670683286934504</v>
      </c>
    </row>
    <row r="808" spans="4:5">
      <c r="D808" s="194">
        <v>1.4588266554837901</v>
      </c>
      <c r="E808">
        <f t="shared" si="14"/>
        <v>2.3671973916380193</v>
      </c>
    </row>
    <row r="809" spans="4:5">
      <c r="D809" s="194">
        <v>1.4589951326004211</v>
      </c>
      <c r="E809">
        <f t="shared" si="14"/>
        <v>2.3677562450784886</v>
      </c>
    </row>
    <row r="810" spans="4:5">
      <c r="D810" s="194">
        <v>1.4593835815005605</v>
      </c>
      <c r="E810">
        <f t="shared" si="14"/>
        <v>2.3690357526076613</v>
      </c>
    </row>
    <row r="811" spans="4:5">
      <c r="D811" s="194">
        <v>1.4594225756504784</v>
      </c>
      <c r="E811">
        <f t="shared" si="14"/>
        <v>2.3691635000995062</v>
      </c>
    </row>
    <row r="812" spans="4:5">
      <c r="D812" s="194">
        <v>1.4594613832255163</v>
      </c>
      <c r="E812">
        <f t="shared" si="14"/>
        <v>2.369290510395663</v>
      </c>
    </row>
    <row r="813" spans="4:5">
      <c r="D813" s="194">
        <v>1.4596035532840688</v>
      </c>
      <c r="E813">
        <f t="shared" si="14"/>
        <v>2.3697547339655936</v>
      </c>
    </row>
    <row r="814" spans="4:5">
      <c r="D814" s="194">
        <v>1.4601339856678806</v>
      </c>
      <c r="E814">
        <f t="shared" si="14"/>
        <v>2.3714718346540447</v>
      </c>
    </row>
    <row r="815" spans="4:5">
      <c r="D815" s="194">
        <v>1.4603925784515468</v>
      </c>
      <c r="E815">
        <f t="shared" si="14"/>
        <v>2.3723004090703861</v>
      </c>
    </row>
    <row r="816" spans="4:5">
      <c r="D816" s="194">
        <v>1.460444259693304</v>
      </c>
      <c r="E816">
        <f t="shared" si="14"/>
        <v>2.3724653328418395</v>
      </c>
    </row>
    <row r="817" spans="4:5">
      <c r="D817" s="194">
        <v>1.460483067268342</v>
      </c>
      <c r="E817">
        <f t="shared" si="14"/>
        <v>2.372589027381701</v>
      </c>
    </row>
    <row r="818" spans="4:5">
      <c r="D818" s="194">
        <v>1.460689792235371</v>
      </c>
      <c r="E818">
        <f t="shared" si="14"/>
        <v>2.3732458110741432</v>
      </c>
    </row>
    <row r="819" spans="4:5">
      <c r="D819" s="194">
        <v>1.4607155395688096</v>
      </c>
      <c r="E819">
        <f t="shared" si="14"/>
        <v>2.3733273616634851</v>
      </c>
    </row>
    <row r="820" spans="4:5">
      <c r="D820" s="194">
        <v>1.4607155395688096</v>
      </c>
      <c r="E820">
        <f t="shared" si="14"/>
        <v>2.3733273616634851</v>
      </c>
    </row>
    <row r="821" spans="4:5">
      <c r="D821" s="194">
        <v>1.4607285998104089</v>
      </c>
      <c r="E821">
        <f t="shared" si="14"/>
        <v>2.3733687066442526</v>
      </c>
    </row>
    <row r="822" spans="4:5">
      <c r="D822" s="194">
        <v>1.4607802810521662</v>
      </c>
      <c r="E822">
        <f t="shared" si="14"/>
        <v>2.373532174271145</v>
      </c>
    </row>
    <row r="823" spans="4:5">
      <c r="D823" s="194">
        <v>1.4608189020523241</v>
      </c>
      <c r="E823">
        <f t="shared" si="14"/>
        <v>2.3736541860579718</v>
      </c>
    </row>
    <row r="824" spans="4:5">
      <c r="D824" s="194">
        <v>1.4608965172024</v>
      </c>
      <c r="E824">
        <f t="shared" si="14"/>
        <v>2.3738990098693589</v>
      </c>
    </row>
    <row r="825" spans="4:5">
      <c r="D825" s="194">
        <v>1.4610256270193531</v>
      </c>
      <c r="E825">
        <f t="shared" si="14"/>
        <v>2.3743051443568444</v>
      </c>
    </row>
    <row r="826" spans="4:5">
      <c r="D826" s="194">
        <v>1.4610513743527918</v>
      </c>
      <c r="E826">
        <f t="shared" si="14"/>
        <v>2.3743859690527018</v>
      </c>
    </row>
    <row r="827" spans="4:5">
      <c r="D827" s="194">
        <v>1.4613226542282973</v>
      </c>
      <c r="E827">
        <f t="shared" si="14"/>
        <v>2.375234170948028</v>
      </c>
    </row>
    <row r="828" spans="4:5">
      <c r="D828" s="194">
        <v>1.4617484181044347</v>
      </c>
      <c r="E828">
        <f t="shared" si="14"/>
        <v>2.3765529102401626</v>
      </c>
    </row>
    <row r="829" spans="4:5">
      <c r="D829" s="194">
        <v>1.4618773413465078</v>
      </c>
      <c r="E829">
        <f t="shared" si="14"/>
        <v>2.3769492192992483</v>
      </c>
    </row>
    <row r="830" spans="4:5">
      <c r="D830" s="194">
        <v>1.4618773413465078</v>
      </c>
      <c r="E830">
        <f t="shared" si="14"/>
        <v>2.3769492192992483</v>
      </c>
    </row>
    <row r="831" spans="4:5">
      <c r="D831" s="194">
        <v>1.4618773413465078</v>
      </c>
      <c r="E831">
        <f t="shared" si="14"/>
        <v>2.3769492192992483</v>
      </c>
    </row>
    <row r="832" spans="4:5">
      <c r="D832" s="194">
        <v>1.4619159623466658</v>
      </c>
      <c r="E832">
        <f t="shared" si="14"/>
        <v>2.3770676672742832</v>
      </c>
    </row>
    <row r="833" spans="4:5">
      <c r="D833" s="194">
        <v>1.461967643588423</v>
      </c>
      <c r="E833">
        <f t="shared" si="14"/>
        <v>2.3772259733928673</v>
      </c>
    </row>
    <row r="834" spans="4:5">
      <c r="D834" s="194">
        <v>1.4623544133146424</v>
      </c>
      <c r="E834">
        <f t="shared" si="14"/>
        <v>2.3784035446390339</v>
      </c>
    </row>
    <row r="835" spans="4:5">
      <c r="D835" s="194">
        <v>1.4623801606480811</v>
      </c>
      <c r="E835">
        <f t="shared" ref="E835:E898" si="15">_xlfn.NORM.DIST(D835,$B$2,$B$4,FALSE)</f>
        <v>2.3784814874999105</v>
      </c>
    </row>
    <row r="836" spans="4:5">
      <c r="D836" s="194">
        <v>1.4626380071322274</v>
      </c>
      <c r="E836">
        <f t="shared" si="15"/>
        <v>2.3792589567437448</v>
      </c>
    </row>
    <row r="837" spans="4:5">
      <c r="D837" s="194">
        <v>1.4626380071322274</v>
      </c>
      <c r="E837">
        <f t="shared" si="15"/>
        <v>2.3792589567437448</v>
      </c>
    </row>
    <row r="838" spans="4:5">
      <c r="D838" s="194">
        <v>1.4627538701327012</v>
      </c>
      <c r="E838">
        <f t="shared" si="15"/>
        <v>2.3796064815494797</v>
      </c>
    </row>
    <row r="839" spans="4:5">
      <c r="D839" s="194">
        <v>1.4628570460413357</v>
      </c>
      <c r="E839">
        <f t="shared" si="15"/>
        <v>2.3799149963443349</v>
      </c>
    </row>
    <row r="840" spans="4:5">
      <c r="D840" s="194">
        <v>1.4628827933747743</v>
      </c>
      <c r="E840">
        <f t="shared" si="15"/>
        <v>2.3799918451421784</v>
      </c>
    </row>
    <row r="841" spans="4:5">
      <c r="D841" s="194">
        <v>1.4629857827085289</v>
      </c>
      <c r="E841">
        <f t="shared" si="15"/>
        <v>2.380298679267939</v>
      </c>
    </row>
    <row r="842" spans="4:5">
      <c r="D842" s="194">
        <v>1.4630630247088448</v>
      </c>
      <c r="E842">
        <f t="shared" si="15"/>
        <v>2.38052821558705</v>
      </c>
    </row>
    <row r="843" spans="4:5">
      <c r="D843" s="194">
        <v>1.4630630247088448</v>
      </c>
      <c r="E843">
        <f t="shared" si="15"/>
        <v>2.38052821558705</v>
      </c>
    </row>
    <row r="844" spans="4:5">
      <c r="D844" s="194">
        <v>1.4631016457090027</v>
      </c>
      <c r="E844">
        <f t="shared" si="15"/>
        <v>2.380642794283423</v>
      </c>
    </row>
    <row r="845" spans="4:5">
      <c r="D845" s="194">
        <v>1.4635134164691408</v>
      </c>
      <c r="E845">
        <f t="shared" si="15"/>
        <v>2.3818565558213036</v>
      </c>
    </row>
    <row r="846" spans="4:5">
      <c r="D846" s="194">
        <v>1.4635906584694567</v>
      </c>
      <c r="E846">
        <f t="shared" si="15"/>
        <v>2.3820826377708468</v>
      </c>
    </row>
    <row r="847" spans="4:5">
      <c r="D847" s="194">
        <v>1.4644653215068502</v>
      </c>
      <c r="E847">
        <f t="shared" si="15"/>
        <v>2.3846073547523181</v>
      </c>
    </row>
    <row r="848" spans="4:5">
      <c r="D848" s="194">
        <v>1.4644908822654088</v>
      </c>
      <c r="E848">
        <f t="shared" si="15"/>
        <v>2.3846801574915935</v>
      </c>
    </row>
    <row r="849" spans="4:5">
      <c r="D849" s="194">
        <v>1.464619432357722</v>
      </c>
      <c r="E849">
        <f t="shared" si="15"/>
        <v>2.3850454533404957</v>
      </c>
    </row>
    <row r="850" spans="4:5">
      <c r="D850" s="194">
        <v>1.4648377249673104</v>
      </c>
      <c r="E850">
        <f t="shared" si="15"/>
        <v>2.3856625420020379</v>
      </c>
    </row>
    <row r="851" spans="4:5">
      <c r="D851" s="194">
        <v>1.4648377249673104</v>
      </c>
      <c r="E851">
        <f t="shared" si="15"/>
        <v>2.3856625420020379</v>
      </c>
    </row>
    <row r="852" spans="4:5">
      <c r="D852" s="194">
        <v>1.4649791487263428</v>
      </c>
      <c r="E852">
        <f t="shared" si="15"/>
        <v>2.3860601628407161</v>
      </c>
    </row>
    <row r="853" spans="4:5">
      <c r="D853" s="194">
        <v>1.4652103150026505</v>
      </c>
      <c r="E853">
        <f t="shared" si="15"/>
        <v>2.3867064262392268</v>
      </c>
    </row>
    <row r="854" spans="4:5">
      <c r="D854" s="194">
        <v>1.4653386785200837</v>
      </c>
      <c r="E854">
        <f t="shared" si="15"/>
        <v>2.3870633180298744</v>
      </c>
    </row>
    <row r="855" spans="4:5">
      <c r="D855" s="194">
        <v>1.4655054764627948</v>
      </c>
      <c r="E855">
        <f t="shared" si="15"/>
        <v>2.3875249674543233</v>
      </c>
    </row>
    <row r="856" spans="4:5">
      <c r="D856" s="194">
        <v>1.4655440974629528</v>
      </c>
      <c r="E856">
        <f t="shared" si="15"/>
        <v>2.3876315205105501</v>
      </c>
    </row>
    <row r="857" spans="4:5">
      <c r="D857" s="194">
        <v>1.4660571783829255</v>
      </c>
      <c r="E857">
        <f t="shared" si="15"/>
        <v>2.3890349772992687</v>
      </c>
    </row>
    <row r="858" spans="4:5">
      <c r="D858" s="194">
        <v>1.4660700520496448</v>
      </c>
      <c r="E858">
        <f t="shared" si="15"/>
        <v>2.3890699016077437</v>
      </c>
    </row>
    <row r="859" spans="4:5">
      <c r="D859" s="194">
        <v>1.4661855419003587</v>
      </c>
      <c r="E859">
        <f t="shared" si="15"/>
        <v>2.3893825733307961</v>
      </c>
    </row>
    <row r="860" spans="4:5">
      <c r="D860" s="194">
        <v>1.4664932038774623</v>
      </c>
      <c r="E860">
        <f t="shared" si="15"/>
        <v>2.3902099456050263</v>
      </c>
    </row>
    <row r="861" spans="4:5">
      <c r="D861" s="194">
        <v>1.4666726889120127</v>
      </c>
      <c r="E861">
        <f t="shared" si="15"/>
        <v>2.3906888729892013</v>
      </c>
    </row>
    <row r="862" spans="4:5">
      <c r="D862" s="194">
        <v>1.4666982496705714</v>
      </c>
      <c r="E862">
        <f t="shared" si="15"/>
        <v>2.3907568530121734</v>
      </c>
    </row>
    <row r="863" spans="4:5">
      <c r="D863" s="194">
        <v>1.4667366840958493</v>
      </c>
      <c r="E863">
        <f t="shared" si="15"/>
        <v>2.390858965616987</v>
      </c>
    </row>
    <row r="864" spans="4:5">
      <c r="D864" s="194">
        <v>1.4667879921878466</v>
      </c>
      <c r="E864">
        <f t="shared" si="15"/>
        <v>2.3909950834010347</v>
      </c>
    </row>
    <row r="865" spans="4:5">
      <c r="D865" s="194">
        <v>1.4670699068315116</v>
      </c>
      <c r="E865">
        <f t="shared" si="15"/>
        <v>2.3917389559391911</v>
      </c>
    </row>
    <row r="866" spans="4:5">
      <c r="D866" s="194">
        <v>1.4671978971991848</v>
      </c>
      <c r="E866">
        <f t="shared" si="15"/>
        <v>2.3920744236047922</v>
      </c>
    </row>
    <row r="867" spans="4:5">
      <c r="D867" s="194">
        <v>1.4675691812103651</v>
      </c>
      <c r="E867">
        <f t="shared" si="15"/>
        <v>2.3930396041883677</v>
      </c>
    </row>
    <row r="868" spans="4:5">
      <c r="D868" s="194">
        <v>1.4675949285438037</v>
      </c>
      <c r="E868">
        <f t="shared" si="15"/>
        <v>2.3931060965935744</v>
      </c>
    </row>
    <row r="869" spans="4:5">
      <c r="D869" s="194">
        <v>1.4679020307962674</v>
      </c>
      <c r="E869">
        <f t="shared" si="15"/>
        <v>2.3938947868562961</v>
      </c>
    </row>
    <row r="870" spans="4:5">
      <c r="D870" s="194">
        <v>1.4679788996468233</v>
      </c>
      <c r="E870">
        <f t="shared" si="15"/>
        <v>2.3940909278520448</v>
      </c>
    </row>
    <row r="871" spans="4:5">
      <c r="D871" s="194">
        <v>1.4689890160470895</v>
      </c>
      <c r="E871">
        <f t="shared" si="15"/>
        <v>2.3966210144812403</v>
      </c>
    </row>
    <row r="872" spans="4:5">
      <c r="D872" s="194">
        <v>1.4691168198398827</v>
      </c>
      <c r="E872">
        <f t="shared" si="15"/>
        <v>2.3969348498510485</v>
      </c>
    </row>
    <row r="873" spans="4:5">
      <c r="D873" s="194">
        <v>1.469206375782278</v>
      </c>
      <c r="E873">
        <f t="shared" si="15"/>
        <v>2.3971539219051738</v>
      </c>
    </row>
    <row r="874" spans="4:5">
      <c r="D874" s="194">
        <v>1.469206375782278</v>
      </c>
      <c r="E874">
        <f t="shared" si="15"/>
        <v>2.3971539219051738</v>
      </c>
    </row>
    <row r="875" spans="4:5">
      <c r="D875" s="194">
        <v>1.4694617967929844</v>
      </c>
      <c r="E875">
        <f t="shared" si="15"/>
        <v>2.3977749213691877</v>
      </c>
    </row>
    <row r="876" spans="4:5">
      <c r="D876" s="194">
        <v>1.4694746704597037</v>
      </c>
      <c r="E876">
        <f t="shared" si="15"/>
        <v>2.3978060713401086</v>
      </c>
    </row>
    <row r="877" spans="4:5">
      <c r="D877" s="194">
        <v>1.4697554656540888</v>
      </c>
      <c r="E877">
        <f t="shared" si="15"/>
        <v>2.3984819308421659</v>
      </c>
    </row>
    <row r="878" spans="4:5">
      <c r="D878" s="194">
        <v>1.4699215172972799</v>
      </c>
      <c r="E878">
        <f t="shared" si="15"/>
        <v>2.3988783937779123</v>
      </c>
    </row>
    <row r="879" spans="4:5">
      <c r="D879" s="194">
        <v>1.4702789947673409</v>
      </c>
      <c r="E879">
        <f t="shared" si="15"/>
        <v>2.399723787680625</v>
      </c>
    </row>
    <row r="880" spans="4:5">
      <c r="D880" s="194">
        <v>1.4705724770535653</v>
      </c>
      <c r="E880">
        <f t="shared" si="15"/>
        <v>2.400409549431179</v>
      </c>
    </row>
    <row r="881" spans="4:5">
      <c r="D881" s="194">
        <v>1.4707510292137158</v>
      </c>
      <c r="E881">
        <f t="shared" si="15"/>
        <v>2.4008231005064209</v>
      </c>
    </row>
    <row r="882" spans="4:5">
      <c r="D882" s="194">
        <v>1.4709424550405856</v>
      </c>
      <c r="E882">
        <f t="shared" si="15"/>
        <v>2.4012633906971117</v>
      </c>
    </row>
    <row r="883" spans="4:5">
      <c r="D883" s="194">
        <v>1.4709933899828229</v>
      </c>
      <c r="E883">
        <f t="shared" si="15"/>
        <v>2.4013800072057863</v>
      </c>
    </row>
    <row r="884" spans="4:5">
      <c r="D884" s="194">
        <v>1.4710316378332209</v>
      </c>
      <c r="E884">
        <f t="shared" si="15"/>
        <v>2.4014674280303523</v>
      </c>
    </row>
    <row r="885" spans="4:5">
      <c r="D885" s="194">
        <v>1.4710316378332209</v>
      </c>
      <c r="E885">
        <f t="shared" si="15"/>
        <v>2.4014674280303523</v>
      </c>
    </row>
    <row r="886" spans="4:5">
      <c r="D886" s="194">
        <v>1.4711081335340168</v>
      </c>
      <c r="E886">
        <f t="shared" si="15"/>
        <v>2.4016418878844106</v>
      </c>
    </row>
    <row r="887" spans="4:5">
      <c r="D887" s="194">
        <v>1.4712228770852107</v>
      </c>
      <c r="E887">
        <f t="shared" si="15"/>
        <v>2.4019026229664844</v>
      </c>
    </row>
    <row r="888" spans="4:5">
      <c r="D888" s="194">
        <v>1.4714906120379965</v>
      </c>
      <c r="E888">
        <f t="shared" si="15"/>
        <v>2.4025065475993772</v>
      </c>
    </row>
    <row r="889" spans="4:5">
      <c r="D889" s="194">
        <v>1.4715542340720731</v>
      </c>
      <c r="E889">
        <f t="shared" si="15"/>
        <v>2.402649140612982</v>
      </c>
    </row>
    <row r="890" spans="4:5">
      <c r="D890" s="194">
        <v>1.4717837211744609</v>
      </c>
      <c r="E890">
        <f t="shared" si="15"/>
        <v>2.4031605484526555</v>
      </c>
    </row>
    <row r="891" spans="4:5">
      <c r="D891" s="194">
        <v>1.4720510829774867</v>
      </c>
      <c r="E891">
        <f t="shared" si="15"/>
        <v>2.4037505688100316</v>
      </c>
    </row>
    <row r="892" spans="4:5">
      <c r="D892" s="194">
        <v>1.4721785136205199</v>
      </c>
      <c r="E892">
        <f t="shared" si="15"/>
        <v>2.404029591485521</v>
      </c>
    </row>
    <row r="893" spans="4:5">
      <c r="D893" s="194">
        <v>1.472420501239867</v>
      </c>
      <c r="E893">
        <f t="shared" si="15"/>
        <v>2.4045555472272517</v>
      </c>
    </row>
    <row r="894" spans="4:5">
      <c r="D894" s="194">
        <v>1.4727005501347321</v>
      </c>
      <c r="E894">
        <f t="shared" si="15"/>
        <v>2.4051578443739068</v>
      </c>
    </row>
    <row r="895" spans="4:5">
      <c r="D895" s="194">
        <v>1.4727134238014514</v>
      </c>
      <c r="E895">
        <f t="shared" si="15"/>
        <v>2.4051853668324421</v>
      </c>
    </row>
    <row r="896" spans="4:5">
      <c r="D896" s="194">
        <v>1.4727897329273674</v>
      </c>
      <c r="E896">
        <f t="shared" si="15"/>
        <v>2.4053482097770607</v>
      </c>
    </row>
    <row r="897" spans="4:5">
      <c r="D897" s="194">
        <v>1.472853354961444</v>
      </c>
      <c r="E897">
        <f t="shared" si="15"/>
        <v>2.4054835894522011</v>
      </c>
    </row>
    <row r="898" spans="4:5">
      <c r="D898" s="194">
        <v>1.4728787291451226</v>
      </c>
      <c r="E898">
        <f t="shared" si="15"/>
        <v>2.4055374837983603</v>
      </c>
    </row>
    <row r="899" spans="4:5">
      <c r="D899" s="194">
        <v>1.4729296640873599</v>
      </c>
      <c r="E899">
        <f t="shared" ref="E899:E962" si="16">_xlfn.NORM.DIST(D899,$B$2,$B$4,FALSE)</f>
        <v>2.4056454988342093</v>
      </c>
    </row>
    <row r="900" spans="4:5">
      <c r="D900" s="194">
        <v>1.4729552248459186</v>
      </c>
      <c r="E900">
        <f t="shared" si="16"/>
        <v>2.4056996186851189</v>
      </c>
    </row>
    <row r="901" spans="4:5">
      <c r="D901" s="194">
        <v>1.4735149494858888</v>
      </c>
      <c r="E901">
        <f t="shared" si="16"/>
        <v>2.40687039226682</v>
      </c>
    </row>
    <row r="902" spans="4:5">
      <c r="D902" s="194">
        <v>1.4735403236695674</v>
      </c>
      <c r="E902">
        <f t="shared" si="16"/>
        <v>2.4069228174468558</v>
      </c>
    </row>
    <row r="903" spans="4:5">
      <c r="D903" s="194">
        <v>1.4735912586118047</v>
      </c>
      <c r="E903">
        <f t="shared" si="16"/>
        <v>2.4070278830500276</v>
      </c>
    </row>
    <row r="904" spans="4:5">
      <c r="D904" s="194">
        <v>1.4739601171495451</v>
      </c>
      <c r="E904">
        <f t="shared" si="16"/>
        <v>2.4077819581775159</v>
      </c>
    </row>
    <row r="905" spans="4:5">
      <c r="D905" s="194">
        <v>1.474150796676895</v>
      </c>
      <c r="E905">
        <f t="shared" si="16"/>
        <v>2.4081670962180359</v>
      </c>
    </row>
    <row r="906" spans="4:5">
      <c r="D906" s="194">
        <v>1.4743668503879235</v>
      </c>
      <c r="E906">
        <f t="shared" si="16"/>
        <v>2.4085996306089275</v>
      </c>
    </row>
    <row r="907" spans="4:5">
      <c r="D907" s="194">
        <v>1.4744049116634415</v>
      </c>
      <c r="E907">
        <f t="shared" si="16"/>
        <v>2.4086754039358693</v>
      </c>
    </row>
    <row r="908" spans="4:5">
      <c r="D908" s="194">
        <v>1.4747224621091846</v>
      </c>
      <c r="E908">
        <f t="shared" si="16"/>
        <v>2.4093026332721443</v>
      </c>
    </row>
    <row r="909" spans="4:5">
      <c r="D909" s="194">
        <v>1.4748623932691771</v>
      </c>
      <c r="E909">
        <f t="shared" si="16"/>
        <v>2.409576215168622</v>
      </c>
    </row>
    <row r="910" spans="4:5">
      <c r="D910" s="194">
        <v>1.4749258287283737</v>
      </c>
      <c r="E910">
        <f t="shared" si="16"/>
        <v>2.4096996720855763</v>
      </c>
    </row>
    <row r="911" spans="4:5">
      <c r="D911" s="194">
        <v>1.4749385158202131</v>
      </c>
      <c r="E911">
        <f t="shared" si="16"/>
        <v>2.4097243210237638</v>
      </c>
    </row>
    <row r="912" spans="4:5">
      <c r="D912" s="194">
        <v>1.4749892641875704</v>
      </c>
      <c r="E912">
        <f t="shared" si="16"/>
        <v>2.409822775277854</v>
      </c>
    </row>
    <row r="913" spans="4:5">
      <c r="D913" s="194">
        <v>1.4750653867386063</v>
      </c>
      <c r="E913">
        <f t="shared" si="16"/>
        <v>2.4099700321147868</v>
      </c>
    </row>
    <row r="914" spans="4:5">
      <c r="D914" s="194">
        <v>1.4750782604053256</v>
      </c>
      <c r="E914">
        <f t="shared" si="16"/>
        <v>2.4099948854747164</v>
      </c>
    </row>
    <row r="915" spans="4:5">
      <c r="D915" s="194">
        <v>1.4751543829563616</v>
      </c>
      <c r="E915">
        <f t="shared" si="16"/>
        <v>2.410141546593612</v>
      </c>
    </row>
    <row r="916" spans="4:5">
      <c r="D916" s="194">
        <v>1.4757766101811285</v>
      </c>
      <c r="E916">
        <f t="shared" si="16"/>
        <v>2.4113212402252313</v>
      </c>
    </row>
    <row r="917" spans="4:5">
      <c r="D917" s="194">
        <v>1.4758146714566465</v>
      </c>
      <c r="E917">
        <f t="shared" si="16"/>
        <v>2.4113922950908417</v>
      </c>
    </row>
    <row r="918" spans="4:5">
      <c r="D918" s="194">
        <v>1.4766518329431619</v>
      </c>
      <c r="E918">
        <f t="shared" si="16"/>
        <v>2.4129228619742888</v>
      </c>
    </row>
    <row r="919" spans="4:5">
      <c r="D919" s="194">
        <v>1.4772477531098502</v>
      </c>
      <c r="E919">
        <f t="shared" si="16"/>
        <v>2.4139746918777027</v>
      </c>
    </row>
    <row r="920" spans="4:5">
      <c r="D920" s="194">
        <v>1.4773111885690469</v>
      </c>
      <c r="E920">
        <f t="shared" si="16"/>
        <v>2.4140848112295337</v>
      </c>
    </row>
    <row r="921" spans="4:5">
      <c r="D921" s="194">
        <v>1.4783375369838723</v>
      </c>
      <c r="E921">
        <f t="shared" si="16"/>
        <v>2.4158170124087581</v>
      </c>
    </row>
    <row r="922" spans="4:5">
      <c r="D922" s="194">
        <v>1.4785526578205008</v>
      </c>
      <c r="E922">
        <f t="shared" si="16"/>
        <v>2.4161682570126626</v>
      </c>
    </row>
    <row r="923" spans="4:5">
      <c r="D923" s="194">
        <v>1.4785780320041795</v>
      </c>
      <c r="E923">
        <f t="shared" si="16"/>
        <v>2.4162094170663662</v>
      </c>
    </row>
    <row r="924" spans="4:5">
      <c r="D924" s="194">
        <v>1.4787425910483307</v>
      </c>
      <c r="E924">
        <f t="shared" si="16"/>
        <v>2.4164749670084587</v>
      </c>
    </row>
    <row r="925" spans="4:5">
      <c r="D925" s="194">
        <v>1.4788819624836833</v>
      </c>
      <c r="E925">
        <f t="shared" si="16"/>
        <v>2.4166979939370181</v>
      </c>
    </row>
    <row r="926" spans="4:5">
      <c r="D926" s="194">
        <v>1.4791476451127892</v>
      </c>
      <c r="E926">
        <f t="shared" si="16"/>
        <v>2.4171183763613109</v>
      </c>
    </row>
    <row r="927" spans="4:5">
      <c r="D927" s="194">
        <v>1.4792741428814224</v>
      </c>
      <c r="E927">
        <f t="shared" si="16"/>
        <v>2.4173163297364559</v>
      </c>
    </row>
    <row r="928" spans="4:5">
      <c r="D928" s="194">
        <v>1.4793248912487797</v>
      </c>
      <c r="E928">
        <f t="shared" si="16"/>
        <v>2.4173953455427712</v>
      </c>
    </row>
    <row r="929" spans="4:5">
      <c r="D929" s="194">
        <v>1.4794640761092523</v>
      </c>
      <c r="E929">
        <f t="shared" si="16"/>
        <v>2.4176108847805393</v>
      </c>
    </row>
    <row r="930" spans="4:5">
      <c r="D930" s="194">
        <v>1.4797803205308355</v>
      </c>
      <c r="E930">
        <f t="shared" si="16"/>
        <v>2.4180942213086305</v>
      </c>
    </row>
    <row r="931" spans="4:5">
      <c r="D931" s="194">
        <v>1.4799068182994688</v>
      </c>
      <c r="E931">
        <f t="shared" si="16"/>
        <v>2.4182850686287147</v>
      </c>
    </row>
    <row r="932" spans="4:5">
      <c r="D932" s="194">
        <v>1.4799446930001068</v>
      </c>
      <c r="E932">
        <f t="shared" si="16"/>
        <v>2.4183419336618766</v>
      </c>
    </row>
    <row r="933" spans="4:5">
      <c r="D933" s="194">
        <v>1.4802103756292126</v>
      </c>
      <c r="E933">
        <f t="shared" si="16"/>
        <v>2.4187372454541971</v>
      </c>
    </row>
    <row r="934" spans="4:5">
      <c r="D934" s="194">
        <v>1.4803368733978459</v>
      </c>
      <c r="E934">
        <f t="shared" si="16"/>
        <v>2.4189232576410338</v>
      </c>
    </row>
    <row r="935" spans="4:5">
      <c r="D935" s="194">
        <v>1.4804126227991219</v>
      </c>
      <c r="E935">
        <f t="shared" si="16"/>
        <v>2.4190339643193668</v>
      </c>
    </row>
    <row r="936" spans="4:5">
      <c r="D936" s="194">
        <v>1.4811331749856436</v>
      </c>
      <c r="E936">
        <f t="shared" si="16"/>
        <v>2.4200615161398531</v>
      </c>
    </row>
    <row r="937" spans="4:5">
      <c r="D937" s="194">
        <v>1.4811712362611615</v>
      </c>
      <c r="E937">
        <f t="shared" si="16"/>
        <v>2.420114508749859</v>
      </c>
    </row>
    <row r="938" spans="4:5">
      <c r="D938" s="194">
        <v>1.4816637939443353</v>
      </c>
      <c r="E938">
        <f t="shared" si="16"/>
        <v>2.4207886543845474</v>
      </c>
    </row>
    <row r="939" spans="4:5">
      <c r="D939" s="194">
        <v>1.48176491752929</v>
      </c>
      <c r="E939">
        <f t="shared" si="16"/>
        <v>2.4209243835790586</v>
      </c>
    </row>
    <row r="940" spans="4:5">
      <c r="D940" s="194">
        <v>1.4823712858892577</v>
      </c>
      <c r="E940">
        <f t="shared" si="16"/>
        <v>2.4217191304340724</v>
      </c>
    </row>
    <row r="941" spans="4:5">
      <c r="D941" s="194">
        <v>1.4825479723006083</v>
      </c>
      <c r="E941">
        <f t="shared" si="16"/>
        <v>2.4219445357608618</v>
      </c>
    </row>
    <row r="942" spans="4:5">
      <c r="D942" s="194">
        <v>1.4826742834943616</v>
      </c>
      <c r="E942">
        <f t="shared" si="16"/>
        <v>2.4221039675296865</v>
      </c>
    </row>
    <row r="943" spans="4:5">
      <c r="D943" s="194">
        <v>1.4829645940076261</v>
      </c>
      <c r="E943">
        <f t="shared" si="16"/>
        <v>2.4224650019919092</v>
      </c>
    </row>
    <row r="944" spans="4:5">
      <c r="D944" s="194">
        <v>1.4834062167485627</v>
      </c>
      <c r="E944">
        <f t="shared" si="16"/>
        <v>2.4229997738932343</v>
      </c>
    </row>
    <row r="945" spans="4:5">
      <c r="D945" s="194">
        <v>1.4834819661498386</v>
      </c>
      <c r="E945">
        <f t="shared" si="16"/>
        <v>2.4230897496456061</v>
      </c>
    </row>
    <row r="946" spans="4:5">
      <c r="D946" s="194">
        <v>1.4836586525611892</v>
      </c>
      <c r="E946">
        <f t="shared" si="16"/>
        <v>2.4232976256564047</v>
      </c>
    </row>
    <row r="947" spans="4:5">
      <c r="D947" s="194">
        <v>1.4838478394894992</v>
      </c>
      <c r="E947">
        <f t="shared" si="16"/>
        <v>2.4235171143722529</v>
      </c>
    </row>
    <row r="948" spans="4:5">
      <c r="D948" s="194">
        <v>1.4839739641083725</v>
      </c>
      <c r="E948">
        <f t="shared" si="16"/>
        <v>2.4236616618762126</v>
      </c>
    </row>
    <row r="949" spans="4:5">
      <c r="D949" s="194">
        <v>1.4839739641083725</v>
      </c>
      <c r="E949">
        <f t="shared" si="16"/>
        <v>2.4236616618762126</v>
      </c>
    </row>
    <row r="950" spans="4:5">
      <c r="D950" s="194">
        <v>1.4845919001108996</v>
      </c>
      <c r="E950">
        <f t="shared" si="16"/>
        <v>2.4243492902872976</v>
      </c>
    </row>
    <row r="951" spans="4:5">
      <c r="D951" s="194">
        <v>1.4846803366040149</v>
      </c>
      <c r="E951">
        <f t="shared" si="16"/>
        <v>2.4244449051804451</v>
      </c>
    </row>
    <row r="952" spans="4:5">
      <c r="D952" s="194">
        <v>1.4848064612228882</v>
      </c>
      <c r="E952">
        <f t="shared" si="16"/>
        <v>2.4245800558058335</v>
      </c>
    </row>
    <row r="953" spans="4:5">
      <c r="D953" s="194">
        <v>1.4850333362769561</v>
      </c>
      <c r="E953">
        <f t="shared" si="16"/>
        <v>2.4248195807962118</v>
      </c>
    </row>
    <row r="954" spans="4:5">
      <c r="D954" s="194">
        <v>1.4850458367939154</v>
      </c>
      <c r="E954">
        <f t="shared" si="16"/>
        <v>2.4248326442940629</v>
      </c>
    </row>
    <row r="955" spans="4:5">
      <c r="D955" s="194">
        <v>1.4852475242391847</v>
      </c>
      <c r="E955">
        <f t="shared" si="16"/>
        <v>2.4250414799774678</v>
      </c>
    </row>
    <row r="956" spans="4:5">
      <c r="D956" s="194">
        <v>1.4857895242655559</v>
      </c>
      <c r="E956">
        <f t="shared" si="16"/>
        <v>2.4255846281488473</v>
      </c>
    </row>
    <row r="957" spans="4:5">
      <c r="D957" s="194">
        <v>1.4860540874453818</v>
      </c>
      <c r="E957">
        <f t="shared" si="16"/>
        <v>2.4258401861440206</v>
      </c>
    </row>
    <row r="958" spans="4:5">
      <c r="D958" s="194">
        <v>1.4863188372000877</v>
      </c>
      <c r="E958">
        <f t="shared" si="16"/>
        <v>2.4260896397224321</v>
      </c>
    </row>
    <row r="959" spans="4:5">
      <c r="D959" s="194">
        <v>1.4865832138050337</v>
      </c>
      <c r="E959">
        <f t="shared" si="16"/>
        <v>2.426332466199649</v>
      </c>
    </row>
    <row r="960" spans="4:5">
      <c r="D960" s="194">
        <v>1.4867345260327056</v>
      </c>
      <c r="E960">
        <f t="shared" si="16"/>
        <v>2.4264686220960447</v>
      </c>
    </row>
    <row r="961" spans="4:5">
      <c r="D961" s="194">
        <v>1.4868477769848596</v>
      </c>
      <c r="E961">
        <f t="shared" si="16"/>
        <v>2.4265691844271706</v>
      </c>
    </row>
    <row r="962" spans="4:5">
      <c r="D962" s="194">
        <v>1.4871752158992422</v>
      </c>
      <c r="E962">
        <f t="shared" si="16"/>
        <v>2.4268534594121061</v>
      </c>
    </row>
    <row r="963" spans="4:5">
      <c r="D963" s="194">
        <v>1.4872255911168395</v>
      </c>
      <c r="E963">
        <f t="shared" ref="E963:E1026" si="17">_xlfn.NORM.DIST(D963,$B$2,$B$4,FALSE)</f>
        <v>2.4268963394889771</v>
      </c>
    </row>
    <row r="964" spans="4:5">
      <c r="D964" s="194">
        <v>1.487741843809772</v>
      </c>
      <c r="E964">
        <f t="shared" si="17"/>
        <v>2.427322642803583</v>
      </c>
    </row>
    <row r="965" spans="4:5">
      <c r="D965" s="194">
        <v>1.4881950341932679</v>
      </c>
      <c r="E965">
        <f t="shared" si="17"/>
        <v>2.4276771325571733</v>
      </c>
    </row>
    <row r="966" spans="4:5">
      <c r="D966" s="194">
        <v>1.4882202218020666</v>
      </c>
      <c r="E966">
        <f t="shared" si="17"/>
        <v>2.4276962930132848</v>
      </c>
    </row>
    <row r="967" spans="4:5">
      <c r="D967" s="194">
        <v>1.4882327223190259</v>
      </c>
      <c r="E967">
        <f t="shared" si="17"/>
        <v>2.4277057810997968</v>
      </c>
    </row>
    <row r="968" spans="4:5">
      <c r="D968" s="194">
        <v>1.4885347870497299</v>
      </c>
      <c r="E968">
        <f t="shared" si="17"/>
        <v>2.4279307813637958</v>
      </c>
    </row>
    <row r="969" spans="4:5">
      <c r="D969" s="194">
        <v>1.4888241646885945</v>
      </c>
      <c r="E969">
        <f t="shared" si="17"/>
        <v>2.4281386359092356</v>
      </c>
    </row>
    <row r="970" spans="4:5">
      <c r="D970" s="194">
        <v>1.4888368517804338</v>
      </c>
      <c r="E970">
        <f t="shared" si="17"/>
        <v>2.4281475764660652</v>
      </c>
    </row>
    <row r="971" spans="4:5">
      <c r="D971" s="194">
        <v>1.4891010418104997</v>
      </c>
      <c r="E971">
        <f t="shared" si="17"/>
        <v>2.4283304603153462</v>
      </c>
    </row>
    <row r="972" spans="4:5">
      <c r="D972" s="194">
        <v>1.4891262294192984</v>
      </c>
      <c r="E972">
        <f t="shared" si="17"/>
        <v>2.4283475684107541</v>
      </c>
    </row>
    <row r="973" spans="4:5">
      <c r="D973" s="194">
        <v>1.4897678604315843</v>
      </c>
      <c r="E973">
        <f t="shared" si="17"/>
        <v>2.4287641305446916</v>
      </c>
    </row>
    <row r="974" spans="4:5">
      <c r="D974" s="194">
        <v>1.4898182356491816</v>
      </c>
      <c r="E974">
        <f t="shared" si="17"/>
        <v>2.4287952665451429</v>
      </c>
    </row>
    <row r="975" spans="4:5">
      <c r="D975" s="194">
        <v>1.4903085544337955</v>
      </c>
      <c r="E975">
        <f t="shared" si="17"/>
        <v>2.4290863892421029</v>
      </c>
    </row>
    <row r="976" spans="4:5">
      <c r="D976" s="194">
        <v>1.4903966177771508</v>
      </c>
      <c r="E976">
        <f t="shared" si="17"/>
        <v>2.4291363828960004</v>
      </c>
    </row>
    <row r="977" spans="4:5">
      <c r="D977" s="194">
        <v>1.4904469929947481</v>
      </c>
      <c r="E977">
        <f t="shared" si="17"/>
        <v>2.4291646669277234</v>
      </c>
    </row>
    <row r="978" spans="4:5">
      <c r="D978" s="194">
        <v>1.4904846811205061</v>
      </c>
      <c r="E978">
        <f t="shared" si="17"/>
        <v>2.4291856781158296</v>
      </c>
    </row>
    <row r="979" spans="4:5">
      <c r="D979" s="194">
        <v>1.4909499988712014</v>
      </c>
      <c r="E979">
        <f t="shared" si="17"/>
        <v>2.4294345521340635</v>
      </c>
    </row>
    <row r="980" spans="4:5">
      <c r="D980" s="194">
        <v>1.4910380622145567</v>
      </c>
      <c r="E980">
        <f t="shared" si="17"/>
        <v>2.4294794575154626</v>
      </c>
    </row>
    <row r="981" spans="4:5">
      <c r="D981" s="194">
        <v>1.491088250857274</v>
      </c>
      <c r="E981">
        <f t="shared" si="17"/>
        <v>2.4295047371962677</v>
      </c>
    </row>
    <row r="982" spans="4:5">
      <c r="D982" s="194">
        <v>1.4912140023263873</v>
      </c>
      <c r="E982">
        <f t="shared" si="17"/>
        <v>2.4295670806101666</v>
      </c>
    </row>
    <row r="983" spans="4:5">
      <c r="D983" s="194">
        <v>1.4912895651527833</v>
      </c>
      <c r="E983">
        <f t="shared" si="17"/>
        <v>2.4296038568035594</v>
      </c>
    </row>
    <row r="984" spans="4:5">
      <c r="D984" s="194">
        <v>1.4914026295300573</v>
      </c>
      <c r="E984">
        <f t="shared" si="17"/>
        <v>2.4296579239608311</v>
      </c>
    </row>
    <row r="985" spans="4:5">
      <c r="D985" s="194">
        <v>1.4914906928734126</v>
      </c>
      <c r="E985">
        <f t="shared" si="17"/>
        <v>2.4296992375875432</v>
      </c>
    </row>
    <row r="986" spans="4:5">
      <c r="D986" s="194">
        <v>1.4916037572506866</v>
      </c>
      <c r="E986">
        <f t="shared" si="17"/>
        <v>2.4297512553586915</v>
      </c>
    </row>
    <row r="987" spans="4:5">
      <c r="D987" s="194">
        <v>1.4916791335022026</v>
      </c>
      <c r="E987">
        <f t="shared" si="17"/>
        <v>2.4297852937827082</v>
      </c>
    </row>
    <row r="988" spans="4:5">
      <c r="D988" s="194">
        <v>1.4917671968455579</v>
      </c>
      <c r="E988">
        <f t="shared" si="17"/>
        <v>2.4298244128017847</v>
      </c>
    </row>
    <row r="989" spans="4:5">
      <c r="D989" s="194">
        <v>1.4918048849713159</v>
      </c>
      <c r="E989">
        <f t="shared" si="17"/>
        <v>2.4298409408224</v>
      </c>
    </row>
    <row r="990" spans="4:5">
      <c r="D990" s="194">
        <v>1.4925715211531951</v>
      </c>
      <c r="E990">
        <f t="shared" si="17"/>
        <v>2.4301493524720561</v>
      </c>
    </row>
    <row r="991" spans="4:5">
      <c r="D991" s="194">
        <v>1.4929735900195737</v>
      </c>
      <c r="E991">
        <f t="shared" si="17"/>
        <v>2.4302899165929324</v>
      </c>
    </row>
    <row r="992" spans="4:5">
      <c r="D992" s="194">
        <v>1.4931622172232437</v>
      </c>
      <c r="E992">
        <f t="shared" si="17"/>
        <v>2.4303508367161024</v>
      </c>
    </row>
    <row r="993" spans="4:5">
      <c r="D993" s="194">
        <v>1.4934512217123483</v>
      </c>
      <c r="E993">
        <f t="shared" si="17"/>
        <v>2.430437949969126</v>
      </c>
    </row>
    <row r="994" spans="4:5">
      <c r="D994" s="194">
        <v>1.4939034792214443</v>
      </c>
      <c r="E994">
        <f t="shared" si="17"/>
        <v>2.4305591512152867</v>
      </c>
    </row>
    <row r="995" spans="4:5">
      <c r="D995" s="194">
        <v>1.4941421084929516</v>
      </c>
      <c r="E995">
        <f t="shared" si="17"/>
        <v>2.4306156650237569</v>
      </c>
    </row>
    <row r="996" spans="4:5">
      <c r="D996" s="194">
        <v>1.4945818654850882</v>
      </c>
      <c r="E996">
        <f t="shared" si="17"/>
        <v>2.4307063527861783</v>
      </c>
    </row>
    <row r="997" spans="4:5">
      <c r="D997" s="194">
        <v>1.4949083715250708</v>
      </c>
      <c r="E997">
        <f t="shared" si="17"/>
        <v>2.4307623977890374</v>
      </c>
    </row>
    <row r="998" spans="4:5">
      <c r="D998" s="194">
        <v>1.4950968121538608</v>
      </c>
      <c r="E998">
        <f t="shared" si="17"/>
        <v>2.4307903654169083</v>
      </c>
    </row>
    <row r="999" spans="4:5">
      <c r="D999" s="194">
        <v>1.4952223770480941</v>
      </c>
      <c r="E999">
        <f t="shared" si="17"/>
        <v>2.4308072221888373</v>
      </c>
    </row>
    <row r="1000" spans="4:5">
      <c r="D1000" s="194">
        <v>1.4956117588226334</v>
      </c>
      <c r="E1000">
        <f t="shared" si="17"/>
        <v>2.430850447875494</v>
      </c>
    </row>
    <row r="1001" spans="4:5">
      <c r="D1001" s="194">
        <v>1.4958378875771814</v>
      </c>
      <c r="E1001">
        <f t="shared" si="17"/>
        <v>2.4308692699030221</v>
      </c>
    </row>
    <row r="1002" spans="4:5">
      <c r="D1002" s="194">
        <v>1.4959382648626161</v>
      </c>
      <c r="E1002">
        <f t="shared" si="17"/>
        <v>2.4308761459247981</v>
      </c>
    </row>
    <row r="1003" spans="4:5">
      <c r="D1003" s="194">
        <v>1.4960009540222927</v>
      </c>
      <c r="E1003">
        <f t="shared" si="17"/>
        <v>2.4308799789310105</v>
      </c>
    </row>
    <row r="1004" spans="4:5">
      <c r="D1004" s="194">
        <v>1.4963024590283567</v>
      </c>
      <c r="E1004">
        <f t="shared" si="17"/>
        <v>2.4308934585637818</v>
      </c>
    </row>
    <row r="1005" spans="4:5">
      <c r="D1005" s="194">
        <v>1.496729342353774</v>
      </c>
      <c r="E1005">
        <f t="shared" si="17"/>
        <v>2.4308985115768635</v>
      </c>
    </row>
    <row r="1006" spans="4:5">
      <c r="D1006" s="194">
        <v>1.4973823544337392</v>
      </c>
      <c r="E1006">
        <f t="shared" si="17"/>
        <v>2.430874417502896</v>
      </c>
    </row>
    <row r="1007" spans="4:5">
      <c r="D1007" s="194">
        <v>1.4974827317191739</v>
      </c>
      <c r="E1007">
        <f t="shared" si="17"/>
        <v>2.430867301204878</v>
      </c>
    </row>
    <row r="1008" spans="4:5">
      <c r="D1008" s="194">
        <v>1.4975454208788506</v>
      </c>
      <c r="E1008">
        <f t="shared" si="17"/>
        <v>2.4308623955172668</v>
      </c>
    </row>
    <row r="1009" spans="4:5">
      <c r="D1009" s="194">
        <v>1.4976334842222059</v>
      </c>
      <c r="E1009">
        <f t="shared" si="17"/>
        <v>2.4308549051066248</v>
      </c>
    </row>
    <row r="1010" spans="4:5">
      <c r="D1010" s="194">
        <v>1.4977213609906812</v>
      </c>
      <c r="E1010">
        <f t="shared" si="17"/>
        <v>2.4308467328700365</v>
      </c>
    </row>
    <row r="1011" spans="4:5">
      <c r="D1011" s="194">
        <v>1.4978719269188332</v>
      </c>
      <c r="E1011">
        <f t="shared" si="17"/>
        <v>2.4308311106936396</v>
      </c>
    </row>
    <row r="1012" spans="4:5">
      <c r="D1012" s="194">
        <v>1.4981984329588158</v>
      </c>
      <c r="E1012">
        <f t="shared" si="17"/>
        <v>2.4307902047366388</v>
      </c>
    </row>
    <row r="1013" spans="4:5">
      <c r="D1013" s="194">
        <v>1.4985249389987985</v>
      </c>
      <c r="E1013">
        <f t="shared" si="17"/>
        <v>2.4307396781319919</v>
      </c>
    </row>
    <row r="1014" spans="4:5">
      <c r="D1014" s="194">
        <v>1.4995919607374617</v>
      </c>
      <c r="E1014">
        <f t="shared" si="17"/>
        <v>2.4305074717781965</v>
      </c>
    </row>
    <row r="1015" spans="4:5">
      <c r="D1015" s="194">
        <v>1.4996171483462604</v>
      </c>
      <c r="E1015">
        <f t="shared" si="17"/>
        <v>2.4305007494058386</v>
      </c>
    </row>
    <row r="1016" spans="4:5">
      <c r="D1016" s="194">
        <v>1.5000690327055963</v>
      </c>
      <c r="E1016">
        <f t="shared" si="17"/>
        <v>2.4303704214655104</v>
      </c>
    </row>
    <row r="1017" spans="4:5">
      <c r="D1017" s="194">
        <v>1.5008224220709963</v>
      </c>
      <c r="E1017">
        <f t="shared" si="17"/>
        <v>2.4301121864723512</v>
      </c>
    </row>
    <row r="1018" spans="4:5">
      <c r="D1018" s="194">
        <v>1.5012116172706556</v>
      </c>
      <c r="E1018">
        <f t="shared" si="17"/>
        <v>2.4299587345669509</v>
      </c>
    </row>
    <row r="1019" spans="4:5">
      <c r="D1019" s="194">
        <v>1.5017765660072655</v>
      </c>
      <c r="E1019">
        <f t="shared" si="17"/>
        <v>2.42971168939218</v>
      </c>
    </row>
    <row r="1020" spans="4:5">
      <c r="D1020" s="194">
        <v>1.5018267546499828</v>
      </c>
      <c r="E1020">
        <f t="shared" si="17"/>
        <v>2.4296883511736223</v>
      </c>
    </row>
    <row r="1021" spans="4:5">
      <c r="D1021" s="194">
        <v>1.5019523195442162</v>
      </c>
      <c r="E1021">
        <f t="shared" si="17"/>
        <v>2.4296289678334051</v>
      </c>
    </row>
    <row r="1022" spans="4:5">
      <c r="D1022" s="194">
        <v>1.5020651973466101</v>
      </c>
      <c r="E1022">
        <f t="shared" si="17"/>
        <v>2.4295743718657796</v>
      </c>
    </row>
    <row r="1023" spans="4:5">
      <c r="D1023" s="194">
        <v>1.5021657612069248</v>
      </c>
      <c r="E1023">
        <f t="shared" si="17"/>
        <v>2.4295247647419664</v>
      </c>
    </row>
    <row r="1024" spans="4:5">
      <c r="D1024" s="194">
        <v>1.5021782617238841</v>
      </c>
      <c r="E1024">
        <f t="shared" si="17"/>
        <v>2.429518534688885</v>
      </c>
    </row>
    <row r="1025" spans="4:5">
      <c r="D1025" s="194">
        <v>1.5027180228516954</v>
      </c>
      <c r="E1025">
        <f t="shared" si="17"/>
        <v>2.4292360986630164</v>
      </c>
    </row>
    <row r="1026" spans="4:5">
      <c r="D1026" s="194">
        <v>1.5027180228516954</v>
      </c>
      <c r="E1026">
        <f t="shared" si="17"/>
        <v>2.4292360986630164</v>
      </c>
    </row>
    <row r="1027" spans="4:5">
      <c r="D1027" s="194">
        <v>1.5028310872289694</v>
      </c>
      <c r="E1027">
        <f t="shared" ref="E1027:E1090" si="18">_xlfn.NORM.DIST(D1027,$B$2,$B$4,FALSE)</f>
        <v>2.4291736119977672</v>
      </c>
    </row>
    <row r="1028" spans="4:5">
      <c r="D1028" s="194">
        <v>1.5031450927519927</v>
      </c>
      <c r="E1028">
        <f t="shared" si="18"/>
        <v>2.428994033633042</v>
      </c>
    </row>
    <row r="1029" spans="4:5">
      <c r="D1029" s="194">
        <v>1.5033710349316607</v>
      </c>
      <c r="E1029">
        <f t="shared" si="18"/>
        <v>2.428859325594166</v>
      </c>
    </row>
    <row r="1030" spans="4:5">
      <c r="D1030" s="194">
        <v>1.5034714122170953</v>
      </c>
      <c r="E1030">
        <f t="shared" si="18"/>
        <v>2.4287980055622196</v>
      </c>
    </row>
    <row r="1031" spans="4:5">
      <c r="D1031" s="194">
        <v>1.5034840993089347</v>
      </c>
      <c r="E1031">
        <f t="shared" si="18"/>
        <v>2.4287901905063771</v>
      </c>
    </row>
    <row r="1032" spans="4:5">
      <c r="D1032" s="194">
        <v>1.5036725399377247</v>
      </c>
      <c r="E1032">
        <f t="shared" si="18"/>
        <v>2.4286724080707596</v>
      </c>
    </row>
    <row r="1033" spans="4:5">
      <c r="D1033" s="194">
        <v>1.5040994232631419</v>
      </c>
      <c r="E1033">
        <f t="shared" si="18"/>
        <v>2.4283937693879656</v>
      </c>
    </row>
    <row r="1034" spans="4:5">
      <c r="D1034" s="194">
        <v>1.5042249881573753</v>
      </c>
      <c r="E1034">
        <f t="shared" si="18"/>
        <v>2.4283086886130318</v>
      </c>
    </row>
    <row r="1035" spans="4:5">
      <c r="D1035" s="194">
        <v>1.5048529992034219</v>
      </c>
      <c r="E1035">
        <f t="shared" si="18"/>
        <v>2.4278618724165062</v>
      </c>
    </row>
    <row r="1036" spans="4:5">
      <c r="D1036" s="194">
        <v>1.5050789413830898</v>
      </c>
      <c r="E1036">
        <f t="shared" si="18"/>
        <v>2.4276924437836347</v>
      </c>
    </row>
    <row r="1037" spans="4:5">
      <c r="D1037" s="194">
        <v>1.5051418171176465</v>
      </c>
      <c r="E1037">
        <f t="shared" si="18"/>
        <v>2.427644478458598</v>
      </c>
    </row>
    <row r="1038" spans="4:5">
      <c r="D1038" s="194">
        <v>1.5052296938861218</v>
      </c>
      <c r="E1038">
        <f t="shared" si="18"/>
        <v>2.4275768454268367</v>
      </c>
    </row>
    <row r="1039" spans="4:5">
      <c r="D1039" s="194">
        <v>1.5053302577464365</v>
      </c>
      <c r="E1039">
        <f t="shared" si="18"/>
        <v>2.42749859627519</v>
      </c>
    </row>
    <row r="1040" spans="4:5">
      <c r="D1040" s="194">
        <v>1.5054308216067511</v>
      </c>
      <c r="E1040">
        <f t="shared" si="18"/>
        <v>2.4274194381757122</v>
      </c>
    </row>
    <row r="1041" spans="4:5">
      <c r="D1041" s="194">
        <v>1.5056065751437018</v>
      </c>
      <c r="E1041">
        <f t="shared" si="18"/>
        <v>2.4272789129304266</v>
      </c>
    </row>
    <row r="1042" spans="4:5">
      <c r="D1042" s="194">
        <v>1.5060840202615964</v>
      </c>
      <c r="E1042">
        <f t="shared" si="18"/>
        <v>2.4268831578173971</v>
      </c>
    </row>
    <row r="1043" spans="4:5">
      <c r="D1043" s="194">
        <v>1.5060965207785557</v>
      </c>
      <c r="E1043">
        <f t="shared" si="18"/>
        <v>2.4268725210485709</v>
      </c>
    </row>
    <row r="1044" spans="4:5">
      <c r="D1044" s="194">
        <v>1.5065110901618937</v>
      </c>
      <c r="E1044">
        <f t="shared" si="18"/>
        <v>2.4265118121592542</v>
      </c>
    </row>
    <row r="1045" spans="4:5">
      <c r="D1045" s="194">
        <v>1.506712217882523</v>
      </c>
      <c r="E1045">
        <f t="shared" si="18"/>
        <v>2.4263312561594796</v>
      </c>
    </row>
    <row r="1046" spans="4:5">
      <c r="D1046" s="194">
        <v>1.506712217882523</v>
      </c>
      <c r="E1046">
        <f t="shared" si="18"/>
        <v>2.4263312561594796</v>
      </c>
    </row>
    <row r="1047" spans="4:5">
      <c r="D1047" s="194">
        <v>1.506787594134039</v>
      </c>
      <c r="E1047">
        <f t="shared" si="18"/>
        <v>2.4262626542273442</v>
      </c>
    </row>
    <row r="1048" spans="4:5">
      <c r="D1048" s="194">
        <v>1.5072148506092162</v>
      </c>
      <c r="E1048">
        <f t="shared" si="18"/>
        <v>2.4258641619732124</v>
      </c>
    </row>
    <row r="1049" spans="4:5">
      <c r="D1049" s="194">
        <v>1.5082704912802001</v>
      </c>
      <c r="E1049">
        <f t="shared" si="18"/>
        <v>2.4248094024343181</v>
      </c>
    </row>
    <row r="1050" spans="4:5">
      <c r="D1050" s="194">
        <v>1.5084466179669107</v>
      </c>
      <c r="E1050">
        <f t="shared" si="18"/>
        <v>2.4246237021695447</v>
      </c>
    </row>
    <row r="1051" spans="4:5">
      <c r="D1051" s="194">
        <v>1.508610057561782</v>
      </c>
      <c r="E1051">
        <f t="shared" si="18"/>
        <v>2.4244488934194117</v>
      </c>
    </row>
    <row r="1052" spans="4:5">
      <c r="D1052" s="194">
        <v>1.5087734971566533</v>
      </c>
      <c r="E1052">
        <f t="shared" si="18"/>
        <v>2.4242716928560486</v>
      </c>
    </row>
    <row r="1053" spans="4:5">
      <c r="D1053" s="194">
        <v>1.508798498190572</v>
      </c>
      <c r="E1053">
        <f t="shared" si="18"/>
        <v>2.4242443759482426</v>
      </c>
    </row>
    <row r="1054" spans="4:5">
      <c r="D1054" s="194">
        <v>1.5090626882206379</v>
      </c>
      <c r="E1054">
        <f t="shared" si="18"/>
        <v>2.4239522944828167</v>
      </c>
    </row>
    <row r="1055" spans="4:5">
      <c r="D1055" s="194">
        <v>1.5093895674103806</v>
      </c>
      <c r="E1055">
        <f t="shared" si="18"/>
        <v>2.4235822612955542</v>
      </c>
    </row>
    <row r="1056" spans="4:5">
      <c r="D1056" s="194">
        <v>1.5095278193964532</v>
      </c>
      <c r="E1056">
        <f t="shared" si="18"/>
        <v>2.4234228814551253</v>
      </c>
    </row>
    <row r="1057" spans="4:5">
      <c r="D1057" s="194">
        <v>1.5096660713825258</v>
      </c>
      <c r="E1057">
        <f t="shared" si="18"/>
        <v>2.4232617923792623</v>
      </c>
    </row>
    <row r="1058" spans="4:5">
      <c r="D1058" s="194">
        <v>1.5099931371471484</v>
      </c>
      <c r="E1058">
        <f t="shared" si="18"/>
        <v>2.4228738976228441</v>
      </c>
    </row>
    <row r="1059" spans="4:5">
      <c r="D1059" s="194">
        <v>1.5100056376641078</v>
      </c>
      <c r="E1059">
        <f t="shared" si="18"/>
        <v>2.4228588825163331</v>
      </c>
    </row>
    <row r="1060" spans="4:5">
      <c r="D1060" s="194">
        <v>1.5103830786463277</v>
      </c>
      <c r="E1060">
        <f t="shared" si="18"/>
        <v>2.4223989409740652</v>
      </c>
    </row>
    <row r="1061" spans="4:5">
      <c r="D1061" s="194">
        <v>1.510546704816079</v>
      </c>
      <c r="E1061">
        <f t="shared" si="18"/>
        <v>2.4221955956941916</v>
      </c>
    </row>
    <row r="1062" spans="4:5">
      <c r="D1062" s="194">
        <v>1.5105592053330383</v>
      </c>
      <c r="E1062">
        <f t="shared" si="18"/>
        <v>2.4221799624640683</v>
      </c>
    </row>
    <row r="1063" spans="4:5">
      <c r="D1063" s="194">
        <v>1.5112512115629215</v>
      </c>
      <c r="E1063">
        <f t="shared" si="18"/>
        <v>2.42129277789964</v>
      </c>
    </row>
    <row r="1064" spans="4:5">
      <c r="D1064" s="194">
        <v>1.5113519619981162</v>
      </c>
      <c r="E1064">
        <f t="shared" si="18"/>
        <v>2.4211600482021201</v>
      </c>
    </row>
    <row r="1065" spans="4:5">
      <c r="D1065" s="194">
        <v>1.5113771496069148</v>
      </c>
      <c r="E1065">
        <f t="shared" si="18"/>
        <v>2.4211267243390711</v>
      </c>
    </row>
    <row r="1066" spans="4:5">
      <c r="D1066" s="194">
        <v>1.5114527124333108</v>
      </c>
      <c r="E1066">
        <f t="shared" si="18"/>
        <v>2.4210264133346788</v>
      </c>
    </row>
    <row r="1067" spans="4:5">
      <c r="D1067" s="194">
        <v>1.5114527124333108</v>
      </c>
      <c r="E1067">
        <f t="shared" si="18"/>
        <v>2.4210264133346788</v>
      </c>
    </row>
    <row r="1068" spans="4:5">
      <c r="D1068" s="194">
        <v>1.5117169024633768</v>
      </c>
      <c r="E1068">
        <f t="shared" si="18"/>
        <v>2.4206716953463494</v>
      </c>
    </row>
    <row r="1069" spans="4:5">
      <c r="D1069" s="194">
        <v>1.5119434043676847</v>
      </c>
      <c r="E1069">
        <f t="shared" si="18"/>
        <v>2.4203626271998822</v>
      </c>
    </row>
    <row r="1070" spans="4:5">
      <c r="D1070" s="194">
        <v>1.512107217112316</v>
      </c>
      <c r="E1070">
        <f t="shared" si="18"/>
        <v>2.4201362520719814</v>
      </c>
    </row>
    <row r="1071" spans="4:5">
      <c r="D1071" s="194">
        <v>1.5126359703222079</v>
      </c>
      <c r="E1071">
        <f t="shared" si="18"/>
        <v>2.4193892573619511</v>
      </c>
    </row>
    <row r="1072" spans="4:5">
      <c r="D1072" s="194">
        <v>1.5127870959749998</v>
      </c>
      <c r="E1072">
        <f t="shared" si="18"/>
        <v>2.4191711829080584</v>
      </c>
    </row>
    <row r="1073" spans="4:5">
      <c r="D1073" s="194">
        <v>1.5133158491848917</v>
      </c>
      <c r="E1073">
        <f t="shared" si="18"/>
        <v>2.418392206498424</v>
      </c>
    </row>
    <row r="1074" spans="4:5">
      <c r="D1074" s="194">
        <v>1.513328536276731</v>
      </c>
      <c r="E1074">
        <f t="shared" si="18"/>
        <v>2.4183732101405306</v>
      </c>
    </row>
    <row r="1075" spans="4:5">
      <c r="D1075" s="194">
        <v>1.5135679118477583</v>
      </c>
      <c r="E1075">
        <f t="shared" si="18"/>
        <v>2.4180121130186363</v>
      </c>
    </row>
    <row r="1076" spans="4:5">
      <c r="D1076" s="194">
        <v>1.5135804123647176</v>
      </c>
      <c r="E1076">
        <f t="shared" si="18"/>
        <v>2.4179931161823367</v>
      </c>
    </row>
    <row r="1077" spans="4:5">
      <c r="D1077" s="194">
        <v>1.5138072874187856</v>
      </c>
      <c r="E1077">
        <f t="shared" si="18"/>
        <v>2.417645926222395</v>
      </c>
    </row>
    <row r="1078" spans="4:5">
      <c r="D1078" s="194">
        <v>1.5141601005168468</v>
      </c>
      <c r="E1078">
        <f t="shared" si="18"/>
        <v>2.4170969332532888</v>
      </c>
    </row>
    <row r="1079" spans="4:5">
      <c r="D1079" s="194">
        <v>1.5150549136412792</v>
      </c>
      <c r="E1079">
        <f t="shared" si="18"/>
        <v>2.4156550573031983</v>
      </c>
    </row>
    <row r="1080" spans="4:5">
      <c r="D1080" s="194">
        <v>1.5151685377431932</v>
      </c>
      <c r="E1080">
        <f t="shared" si="18"/>
        <v>2.4154668901480334</v>
      </c>
    </row>
    <row r="1081" spans="4:5">
      <c r="D1081" s="194">
        <v>1.5154711621985371</v>
      </c>
      <c r="E1081">
        <f t="shared" si="18"/>
        <v>2.4149601530941327</v>
      </c>
    </row>
    <row r="1082" spans="4:5">
      <c r="D1082" s="194">
        <v>1.5159629735821909</v>
      </c>
      <c r="E1082">
        <f t="shared" si="18"/>
        <v>2.4141193434237147</v>
      </c>
    </row>
    <row r="1083" spans="4:5">
      <c r="D1083" s="194">
        <v>1.5160512235004262</v>
      </c>
      <c r="E1083">
        <f t="shared" si="18"/>
        <v>2.4139662066898899</v>
      </c>
    </row>
    <row r="1084" spans="4:5">
      <c r="D1084" s="194">
        <v>1.5162025357280982</v>
      </c>
      <c r="E1084">
        <f t="shared" si="18"/>
        <v>2.4137020386546575</v>
      </c>
    </row>
    <row r="1085" spans="4:5">
      <c r="D1085" s="194">
        <v>1.5163919092312881</v>
      </c>
      <c r="E1085">
        <f t="shared" si="18"/>
        <v>2.413368571625663</v>
      </c>
    </row>
    <row r="1086" spans="4:5">
      <c r="D1086" s="194">
        <v>1.5167831567546273</v>
      </c>
      <c r="E1086">
        <f t="shared" si="18"/>
        <v>2.4126695965448754</v>
      </c>
    </row>
    <row r="1087" spans="4:5">
      <c r="D1087" s="194">
        <v>1.5169850307747765</v>
      </c>
      <c r="E1087">
        <f t="shared" si="18"/>
        <v>2.4123036597494267</v>
      </c>
    </row>
    <row r="1088" spans="4:5">
      <c r="D1088" s="194">
        <v>1.5169850307747765</v>
      </c>
      <c r="E1088">
        <f t="shared" si="18"/>
        <v>2.4123036597494267</v>
      </c>
    </row>
    <row r="1089" spans="4:5">
      <c r="D1089" s="194">
        <v>1.5172499671043624</v>
      </c>
      <c r="E1089">
        <f t="shared" si="18"/>
        <v>2.4118179567370448</v>
      </c>
    </row>
    <row r="1090" spans="4:5">
      <c r="D1090" s="194">
        <v>1.5172753412880411</v>
      </c>
      <c r="E1090">
        <f t="shared" si="18"/>
        <v>2.4117711140157652</v>
      </c>
    </row>
    <row r="1091" spans="4:5">
      <c r="D1091" s="194">
        <v>1.5174899024000297</v>
      </c>
      <c r="E1091">
        <f t="shared" ref="E1091:E1154" si="19">_xlfn.NORM.DIST(D1091,$B$2,$B$4,FALSE)</f>
        <v>2.4113727492578163</v>
      </c>
    </row>
    <row r="1092" spans="4:5">
      <c r="D1092" s="194">
        <v>1.5181845206782327</v>
      </c>
      <c r="E1092">
        <f t="shared" si="19"/>
        <v>2.4100552820349059</v>
      </c>
    </row>
    <row r="1093" spans="4:5">
      <c r="D1093" s="194">
        <v>1.5182097082870314</v>
      </c>
      <c r="E1093">
        <f t="shared" si="19"/>
        <v>2.4100067116210662</v>
      </c>
    </row>
    <row r="1094" spans="4:5">
      <c r="D1094" s="194">
        <v>1.5182854576883074</v>
      </c>
      <c r="E1094">
        <f t="shared" si="19"/>
        <v>2.4098603044348619</v>
      </c>
    </row>
    <row r="1095" spans="4:5">
      <c r="D1095" s="194">
        <v>1.5185507671676532</v>
      </c>
      <c r="E1095">
        <f t="shared" si="19"/>
        <v>2.4093435415051792</v>
      </c>
    </row>
    <row r="1096" spans="4:5">
      <c r="D1096" s="194">
        <v>1.5193470687554509</v>
      </c>
      <c r="E1096">
        <f t="shared" si="19"/>
        <v>2.4077554042318252</v>
      </c>
    </row>
    <row r="1097" spans="4:5">
      <c r="D1097" s="194">
        <v>1.5196885007858327</v>
      </c>
      <c r="E1097">
        <f t="shared" si="19"/>
        <v>2.4070574170482768</v>
      </c>
    </row>
    <row r="1098" spans="4:5">
      <c r="D1098" s="194">
        <v>1.5198780608639026</v>
      </c>
      <c r="E1098">
        <f t="shared" si="19"/>
        <v>2.4066654909010574</v>
      </c>
    </row>
    <row r="1099" spans="4:5">
      <c r="D1099" s="194">
        <v>1.5200553069998932</v>
      </c>
      <c r="E1099">
        <f t="shared" si="19"/>
        <v>2.4062961779215875</v>
      </c>
    </row>
    <row r="1100" spans="4:5">
      <c r="D1100" s="194">
        <v>1.5200804946086919</v>
      </c>
      <c r="E1100">
        <f t="shared" si="19"/>
        <v>2.4062434734344222</v>
      </c>
    </row>
    <row r="1101" spans="4:5">
      <c r="D1101" s="194">
        <v>1.5201691176766872</v>
      </c>
      <c r="E1101">
        <f t="shared" si="19"/>
        <v>2.406057590370938</v>
      </c>
    </row>
    <row r="1102" spans="4:5">
      <c r="D1102" s="194">
        <v>1.5202069923773252</v>
      </c>
      <c r="E1102">
        <f t="shared" si="19"/>
        <v>2.4059779402025585</v>
      </c>
    </row>
    <row r="1103" spans="4:5">
      <c r="D1103" s="194">
        <v>1.5203083025371598</v>
      </c>
      <c r="E1103">
        <f t="shared" si="19"/>
        <v>2.4057642690007066</v>
      </c>
    </row>
    <row r="1104" spans="4:5">
      <c r="D1104" s="194">
        <v>1.5209915397476834</v>
      </c>
      <c r="E1104">
        <f t="shared" si="19"/>
        <v>2.4042998369711079</v>
      </c>
    </row>
    <row r="1105" spans="4:5">
      <c r="D1105" s="194">
        <v>1.5210169139313621</v>
      </c>
      <c r="E1105">
        <f t="shared" si="19"/>
        <v>2.4042446652755176</v>
      </c>
    </row>
    <row r="1106" spans="4:5">
      <c r="D1106" s="194">
        <v>1.5211941600673526</v>
      </c>
      <c r="E1106">
        <f t="shared" si="19"/>
        <v>2.4038577073623046</v>
      </c>
    </row>
    <row r="1107" spans="4:5">
      <c r="D1107" s="194">
        <v>1.522955053784699</v>
      </c>
      <c r="E1107">
        <f t="shared" si="19"/>
        <v>2.3998647079636388</v>
      </c>
    </row>
    <row r="1108" spans="4:5">
      <c r="D1108" s="194">
        <v>1.5231324864955695</v>
      </c>
      <c r="E1108">
        <f t="shared" si="19"/>
        <v>2.3994474099565757</v>
      </c>
    </row>
    <row r="1109" spans="4:5">
      <c r="D1109" s="194">
        <v>1.5231705477710875</v>
      </c>
      <c r="E1109">
        <f t="shared" si="19"/>
        <v>2.3993575390392481</v>
      </c>
    </row>
    <row r="1110" spans="4:5">
      <c r="D1110" s="194">
        <v>1.5234367901248334</v>
      </c>
      <c r="E1110">
        <f t="shared" si="19"/>
        <v>2.3987253694292772</v>
      </c>
    </row>
    <row r="1111" spans="4:5">
      <c r="D1111" s="194">
        <v>1.5235255997677086</v>
      </c>
      <c r="E1111">
        <f t="shared" si="19"/>
        <v>2.3985131315702919</v>
      </c>
    </row>
    <row r="1112" spans="4:5">
      <c r="D1112" s="194">
        <v>1.5236017223187446</v>
      </c>
      <c r="E1112">
        <f t="shared" si="19"/>
        <v>2.3983306693521826</v>
      </c>
    </row>
    <row r="1113" spans="4:5">
      <c r="D1113" s="194">
        <v>1.5236270965024232</v>
      </c>
      <c r="E1113">
        <f t="shared" si="19"/>
        <v>2.3982697370337447</v>
      </c>
    </row>
    <row r="1114" spans="4:5">
      <c r="D1114" s="194">
        <v>1.5237920286963345</v>
      </c>
      <c r="E1114">
        <f t="shared" si="19"/>
        <v>2.3978723174637429</v>
      </c>
    </row>
    <row r="1115" spans="4:5">
      <c r="D1115" s="194">
        <v>1.5240203963494423</v>
      </c>
      <c r="E1115">
        <f t="shared" si="19"/>
        <v>2.3973181556208627</v>
      </c>
    </row>
    <row r="1116" spans="4:5">
      <c r="D1116" s="194">
        <v>1.524045770533121</v>
      </c>
      <c r="E1116">
        <f t="shared" si="19"/>
        <v>2.3972563034508139</v>
      </c>
    </row>
    <row r="1117" spans="4:5">
      <c r="D1117" s="194">
        <v>1.5241726414515142</v>
      </c>
      <c r="E1117">
        <f t="shared" si="19"/>
        <v>2.3969462070340271</v>
      </c>
    </row>
    <row r="1118" spans="4:5">
      <c r="D1118" s="194">
        <v>1.5244646311386987</v>
      </c>
      <c r="E1118">
        <f t="shared" si="19"/>
        <v>2.3962272410050196</v>
      </c>
    </row>
    <row r="1119" spans="4:5">
      <c r="D1119" s="194">
        <v>1.524477318230538</v>
      </c>
      <c r="E1119">
        <f t="shared" si="19"/>
        <v>2.3961958345236236</v>
      </c>
    </row>
    <row r="1120" spans="4:5">
      <c r="D1120" s="194">
        <v>1.524515566080936</v>
      </c>
      <c r="E1120">
        <f t="shared" si="19"/>
        <v>2.3961010690518343</v>
      </c>
    </row>
    <row r="1121" spans="4:5">
      <c r="D1121" s="194">
        <v>1.5245916886319719</v>
      </c>
      <c r="E1121">
        <f t="shared" si="19"/>
        <v>2.3959120865603305</v>
      </c>
    </row>
    <row r="1122" spans="4:5">
      <c r="D1122" s="194">
        <v>1.5247312466422045</v>
      </c>
      <c r="E1122">
        <f t="shared" si="19"/>
        <v>2.395564318750345</v>
      </c>
    </row>
    <row r="1123" spans="4:5">
      <c r="D1123" s="194">
        <v>1.5247439337340438</v>
      </c>
      <c r="E1123">
        <f t="shared" si="19"/>
        <v>2.3955326200984746</v>
      </c>
    </row>
    <row r="1124" spans="4:5">
      <c r="D1124" s="194">
        <v>1.5248709912273171</v>
      </c>
      <c r="E1124">
        <f t="shared" si="19"/>
        <v>2.3952144010359966</v>
      </c>
    </row>
    <row r="1125" spans="4:5">
      <c r="D1125" s="194">
        <v>1.5248836783191564</v>
      </c>
      <c r="E1125">
        <f t="shared" si="19"/>
        <v>2.3951825493442191</v>
      </c>
    </row>
    <row r="1126" spans="4:5">
      <c r="D1126" s="194">
        <v>1.5249726745369117</v>
      </c>
      <c r="E1126">
        <f t="shared" si="19"/>
        <v>2.394958728651821</v>
      </c>
    </row>
    <row r="1127" spans="4:5">
      <c r="D1127" s="194">
        <v>1.5253282862581727</v>
      </c>
      <c r="E1127">
        <f t="shared" si="19"/>
        <v>2.3940575660363188</v>
      </c>
    </row>
    <row r="1128" spans="4:5">
      <c r="D1128" s="194">
        <v>1.5260018215749369</v>
      </c>
      <c r="E1128">
        <f t="shared" si="19"/>
        <v>2.3923208909150961</v>
      </c>
    </row>
    <row r="1129" spans="4:5">
      <c r="D1129" s="194">
        <v>1.5261925011022868</v>
      </c>
      <c r="E1129">
        <f t="shared" si="19"/>
        <v>2.3918221456099742</v>
      </c>
    </row>
    <row r="1130" spans="4:5">
      <c r="D1130" s="194">
        <v>1.5262561231363634</v>
      </c>
      <c r="E1130">
        <f t="shared" si="19"/>
        <v>2.3916550392861153</v>
      </c>
    </row>
    <row r="1131" spans="4:5">
      <c r="D1131" s="194">
        <v>1.526713977891859</v>
      </c>
      <c r="E1131">
        <f t="shared" si="19"/>
        <v>2.3904422104916483</v>
      </c>
    </row>
    <row r="1132" spans="4:5">
      <c r="D1132" s="194">
        <v>1.5268285348681729</v>
      </c>
      <c r="E1132">
        <f t="shared" si="19"/>
        <v>2.3901359427639437</v>
      </c>
    </row>
    <row r="1133" spans="4:5">
      <c r="D1133" s="194">
        <v>1.5268539090518516</v>
      </c>
      <c r="E1133">
        <f t="shared" si="19"/>
        <v>2.3900679527260951</v>
      </c>
    </row>
    <row r="1134" spans="4:5">
      <c r="D1134" s="194">
        <v>1.5272485149230306</v>
      </c>
      <c r="E1134">
        <f t="shared" si="19"/>
        <v>2.389003506429062</v>
      </c>
    </row>
    <row r="1135" spans="4:5">
      <c r="D1135" s="194">
        <v>1.5272485149230306</v>
      </c>
      <c r="E1135">
        <f t="shared" si="19"/>
        <v>2.389003506429062</v>
      </c>
    </row>
    <row r="1136" spans="4:5">
      <c r="D1136" s="194">
        <v>1.5272612020148699</v>
      </c>
      <c r="E1136">
        <f t="shared" si="19"/>
        <v>2.3889690617907702</v>
      </c>
    </row>
    <row r="1137" spans="4:5">
      <c r="D1137" s="194">
        <v>1.5272865761985486</v>
      </c>
      <c r="E1137">
        <f t="shared" si="19"/>
        <v>2.3889001311731617</v>
      </c>
    </row>
    <row r="1138" spans="4:5">
      <c r="D1138" s="194">
        <v>1.5274393810252604</v>
      </c>
      <c r="E1138">
        <f t="shared" si="19"/>
        <v>2.3884838617329551</v>
      </c>
    </row>
    <row r="1139" spans="4:5">
      <c r="D1139" s="194">
        <v>1.5274903159674977</v>
      </c>
      <c r="E1139">
        <f t="shared" si="19"/>
        <v>2.3883446612512609</v>
      </c>
    </row>
    <row r="1140" spans="4:5">
      <c r="D1140" s="194">
        <v>1.5275156901511764</v>
      </c>
      <c r="E1140">
        <f t="shared" si="19"/>
        <v>2.3882752331344901</v>
      </c>
    </row>
    <row r="1141" spans="4:5">
      <c r="D1141" s="194">
        <v>1.527579498760133</v>
      </c>
      <c r="E1141">
        <f t="shared" si="19"/>
        <v>2.3881003984717974</v>
      </c>
    </row>
    <row r="1142" spans="4:5">
      <c r="D1142" s="194">
        <v>1.5276304337023703</v>
      </c>
      <c r="E1142">
        <f t="shared" si="19"/>
        <v>2.3879605875626164</v>
      </c>
    </row>
    <row r="1143" spans="4:5">
      <c r="D1143" s="194">
        <v>1.527936043355794</v>
      </c>
      <c r="E1143">
        <f t="shared" si="19"/>
        <v>2.3871170651855889</v>
      </c>
    </row>
    <row r="1144" spans="4:5">
      <c r="D1144" s="194">
        <v>1.5280888481825059</v>
      </c>
      <c r="E1144">
        <f t="shared" si="19"/>
        <v>2.3866923120691963</v>
      </c>
    </row>
    <row r="1145" spans="4:5">
      <c r="D1145" s="194">
        <v>1.5281144089410645</v>
      </c>
      <c r="E1145">
        <f t="shared" si="19"/>
        <v>2.3866210659499032</v>
      </c>
    </row>
    <row r="1146" spans="4:5">
      <c r="D1146" s="194">
        <v>1.5282800874344957</v>
      </c>
      <c r="E1146">
        <f t="shared" si="19"/>
        <v>2.3861579143084226</v>
      </c>
    </row>
    <row r="1147" spans="4:5">
      <c r="D1147" s="194">
        <v>1.5286496922717561</v>
      </c>
      <c r="E1147">
        <f t="shared" si="19"/>
        <v>2.3851162534125132</v>
      </c>
    </row>
    <row r="1148" spans="4:5">
      <c r="D1148" s="194">
        <v>1.5292234100277255</v>
      </c>
      <c r="E1148">
        <f t="shared" si="19"/>
        <v>2.3834762925575426</v>
      </c>
    </row>
    <row r="1149" spans="4:5">
      <c r="D1149" s="194">
        <v>1.5292362836944449</v>
      </c>
      <c r="E1149">
        <f t="shared" si="19"/>
        <v>2.3834391722360104</v>
      </c>
    </row>
    <row r="1150" spans="4:5">
      <c r="D1150" s="194">
        <v>1.5292872186366822</v>
      </c>
      <c r="E1150">
        <f t="shared" si="19"/>
        <v>2.3832921667463287</v>
      </c>
    </row>
    <row r="1151" spans="4:5">
      <c r="D1151" s="194">
        <v>1.5293892750960367</v>
      </c>
      <c r="E1151">
        <f t="shared" si="19"/>
        <v>2.3829969538286488</v>
      </c>
    </row>
    <row r="1152" spans="4:5">
      <c r="D1152" s="194">
        <v>1.5295042052221106</v>
      </c>
      <c r="E1152">
        <f t="shared" si="19"/>
        <v>2.3826634426685205</v>
      </c>
    </row>
    <row r="1153" spans="4:5">
      <c r="D1153" s="194">
        <v>1.5298613095424116</v>
      </c>
      <c r="E1153">
        <f t="shared" si="19"/>
        <v>2.3816200207451628</v>
      </c>
    </row>
    <row r="1154" spans="4:5">
      <c r="D1154" s="194">
        <v>1.5300656090360008</v>
      </c>
      <c r="E1154">
        <f t="shared" si="19"/>
        <v>2.3810182144492207</v>
      </c>
    </row>
    <row r="1155" spans="4:5">
      <c r="D1155" s="194">
        <v>1.530116730553118</v>
      </c>
      <c r="E1155">
        <f t="shared" ref="E1155:E1218" si="20">_xlfn.NORM.DIST(D1155,$B$2,$B$4,FALSE)</f>
        <v>2.3808670721275162</v>
      </c>
    </row>
    <row r="1156" spans="4:5">
      <c r="D1156" s="194">
        <v>1.5301678520702353</v>
      </c>
      <c r="E1156">
        <f t="shared" si="20"/>
        <v>2.3807157083911554</v>
      </c>
    </row>
    <row r="1157" spans="4:5">
      <c r="D1157" s="194">
        <v>1.5302316606791919</v>
      </c>
      <c r="E1157">
        <f t="shared" si="20"/>
        <v>2.380526469340257</v>
      </c>
    </row>
    <row r="1158" spans="4:5">
      <c r="D1158" s="194">
        <v>1.5302316606791919</v>
      </c>
      <c r="E1158">
        <f t="shared" si="20"/>
        <v>2.380526469340257</v>
      </c>
    </row>
    <row r="1159" spans="4:5">
      <c r="D1159" s="194">
        <v>1.5304997687817377</v>
      </c>
      <c r="E1159">
        <f t="shared" si="20"/>
        <v>2.3797275662723578</v>
      </c>
    </row>
    <row r="1160" spans="4:5">
      <c r="D1160" s="194">
        <v>1.5311003533204257</v>
      </c>
      <c r="E1160">
        <f t="shared" si="20"/>
        <v>2.3779158980190034</v>
      </c>
    </row>
    <row r="1161" spans="4:5">
      <c r="D1161" s="194">
        <v>1.5312410307799382</v>
      </c>
      <c r="E1161">
        <f t="shared" si="20"/>
        <v>2.377487140146656</v>
      </c>
    </row>
    <row r="1162" spans="4:5">
      <c r="D1162" s="194">
        <v>1.5312792786303362</v>
      </c>
      <c r="E1162">
        <f t="shared" si="20"/>
        <v>2.3773702793770579</v>
      </c>
    </row>
    <row r="1163" spans="4:5">
      <c r="D1163" s="194">
        <v>1.5319188573189422</v>
      </c>
      <c r="E1163">
        <f t="shared" si="20"/>
        <v>2.3753978725423237</v>
      </c>
    </row>
    <row r="1164" spans="4:5">
      <c r="D1164" s="194">
        <v>1.5320084132613374</v>
      </c>
      <c r="E1164">
        <f t="shared" si="20"/>
        <v>2.3751189410001019</v>
      </c>
    </row>
    <row r="1165" spans="4:5">
      <c r="D1165" s="194">
        <v>1.5321490907208499</v>
      </c>
      <c r="E1165">
        <f t="shared" si="20"/>
        <v>2.3746794243228506</v>
      </c>
    </row>
    <row r="1166" spans="4:5">
      <c r="D1166" s="194">
        <v>1.5323155155138011</v>
      </c>
      <c r="E1166">
        <f t="shared" si="20"/>
        <v>2.3741573179704045</v>
      </c>
    </row>
    <row r="1167" spans="4:5">
      <c r="D1167" s="194">
        <v>1.5325714962491475</v>
      </c>
      <c r="E1167">
        <f t="shared" si="20"/>
        <v>2.3733497174682268</v>
      </c>
    </row>
    <row r="1168" spans="4:5">
      <c r="D1168" s="194">
        <v>1.532635678007864</v>
      </c>
      <c r="E1168">
        <f t="shared" si="20"/>
        <v>2.3731463664954329</v>
      </c>
    </row>
    <row r="1169" spans="4:5">
      <c r="D1169" s="194">
        <v>1.5328276635593738</v>
      </c>
      <c r="E1169">
        <f t="shared" si="20"/>
        <v>2.3725360248376299</v>
      </c>
    </row>
    <row r="1170" spans="4:5">
      <c r="D1170" s="194">
        <v>1.532955840501927</v>
      </c>
      <c r="E1170">
        <f t="shared" si="20"/>
        <v>2.3721268174628443</v>
      </c>
    </row>
    <row r="1171" spans="4:5">
      <c r="D1171" s="194">
        <v>1.5331480126283168</v>
      </c>
      <c r="E1171">
        <f t="shared" si="20"/>
        <v>2.3715107261171404</v>
      </c>
    </row>
    <row r="1172" spans="4:5">
      <c r="D1172" s="194">
        <v>1.5331480126283168</v>
      </c>
      <c r="E1172">
        <f t="shared" si="20"/>
        <v>2.3715107261171404</v>
      </c>
    </row>
    <row r="1173" spans="4:5">
      <c r="D1173" s="194">
        <v>1.533237568570712</v>
      </c>
      <c r="E1173">
        <f t="shared" si="20"/>
        <v>2.3712225595905805</v>
      </c>
    </row>
    <row r="1174" spans="4:5">
      <c r="D1174" s="194">
        <v>1.5332888766627093</v>
      </c>
      <c r="E1174">
        <f t="shared" si="20"/>
        <v>2.3710571618270171</v>
      </c>
    </row>
    <row r="1175" spans="4:5">
      <c r="D1175" s="194">
        <v>1.5333528718465459</v>
      </c>
      <c r="E1175">
        <f t="shared" si="20"/>
        <v>2.3708505571052876</v>
      </c>
    </row>
    <row r="1176" spans="4:5">
      <c r="D1176" s="194">
        <v>1.5334683616972598</v>
      </c>
      <c r="E1176">
        <f t="shared" si="20"/>
        <v>2.3704768382085319</v>
      </c>
    </row>
    <row r="1177" spans="4:5">
      <c r="D1177" s="194">
        <v>1.5337760236743634</v>
      </c>
      <c r="E1177">
        <f t="shared" si="20"/>
        <v>2.3694758214755627</v>
      </c>
    </row>
    <row r="1178" spans="4:5">
      <c r="D1178" s="194">
        <v>1.5338273317663607</v>
      </c>
      <c r="E1178">
        <f t="shared" si="20"/>
        <v>2.3693081151898117</v>
      </c>
    </row>
    <row r="1179" spans="4:5">
      <c r="D1179" s="194">
        <v>1.5338528925249193</v>
      </c>
      <c r="E1179">
        <f t="shared" si="20"/>
        <v>2.3692244849772073</v>
      </c>
    </row>
    <row r="1180" spans="4:5">
      <c r="D1180" s="194">
        <v>1.5340454378010691</v>
      </c>
      <c r="E1180">
        <f t="shared" si="20"/>
        <v>2.3685927596592111</v>
      </c>
    </row>
    <row r="1181" spans="4:5">
      <c r="D1181" s="194">
        <v>1.5342506701690581</v>
      </c>
      <c r="E1181">
        <f t="shared" si="20"/>
        <v>2.367916005789978</v>
      </c>
    </row>
    <row r="1182" spans="4:5">
      <c r="D1182" s="194">
        <v>1.53440459444505</v>
      </c>
      <c r="E1182">
        <f t="shared" si="20"/>
        <v>2.3674061376128508</v>
      </c>
    </row>
    <row r="1183" spans="4:5">
      <c r="D1183" s="194">
        <v>1.5345329579624831</v>
      </c>
      <c r="E1183">
        <f t="shared" si="20"/>
        <v>2.366979430156134</v>
      </c>
    </row>
    <row r="1184" spans="4:5">
      <c r="D1184" s="194">
        <v>1.5348409930893467</v>
      </c>
      <c r="E1184">
        <f t="shared" si="20"/>
        <v>2.3659498656408586</v>
      </c>
    </row>
    <row r="1185" spans="4:5">
      <c r="D1185" s="194">
        <v>1.5353290729754008</v>
      </c>
      <c r="E1185">
        <f t="shared" si="20"/>
        <v>2.3643023883430661</v>
      </c>
    </row>
    <row r="1186" spans="4:5">
      <c r="D1186" s="194">
        <v>1.5354447494009946</v>
      </c>
      <c r="E1186">
        <f t="shared" si="20"/>
        <v>2.3639090344425182</v>
      </c>
    </row>
    <row r="1187" spans="4:5">
      <c r="D1187" s="194">
        <v>1.5354833704011526</v>
      </c>
      <c r="E1187">
        <f t="shared" si="20"/>
        <v>2.3637774580674056</v>
      </c>
    </row>
    <row r="1188" spans="4:5">
      <c r="D1188" s="194">
        <v>1.5356376678269044</v>
      </c>
      <c r="E1188">
        <f t="shared" si="20"/>
        <v>2.3632505553264145</v>
      </c>
    </row>
    <row r="1189" spans="4:5">
      <c r="D1189" s="194">
        <v>1.5356761022521823</v>
      </c>
      <c r="E1189">
        <f t="shared" si="20"/>
        <v>2.3631190007881431</v>
      </c>
    </row>
    <row r="1190" spans="4:5">
      <c r="D1190" s="194">
        <v>1.5359589497702473</v>
      </c>
      <c r="E1190">
        <f t="shared" si="20"/>
        <v>2.3621471017787723</v>
      </c>
    </row>
    <row r="1191" spans="4:5">
      <c r="D1191" s="194">
        <v>1.536190489196315</v>
      </c>
      <c r="E1191">
        <f t="shared" si="20"/>
        <v>2.3613465801919511</v>
      </c>
    </row>
    <row r="1192" spans="4:5">
      <c r="D1192" s="194">
        <v>1.536190489196315</v>
      </c>
      <c r="E1192">
        <f t="shared" si="20"/>
        <v>2.3613465801919511</v>
      </c>
    </row>
    <row r="1193" spans="4:5">
      <c r="D1193" s="194">
        <v>1.5362934785300695</v>
      </c>
      <c r="E1193">
        <f t="shared" si="20"/>
        <v>2.3609890832128007</v>
      </c>
    </row>
    <row r="1194" spans="4:5">
      <c r="D1194" s="194">
        <v>1.5364220286223826</v>
      </c>
      <c r="E1194">
        <f t="shared" si="20"/>
        <v>2.3605416312210217</v>
      </c>
    </row>
    <row r="1195" spans="4:5">
      <c r="D1195" s="194">
        <v>1.5365121442894178</v>
      </c>
      <c r="E1195">
        <f t="shared" si="20"/>
        <v>2.3602271473788403</v>
      </c>
    </row>
    <row r="1196" spans="4:5">
      <c r="D1196" s="194">
        <v>1.5365378916228565</v>
      </c>
      <c r="E1196">
        <f t="shared" si="20"/>
        <v>2.3601371718414295</v>
      </c>
    </row>
    <row r="1197" spans="4:5">
      <c r="D1197" s="194">
        <v>1.5366923756234883</v>
      </c>
      <c r="E1197">
        <f t="shared" si="20"/>
        <v>2.3595961709925009</v>
      </c>
    </row>
    <row r="1198" spans="4:5">
      <c r="D1198" s="194">
        <v>1.5370013436247518</v>
      </c>
      <c r="E1198">
        <f t="shared" si="20"/>
        <v>2.3585082716971524</v>
      </c>
    </row>
    <row r="1199" spans="4:5">
      <c r="D1199" s="194">
        <v>1.5378646255944659</v>
      </c>
      <c r="E1199">
        <f t="shared" si="20"/>
        <v>2.355426997873252</v>
      </c>
    </row>
    <row r="1200" spans="4:5">
      <c r="D1200" s="194">
        <v>1.5378776858360652</v>
      </c>
      <c r="E1200">
        <f t="shared" si="20"/>
        <v>2.3553799129995152</v>
      </c>
    </row>
    <row r="1201" spans="4:5">
      <c r="D1201" s="194">
        <v>1.5378903729279045</v>
      </c>
      <c r="E1201">
        <f t="shared" si="20"/>
        <v>2.3553341600257918</v>
      </c>
    </row>
    <row r="1202" spans="4:5">
      <c r="D1202" s="194">
        <v>1.5379806751698197</v>
      </c>
      <c r="E1202">
        <f t="shared" si="20"/>
        <v>2.3550081255816235</v>
      </c>
    </row>
    <row r="1203" spans="4:5">
      <c r="D1203" s="194">
        <v>1.5390001203140855</v>
      </c>
      <c r="E1203">
        <f t="shared" si="20"/>
        <v>2.3512811850081978</v>
      </c>
    </row>
    <row r="1204" spans="4:5">
      <c r="D1204" s="194">
        <v>1.5390131805556848</v>
      </c>
      <c r="E1204">
        <f t="shared" si="20"/>
        <v>2.3512328883788727</v>
      </c>
    </row>
    <row r="1205" spans="4:5">
      <c r="D1205" s="194">
        <v>1.5391422903726379</v>
      </c>
      <c r="E1205">
        <f t="shared" si="20"/>
        <v>2.3507546940275792</v>
      </c>
    </row>
    <row r="1206" spans="4:5">
      <c r="D1206" s="194">
        <v>1.5392844604311904</v>
      </c>
      <c r="E1206">
        <f t="shared" si="20"/>
        <v>2.3502265571757484</v>
      </c>
    </row>
    <row r="1207" spans="4:5">
      <c r="D1207" s="194">
        <v>1.5395299929732573</v>
      </c>
      <c r="E1207">
        <f t="shared" si="20"/>
        <v>2.3493105744504486</v>
      </c>
    </row>
    <row r="1208" spans="4:5">
      <c r="D1208" s="194">
        <v>1.5397755255153243</v>
      </c>
      <c r="E1208">
        <f t="shared" si="20"/>
        <v>2.348389692152943</v>
      </c>
    </row>
    <row r="1209" spans="4:5">
      <c r="D1209" s="194">
        <v>1.5397883991820436</v>
      </c>
      <c r="E1209">
        <f t="shared" si="20"/>
        <v>2.348341273743638</v>
      </c>
    </row>
    <row r="1210" spans="4:5">
      <c r="D1210" s="194">
        <v>1.5406035448327202</v>
      </c>
      <c r="E1210">
        <f t="shared" si="20"/>
        <v>2.3452481214197709</v>
      </c>
    </row>
    <row r="1211" spans="4:5">
      <c r="D1211" s="194">
        <v>1.541134350366292</v>
      </c>
      <c r="E1211">
        <f t="shared" si="20"/>
        <v>2.3432050383649345</v>
      </c>
    </row>
    <row r="1212" spans="4:5">
      <c r="D1212" s="194">
        <v>1.5426778843484499</v>
      </c>
      <c r="E1212">
        <f t="shared" si="20"/>
        <v>2.3371351231968571</v>
      </c>
    </row>
    <row r="1213" spans="4:5">
      <c r="D1213" s="194">
        <v>1.5427166919234878</v>
      </c>
      <c r="E1213">
        <f t="shared" si="20"/>
        <v>2.3369800518900647</v>
      </c>
    </row>
    <row r="1214" spans="4:5">
      <c r="D1214" s="194">
        <v>1.5428857287647588</v>
      </c>
      <c r="E1214">
        <f t="shared" si="20"/>
        <v>2.3363031932528893</v>
      </c>
    </row>
    <row r="1215" spans="4:5">
      <c r="D1215" s="194">
        <v>1.5431846217225029</v>
      </c>
      <c r="E1215">
        <f t="shared" si="20"/>
        <v>2.3351007805081316</v>
      </c>
    </row>
    <row r="1216" spans="4:5">
      <c r="D1216" s="194">
        <v>1.543314477838976</v>
      </c>
      <c r="E1216">
        <f t="shared" si="20"/>
        <v>2.3345761638108558</v>
      </c>
    </row>
    <row r="1217" spans="4:5">
      <c r="D1217" s="194">
        <v>1.5433924661388119</v>
      </c>
      <c r="E1217">
        <f t="shared" si="20"/>
        <v>2.3342604465128463</v>
      </c>
    </row>
    <row r="1218" spans="4:5">
      <c r="D1218" s="194">
        <v>1.5435355690717643</v>
      </c>
      <c r="E1218">
        <f t="shared" si="20"/>
        <v>2.3336798682678026</v>
      </c>
    </row>
    <row r="1219" spans="4:5">
      <c r="D1219" s="194">
        <v>1.5436786720047166</v>
      </c>
      <c r="E1219">
        <f t="shared" ref="E1219:E1282" si="21">_xlfn.NORM.DIST(D1219,$B$2,$B$4,FALSE)</f>
        <v>2.3330976604645772</v>
      </c>
    </row>
    <row r="1220" spans="4:5">
      <c r="D1220" s="194">
        <v>1.5437305398213539</v>
      </c>
      <c r="E1220">
        <f t="shared" si="21"/>
        <v>2.3328862364963849</v>
      </c>
    </row>
    <row r="1221" spans="4:5">
      <c r="D1221" s="194">
        <v>1.543821588362789</v>
      </c>
      <c r="E1221">
        <f t="shared" si="21"/>
        <v>2.3325145866488186</v>
      </c>
    </row>
    <row r="1222" spans="4:5">
      <c r="D1222" s="194">
        <v>1.5444335539691565</v>
      </c>
      <c r="E1222">
        <f t="shared" si="21"/>
        <v>2.3299995387479639</v>
      </c>
    </row>
    <row r="1223" spans="4:5">
      <c r="D1223" s="194">
        <v>1.5445768434769889</v>
      </c>
      <c r="E1223">
        <f t="shared" si="21"/>
        <v>2.3294063615074547</v>
      </c>
    </row>
    <row r="1224" spans="4:5">
      <c r="D1224" s="194">
        <v>1.5446548317768247</v>
      </c>
      <c r="E1224">
        <f t="shared" si="21"/>
        <v>2.3290828297352033</v>
      </c>
    </row>
    <row r="1225" spans="4:5">
      <c r="D1225" s="194">
        <v>1.544837302009455</v>
      </c>
      <c r="E1225">
        <f t="shared" si="21"/>
        <v>2.3283239795475383</v>
      </c>
    </row>
    <row r="1226" spans="4:5">
      <c r="D1226" s="194">
        <v>1.5449936517588867</v>
      </c>
      <c r="E1226">
        <f t="shared" si="21"/>
        <v>2.3276716657758585</v>
      </c>
    </row>
    <row r="1227" spans="4:5">
      <c r="D1227" s="194">
        <v>1.545006712000486</v>
      </c>
      <c r="E1227">
        <f t="shared" si="21"/>
        <v>2.327617089223875</v>
      </c>
    </row>
    <row r="1228" spans="4:5">
      <c r="D1228" s="194">
        <v>1.5450458927252839</v>
      </c>
      <c r="E1228">
        <f t="shared" si="21"/>
        <v>2.3274532788057831</v>
      </c>
    </row>
    <row r="1229" spans="4:5">
      <c r="D1229" s="194">
        <v>1.5450458927252839</v>
      </c>
      <c r="E1229">
        <f t="shared" si="21"/>
        <v>2.3274532788057831</v>
      </c>
    </row>
    <row r="1230" spans="4:5">
      <c r="D1230" s="194">
        <v>1.5451501880831984</v>
      </c>
      <c r="E1230">
        <f t="shared" si="21"/>
        <v>2.3270166408201121</v>
      </c>
    </row>
    <row r="1231" spans="4:5">
      <c r="D1231" s="194">
        <v>1.5452936641659107</v>
      </c>
      <c r="E1231">
        <f t="shared" si="21"/>
        <v>2.3264145691968809</v>
      </c>
    </row>
    <row r="1232" spans="4:5">
      <c r="D1232" s="194">
        <v>1.5455022548817396</v>
      </c>
      <c r="E1232">
        <f t="shared" si="21"/>
        <v>2.3255363630606216</v>
      </c>
    </row>
    <row r="1233" spans="4:5">
      <c r="D1233" s="194">
        <v>1.5456067368145341</v>
      </c>
      <c r="E1233">
        <f t="shared" si="21"/>
        <v>2.3250951871781211</v>
      </c>
    </row>
    <row r="1234" spans="4:5">
      <c r="D1234" s="194">
        <v>1.5456981585057292</v>
      </c>
      <c r="E1234">
        <f t="shared" si="21"/>
        <v>2.3247084540009753</v>
      </c>
    </row>
    <row r="1235" spans="4:5">
      <c r="D1235" s="194">
        <v>1.5460634721207498</v>
      </c>
      <c r="E1235">
        <f t="shared" si="21"/>
        <v>2.3231565457266532</v>
      </c>
    </row>
    <row r="1236" spans="4:5">
      <c r="D1236" s="194">
        <v>1.5462593757447394</v>
      </c>
      <c r="E1236">
        <f t="shared" si="21"/>
        <v>2.3223200038630125</v>
      </c>
    </row>
    <row r="1237" spans="4:5">
      <c r="D1237" s="194">
        <v>1.5465077069100062</v>
      </c>
      <c r="E1237">
        <f t="shared" si="21"/>
        <v>2.3212552664786124</v>
      </c>
    </row>
    <row r="1238" spans="4:5">
      <c r="D1238" s="194">
        <v>1.5468737668245467</v>
      </c>
      <c r="E1238">
        <f t="shared" si="21"/>
        <v>2.3196769636615104</v>
      </c>
    </row>
    <row r="1239" spans="4:5">
      <c r="D1239" s="194">
        <v>1.5469261943658239</v>
      </c>
      <c r="E1239">
        <f t="shared" si="21"/>
        <v>2.3194500603689296</v>
      </c>
    </row>
    <row r="1240" spans="4:5">
      <c r="D1240" s="194">
        <v>1.5470306762986183</v>
      </c>
      <c r="E1240">
        <f t="shared" si="21"/>
        <v>2.3189972291541054</v>
      </c>
    </row>
    <row r="1241" spans="4:5">
      <c r="D1241" s="194">
        <v>1.5473971093629189</v>
      </c>
      <c r="E1241">
        <f t="shared" si="21"/>
        <v>2.3174023602710756</v>
      </c>
    </row>
    <row r="1242" spans="4:5">
      <c r="D1242" s="194">
        <v>1.5474625971457954</v>
      </c>
      <c r="E1242">
        <f t="shared" si="21"/>
        <v>2.3171162290582972</v>
      </c>
    </row>
    <row r="1243" spans="4:5">
      <c r="D1243" s="194">
        <v>1.5475280849286719</v>
      </c>
      <c r="E1243">
        <f t="shared" si="21"/>
        <v>2.3168297642575868</v>
      </c>
    </row>
    <row r="1244" spans="4:5">
      <c r="D1244" s="194">
        <v>1.5476851809776235</v>
      </c>
      <c r="E1244">
        <f t="shared" si="21"/>
        <v>2.3161412160470958</v>
      </c>
    </row>
    <row r="1245" spans="4:5">
      <c r="D1245" s="194">
        <v>1.5479732525923282</v>
      </c>
      <c r="E1245">
        <f t="shared" si="21"/>
        <v>2.3148736256331515</v>
      </c>
    </row>
    <row r="1246" spans="4:5">
      <c r="D1246" s="194">
        <v>1.5479995596504068</v>
      </c>
      <c r="E1246">
        <f t="shared" si="21"/>
        <v>2.3147575468774018</v>
      </c>
    </row>
    <row r="1247" spans="4:5">
      <c r="D1247" s="194">
        <v>1.5479995596504068</v>
      </c>
      <c r="E1247">
        <f t="shared" si="21"/>
        <v>2.3147575468774018</v>
      </c>
    </row>
    <row r="1248" spans="4:5">
      <c r="D1248" s="194">
        <v>1.5484189799806245</v>
      </c>
      <c r="E1248">
        <f t="shared" si="21"/>
        <v>2.3128996316744881</v>
      </c>
    </row>
    <row r="1249" spans="4:5">
      <c r="D1249" s="194">
        <v>1.5486680574454113</v>
      </c>
      <c r="E1249">
        <f t="shared" si="21"/>
        <v>2.3117898476652781</v>
      </c>
    </row>
    <row r="1250" spans="4:5">
      <c r="D1250" s="194">
        <v>1.5488650805186808</v>
      </c>
      <c r="E1250">
        <f t="shared" si="21"/>
        <v>2.310908602603361</v>
      </c>
    </row>
    <row r="1251" spans="4:5">
      <c r="D1251" s="194">
        <v>1.5489305683015573</v>
      </c>
      <c r="E1251">
        <f t="shared" si="21"/>
        <v>2.3106150257268969</v>
      </c>
    </row>
    <row r="1252" spans="4:5">
      <c r="D1252" s="194">
        <v>1.5489305683015573</v>
      </c>
      <c r="E1252">
        <f t="shared" si="21"/>
        <v>2.3106150257268969</v>
      </c>
    </row>
    <row r="1253" spans="4:5">
      <c r="D1253" s="194">
        <v>1.5494033490474521</v>
      </c>
      <c r="E1253">
        <f t="shared" si="21"/>
        <v>2.3084857848116598</v>
      </c>
    </row>
    <row r="1254" spans="4:5">
      <c r="D1254" s="194">
        <v>1.5495610048210438</v>
      </c>
      <c r="E1254">
        <f t="shared" si="21"/>
        <v>2.3077719358571813</v>
      </c>
    </row>
    <row r="1255" spans="4:5">
      <c r="D1255" s="194">
        <v>1.5496266791788003</v>
      </c>
      <c r="E1255">
        <f t="shared" si="21"/>
        <v>2.307474006030608</v>
      </c>
    </row>
    <row r="1256" spans="4:5">
      <c r="D1256" s="194">
        <v>1.550271108814286</v>
      </c>
      <c r="E1256">
        <f t="shared" si="21"/>
        <v>2.3045330313231807</v>
      </c>
    </row>
    <row r="1257" spans="4:5">
      <c r="D1257" s="194">
        <v>1.5503104761139639</v>
      </c>
      <c r="E1257">
        <f t="shared" si="21"/>
        <v>2.3043523412678706</v>
      </c>
    </row>
    <row r="1258" spans="4:5">
      <c r="D1258" s="194">
        <v>1.5503104761139639</v>
      </c>
      <c r="E1258">
        <f t="shared" si="21"/>
        <v>2.3043523412678706</v>
      </c>
    </row>
    <row r="1259" spans="4:5">
      <c r="D1259" s="194">
        <v>1.5503763370466004</v>
      </c>
      <c r="E1259">
        <f t="shared" si="21"/>
        <v>2.3040497846116335</v>
      </c>
    </row>
    <row r="1260" spans="4:5">
      <c r="D1260" s="194">
        <v>1.550402644104679</v>
      </c>
      <c r="E1260">
        <f t="shared" si="21"/>
        <v>2.3039288407661056</v>
      </c>
    </row>
    <row r="1261" spans="4:5">
      <c r="D1261" s="194">
        <v>1.5504552582208362</v>
      </c>
      <c r="E1261">
        <f t="shared" si="21"/>
        <v>2.3036867945367963</v>
      </c>
    </row>
    <row r="1262" spans="4:5">
      <c r="D1262" s="194">
        <v>1.5505474262115513</v>
      </c>
      <c r="E1262">
        <f t="shared" si="21"/>
        <v>2.3032622751763916</v>
      </c>
    </row>
    <row r="1263" spans="4:5">
      <c r="D1263" s="194">
        <v>1.5506922083184236</v>
      </c>
      <c r="E1263">
        <f t="shared" si="21"/>
        <v>2.3025941103405945</v>
      </c>
    </row>
    <row r="1264" spans="4:5">
      <c r="D1264" s="194">
        <v>1.5510478200396847</v>
      </c>
      <c r="E1264">
        <f t="shared" si="21"/>
        <v>2.3009461949769925</v>
      </c>
    </row>
    <row r="1265" spans="4:5">
      <c r="D1265" s="194">
        <v>1.5512323425959949</v>
      </c>
      <c r="E1265">
        <f t="shared" si="21"/>
        <v>2.3000873209480259</v>
      </c>
    </row>
    <row r="1266" spans="4:5">
      <c r="D1266" s="194">
        <v>1.5513774978526271</v>
      </c>
      <c r="E1266">
        <f t="shared" si="21"/>
        <v>2.2994098674704881</v>
      </c>
    </row>
    <row r="1267" spans="4:5">
      <c r="D1267" s="194">
        <v>1.5514829126598215</v>
      </c>
      <c r="E1267">
        <f t="shared" si="21"/>
        <v>2.2989168842514047</v>
      </c>
    </row>
    <row r="1268" spans="4:5">
      <c r="D1268" s="194">
        <v>1.5515224665343794</v>
      </c>
      <c r="E1268">
        <f t="shared" si="21"/>
        <v>2.2987316890472522</v>
      </c>
    </row>
    <row r="1269" spans="4:5">
      <c r="D1269" s="194">
        <v>1.5515357133508587</v>
      </c>
      <c r="E1269">
        <f t="shared" si="21"/>
        <v>2.2986696396123083</v>
      </c>
    </row>
    <row r="1270" spans="4:5">
      <c r="D1270" s="194">
        <v>1.5516543749745324</v>
      </c>
      <c r="E1270">
        <f t="shared" si="21"/>
        <v>2.2981132234119377</v>
      </c>
    </row>
    <row r="1271" spans="4:5">
      <c r="D1271" s="194">
        <v>1.5516543749745324</v>
      </c>
      <c r="E1271">
        <f t="shared" si="21"/>
        <v>2.2981132234119377</v>
      </c>
    </row>
    <row r="1272" spans="4:5">
      <c r="D1272" s="194">
        <v>1.5521163343773878</v>
      </c>
      <c r="E1272">
        <f t="shared" si="21"/>
        <v>2.2959368996802212</v>
      </c>
    </row>
    <row r="1273" spans="4:5">
      <c r="D1273" s="194">
        <v>1.5524465719149703</v>
      </c>
      <c r="E1273">
        <f t="shared" si="21"/>
        <v>2.2943712472986255</v>
      </c>
    </row>
    <row r="1274" spans="4:5">
      <c r="D1274" s="194">
        <v>1.5525654201135239</v>
      </c>
      <c r="E1274">
        <f t="shared" si="21"/>
        <v>2.2938057778412713</v>
      </c>
    </row>
    <row r="1275" spans="4:5">
      <c r="D1275" s="194">
        <v>1.5531074201398951</v>
      </c>
      <c r="E1275">
        <f t="shared" si="21"/>
        <v>2.2912135197333257</v>
      </c>
    </row>
    <row r="1276" spans="4:5">
      <c r="D1276" s="194">
        <v>1.5533059358122046</v>
      </c>
      <c r="E1276">
        <f t="shared" si="21"/>
        <v>2.290258549074037</v>
      </c>
    </row>
    <row r="1277" spans="4:5">
      <c r="D1277" s="194">
        <v>1.5533854167110803</v>
      </c>
      <c r="E1277">
        <f t="shared" si="21"/>
        <v>2.2898753741050006</v>
      </c>
    </row>
    <row r="1278" spans="4:5">
      <c r="D1278" s="194">
        <v>1.5536236728328277</v>
      </c>
      <c r="E1278">
        <f t="shared" si="21"/>
        <v>2.2887239162040505</v>
      </c>
    </row>
    <row r="1279" spans="4:5">
      <c r="D1279" s="194">
        <v>1.5536899069152241</v>
      </c>
      <c r="E1279">
        <f t="shared" si="21"/>
        <v>2.2884030624006426</v>
      </c>
    </row>
    <row r="1280" spans="4:5">
      <c r="D1280" s="194">
        <v>1.5539680900612893</v>
      </c>
      <c r="E1280">
        <f t="shared" si="21"/>
        <v>2.2870518995850935</v>
      </c>
    </row>
    <row r="1281" spans="4:5">
      <c r="D1281" s="194">
        <v>1.5543791145219075</v>
      </c>
      <c r="E1281">
        <f t="shared" si="21"/>
        <v>2.2850449564982602</v>
      </c>
    </row>
    <row r="1282" spans="4:5">
      <c r="D1282" s="194">
        <v>1.5543923613383868</v>
      </c>
      <c r="E1282">
        <f t="shared" si="21"/>
        <v>2.2849800660676021</v>
      </c>
    </row>
    <row r="1283" spans="4:5">
      <c r="D1283" s="194">
        <v>1.5545117692615804</v>
      </c>
      <c r="E1283">
        <f t="shared" ref="E1283:E1346" si="22">_xlfn.NORM.DIST(D1283,$B$2,$B$4,FALSE)</f>
        <v>2.284394549651442</v>
      </c>
    </row>
    <row r="1284" spans="4:5">
      <c r="D1284" s="194">
        <v>1.5545914367353362</v>
      </c>
      <c r="E1284">
        <f t="shared" si="22"/>
        <v>2.2840033113849523</v>
      </c>
    </row>
    <row r="1285" spans="4:5">
      <c r="D1285" s="194">
        <v>1.5546444240012534</v>
      </c>
      <c r="E1285">
        <f t="shared" si="22"/>
        <v>2.2837428358045537</v>
      </c>
    </row>
    <row r="1286" spans="4:5">
      <c r="D1286" s="194">
        <v>1.5548434993982028</v>
      </c>
      <c r="E1286">
        <f t="shared" si="22"/>
        <v>2.2827623569440698</v>
      </c>
    </row>
    <row r="1287" spans="4:5">
      <c r="D1287" s="194">
        <v>1.5548832398476407</v>
      </c>
      <c r="E1287">
        <f t="shared" si="22"/>
        <v>2.2825662769820658</v>
      </c>
    </row>
    <row r="1288" spans="4:5">
      <c r="D1288" s="194">
        <v>1.5550425747951522</v>
      </c>
      <c r="E1288">
        <f t="shared" si="22"/>
        <v>2.281778941480741</v>
      </c>
    </row>
    <row r="1289" spans="4:5">
      <c r="D1289" s="194">
        <v>1.5550560081865115</v>
      </c>
      <c r="E1289">
        <f t="shared" si="22"/>
        <v>2.2817124760124079</v>
      </c>
    </row>
    <row r="1290" spans="4:5">
      <c r="D1290" s="194">
        <v>1.5550692550029908</v>
      </c>
      <c r="E1290">
        <f t="shared" si="22"/>
        <v>2.2816469206011112</v>
      </c>
    </row>
    <row r="1291" spans="4:5">
      <c r="D1291" s="194">
        <v>1.5553216908156173</v>
      </c>
      <c r="E1291">
        <f t="shared" si="22"/>
        <v>2.2803951951114563</v>
      </c>
    </row>
    <row r="1292" spans="4:5">
      <c r="D1292" s="194">
        <v>1.5554013582893731</v>
      </c>
      <c r="E1292">
        <f t="shared" si="22"/>
        <v>2.2799991795309174</v>
      </c>
    </row>
    <row r="1293" spans="4:5">
      <c r="D1293" s="194">
        <v>1.5556140536525618</v>
      </c>
      <c r="E1293">
        <f t="shared" si="22"/>
        <v>2.2789396074139305</v>
      </c>
    </row>
    <row r="1294" spans="4:5">
      <c r="D1294" s="194">
        <v>1.5562926264910857</v>
      </c>
      <c r="E1294">
        <f t="shared" si="22"/>
        <v>2.2755369418432352</v>
      </c>
    </row>
    <row r="1295" spans="4:5">
      <c r="D1295" s="194">
        <v>1.5564258409553986</v>
      </c>
      <c r="E1295">
        <f t="shared" si="22"/>
        <v>2.274864975162791</v>
      </c>
    </row>
    <row r="1296" spans="4:5">
      <c r="D1296" s="194">
        <v>1.5566790230675451</v>
      </c>
      <c r="E1296">
        <f t="shared" si="22"/>
        <v>2.2735842797595507</v>
      </c>
    </row>
    <row r="1297" spans="4:5">
      <c r="D1297" s="194">
        <v>1.5567989907153787</v>
      </c>
      <c r="E1297">
        <f t="shared" si="22"/>
        <v>2.2729757986915979</v>
      </c>
    </row>
    <row r="1298" spans="4:5">
      <c r="D1298" s="194">
        <v>1.5568922781553738</v>
      </c>
      <c r="E1298">
        <f t="shared" si="22"/>
        <v>2.2725019140505598</v>
      </c>
    </row>
    <row r="1299" spans="4:5">
      <c r="D1299" s="194">
        <v>1.5577061177818905</v>
      </c>
      <c r="E1299">
        <f t="shared" si="22"/>
        <v>2.2683408441888777</v>
      </c>
    </row>
    <row r="1300" spans="4:5">
      <c r="D1300" s="194">
        <v>1.5577061177818905</v>
      </c>
      <c r="E1300">
        <f t="shared" si="22"/>
        <v>2.2683408441888777</v>
      </c>
    </row>
    <row r="1301" spans="4:5">
      <c r="D1301" s="194">
        <v>1.557866572178682</v>
      </c>
      <c r="E1301">
        <f t="shared" si="22"/>
        <v>2.2675147778725626</v>
      </c>
    </row>
    <row r="1302" spans="4:5">
      <c r="D1302" s="194">
        <v>1.5578932523865205</v>
      </c>
      <c r="E1302">
        <f t="shared" si="22"/>
        <v>2.2673772393462115</v>
      </c>
    </row>
    <row r="1303" spans="4:5">
      <c r="D1303" s="194">
        <v>1.5582540882044214</v>
      </c>
      <c r="E1303">
        <f t="shared" si="22"/>
        <v>2.2655120411108109</v>
      </c>
    </row>
    <row r="1304" spans="4:5">
      <c r="D1304" s="194">
        <v>1.55865541077128</v>
      </c>
      <c r="E1304">
        <f t="shared" si="22"/>
        <v>2.2634265122427943</v>
      </c>
    </row>
    <row r="1305" spans="4:5">
      <c r="D1305" s="194">
        <v>1.5586688441626393</v>
      </c>
      <c r="E1305">
        <f t="shared" si="22"/>
        <v>2.2633565028545006</v>
      </c>
    </row>
    <row r="1306" spans="4:5">
      <c r="D1306" s="194">
        <v>1.5591507670776537</v>
      </c>
      <c r="E1306">
        <f t="shared" si="22"/>
        <v>2.2608363282867918</v>
      </c>
    </row>
    <row r="1307" spans="4:5">
      <c r="D1307" s="194">
        <v>1.5597405302733023</v>
      </c>
      <c r="E1307">
        <f t="shared" si="22"/>
        <v>2.2577295388792447</v>
      </c>
    </row>
    <row r="1308" spans="4:5">
      <c r="D1308" s="194">
        <v>1.559821130621458</v>
      </c>
      <c r="E1308">
        <f t="shared" si="22"/>
        <v>2.2573030151032496</v>
      </c>
    </row>
    <row r="1309" spans="4:5">
      <c r="D1309" s="194">
        <v>1.5601162920816023</v>
      </c>
      <c r="E1309">
        <f t="shared" si="22"/>
        <v>2.2557371123931382</v>
      </c>
    </row>
    <row r="1310" spans="4:5">
      <c r="D1310" s="194">
        <v>1.5602103258211173</v>
      </c>
      <c r="E1310">
        <f t="shared" si="22"/>
        <v>2.2552369366891014</v>
      </c>
    </row>
    <row r="1311" spans="4:5">
      <c r="D1311" s="194">
        <v>1.5611917096898651</v>
      </c>
      <c r="E1311">
        <f t="shared" si="22"/>
        <v>2.2499793789587983</v>
      </c>
    </row>
    <row r="1312" spans="4:5">
      <c r="D1312" s="194">
        <v>1.5612320098639429</v>
      </c>
      <c r="E1312">
        <f t="shared" si="22"/>
        <v>2.2497620217740923</v>
      </c>
    </row>
    <row r="1313" spans="4:5">
      <c r="D1313" s="194">
        <v>1.56147455720793</v>
      </c>
      <c r="E1313">
        <f t="shared" si="22"/>
        <v>2.248451433315481</v>
      </c>
    </row>
    <row r="1314" spans="4:5">
      <c r="D1314" s="194">
        <v>1.5615956443050436</v>
      </c>
      <c r="E1314">
        <f t="shared" si="22"/>
        <v>2.2477955955766955</v>
      </c>
    </row>
    <row r="1315" spans="4:5">
      <c r="D1315" s="194">
        <v>1.56166299783672</v>
      </c>
      <c r="E1315">
        <f t="shared" si="22"/>
        <v>2.2474303454042497</v>
      </c>
    </row>
    <row r="1316" spans="4:5">
      <c r="D1316" s="194">
        <v>1.5617977049000729</v>
      </c>
      <c r="E1316">
        <f t="shared" si="22"/>
        <v>2.2466988878272796</v>
      </c>
    </row>
    <row r="1317" spans="4:5">
      <c r="D1317" s="194">
        <v>1.5619325985383057</v>
      </c>
      <c r="E1317">
        <f t="shared" si="22"/>
        <v>2.2459651393596438</v>
      </c>
    </row>
    <row r="1318" spans="4:5">
      <c r="D1318" s="194">
        <v>1.5620538722102992</v>
      </c>
      <c r="E1318">
        <f t="shared" si="22"/>
        <v>2.2453043857717088</v>
      </c>
    </row>
    <row r="1319" spans="4:5">
      <c r="D1319" s="194">
        <v>1.5621887658485321</v>
      </c>
      <c r="E1319">
        <f t="shared" si="22"/>
        <v>2.2445682129367852</v>
      </c>
    </row>
    <row r="1320" spans="4:5">
      <c r="D1320" s="194">
        <v>1.562472173091237</v>
      </c>
      <c r="E1320">
        <f t="shared" si="22"/>
        <v>2.2430173869342962</v>
      </c>
    </row>
    <row r="1321" spans="4:5">
      <c r="D1321" s="194">
        <v>1.5628637937643362</v>
      </c>
      <c r="E1321">
        <f t="shared" si="22"/>
        <v>2.2408651746168289</v>
      </c>
    </row>
    <row r="1322" spans="4:5">
      <c r="D1322" s="194">
        <v>1.5630123073688083</v>
      </c>
      <c r="E1322">
        <f t="shared" si="22"/>
        <v>2.24004619930699</v>
      </c>
    </row>
    <row r="1323" spans="4:5">
      <c r="D1323" s="194">
        <v>1.5631070874078432</v>
      </c>
      <c r="E1323">
        <f t="shared" si="22"/>
        <v>2.2395227344326494</v>
      </c>
    </row>
    <row r="1324" spans="4:5">
      <c r="D1324" s="194">
        <v>1.563431541124146</v>
      </c>
      <c r="E1324">
        <f t="shared" si="22"/>
        <v>2.2377260699012278</v>
      </c>
    </row>
    <row r="1325" spans="4:5">
      <c r="D1325" s="194">
        <v>1.5636209146273359</v>
      </c>
      <c r="E1325">
        <f t="shared" si="22"/>
        <v>2.2366740387624295</v>
      </c>
    </row>
    <row r="1326" spans="4:5">
      <c r="D1326" s="194">
        <v>1.56391887471068</v>
      </c>
      <c r="E1326">
        <f t="shared" si="22"/>
        <v>2.2350137503336365</v>
      </c>
    </row>
    <row r="1327" spans="4:5">
      <c r="D1327" s="194">
        <v>1.5639459280682786</v>
      </c>
      <c r="E1327">
        <f t="shared" si="22"/>
        <v>2.2348627002870121</v>
      </c>
    </row>
    <row r="1328" spans="4:5">
      <c r="D1328" s="194">
        <v>1.5641086213636299</v>
      </c>
      <c r="E1328">
        <f t="shared" si="22"/>
        <v>2.2339532515583898</v>
      </c>
    </row>
    <row r="1329" spans="4:5">
      <c r="D1329" s="194">
        <v>1.5641761614701863</v>
      </c>
      <c r="E1329">
        <f t="shared" si="22"/>
        <v>2.2335751691162189</v>
      </c>
    </row>
    <row r="1330" spans="4:5">
      <c r="D1330" s="194">
        <v>1.5643931480556148</v>
      </c>
      <c r="E1330">
        <f t="shared" si="22"/>
        <v>2.2323583752904224</v>
      </c>
    </row>
    <row r="1331" spans="4:5">
      <c r="D1331" s="194">
        <v>1.5648000678688732</v>
      </c>
      <c r="E1331">
        <f t="shared" si="22"/>
        <v>2.230067770723402</v>
      </c>
    </row>
    <row r="1332" spans="4:5">
      <c r="D1332" s="194">
        <v>1.564840741192711</v>
      </c>
      <c r="E1332">
        <f t="shared" si="22"/>
        <v>2.2298381909215848</v>
      </c>
    </row>
    <row r="1333" spans="4:5">
      <c r="D1333" s="194">
        <v>1.5649222744152667</v>
      </c>
      <c r="E1333">
        <f t="shared" si="22"/>
        <v>2.2293776369935343</v>
      </c>
    </row>
    <row r="1334" spans="4:5">
      <c r="D1334" s="194">
        <v>1.5649631343139845</v>
      </c>
      <c r="E1334">
        <f t="shared" si="22"/>
        <v>2.2291466619060389</v>
      </c>
    </row>
    <row r="1335" spans="4:5">
      <c r="D1335" s="194">
        <v>1.5651123942179765</v>
      </c>
      <c r="E1335">
        <f t="shared" si="22"/>
        <v>2.2283019467557832</v>
      </c>
    </row>
    <row r="1336" spans="4:5">
      <c r="D1336" s="194">
        <v>1.5653840472432421</v>
      </c>
      <c r="E1336">
        <f t="shared" si="22"/>
        <v>2.2267606597609793</v>
      </c>
    </row>
    <row r="1337" spans="4:5">
      <c r="D1337" s="194">
        <v>1.5654112871757206</v>
      </c>
      <c r="E1337">
        <f t="shared" si="22"/>
        <v>2.2266058299044866</v>
      </c>
    </row>
    <row r="1338" spans="4:5">
      <c r="D1338" s="194">
        <v>1.5654385271081992</v>
      </c>
      <c r="E1338">
        <f t="shared" si="22"/>
        <v>2.2264509494742346</v>
      </c>
    </row>
    <row r="1339" spans="4:5">
      <c r="D1339" s="194">
        <v>1.5656424534520283</v>
      </c>
      <c r="E1339">
        <f t="shared" si="22"/>
        <v>2.2252898626071378</v>
      </c>
    </row>
    <row r="1340" spans="4:5">
      <c r="D1340" s="194">
        <v>1.5656833133507462</v>
      </c>
      <c r="E1340">
        <f t="shared" si="22"/>
        <v>2.225056879990666</v>
      </c>
    </row>
    <row r="1341" spans="4:5">
      <c r="D1341" s="194">
        <v>1.5657512266070626</v>
      </c>
      <c r="E1341">
        <f t="shared" si="22"/>
        <v>2.2246693883529827</v>
      </c>
    </row>
    <row r="1342" spans="4:5">
      <c r="D1342" s="194">
        <v>1.5668682504135631</v>
      </c>
      <c r="E1342">
        <f t="shared" si="22"/>
        <v>2.2182511690489939</v>
      </c>
    </row>
    <row r="1343" spans="4:5">
      <c r="D1343" s="194">
        <v>1.5668956769209217</v>
      </c>
      <c r="E1343">
        <f t="shared" si="22"/>
        <v>2.2180925218572374</v>
      </c>
    </row>
    <row r="1344" spans="4:5">
      <c r="D1344" s="194">
        <v>1.567359688647457</v>
      </c>
      <c r="E1344">
        <f t="shared" si="22"/>
        <v>2.2154008110181267</v>
      </c>
    </row>
    <row r="1345" spans="4:5">
      <c r="D1345" s="194">
        <v>1.5674688349522512</v>
      </c>
      <c r="E1345">
        <f t="shared" si="22"/>
        <v>2.2147655608315095</v>
      </c>
    </row>
    <row r="1346" spans="4:5">
      <c r="D1346" s="194">
        <v>1.5675371213583276</v>
      </c>
      <c r="E1346">
        <f t="shared" si="22"/>
        <v>2.2143677168051026</v>
      </c>
    </row>
    <row r="1347" spans="4:5">
      <c r="D1347" s="194">
        <v>1.5679199730120672</v>
      </c>
      <c r="E1347">
        <f t="shared" ref="E1347:E1410" si="23">_xlfn.NORM.DIST(D1347,$B$2,$B$4,FALSE)</f>
        <v>2.2121314115396258</v>
      </c>
    </row>
    <row r="1348" spans="4:5">
      <c r="D1348" s="194">
        <v>1.568262151341969</v>
      </c>
      <c r="E1348">
        <f t="shared" si="23"/>
        <v>2.2101244187253832</v>
      </c>
    </row>
    <row r="1349" spans="4:5">
      <c r="D1349" s="194">
        <v>1.5684673837099581</v>
      </c>
      <c r="E1349">
        <f t="shared" si="23"/>
        <v>2.2089169274104767</v>
      </c>
    </row>
    <row r="1350" spans="4:5">
      <c r="D1350" s="194">
        <v>1.5686043296718708</v>
      </c>
      <c r="E1350">
        <f t="shared" si="23"/>
        <v>2.2081096474741533</v>
      </c>
    </row>
    <row r="1351" spans="4:5">
      <c r="D1351" s="194">
        <v>1.5686867957688264</v>
      </c>
      <c r="E1351">
        <f t="shared" si="23"/>
        <v>2.2076229205474114</v>
      </c>
    </row>
    <row r="1352" spans="4:5">
      <c r="D1352" s="194">
        <v>1.5688375482718584</v>
      </c>
      <c r="E1352">
        <f t="shared" si="23"/>
        <v>2.2067319942829569</v>
      </c>
    </row>
    <row r="1353" spans="4:5">
      <c r="D1353" s="194">
        <v>1.5691390532779224</v>
      </c>
      <c r="E1353">
        <f t="shared" si="23"/>
        <v>2.2049456386100328</v>
      </c>
    </row>
    <row r="1354" spans="4:5">
      <c r="D1354" s="194">
        <v>1.5692351393411172</v>
      </c>
      <c r="E1354">
        <f t="shared" si="23"/>
        <v>2.2043750888041651</v>
      </c>
    </row>
    <row r="1355" spans="4:5">
      <c r="D1355" s="194">
        <v>1.5696883297246131</v>
      </c>
      <c r="E1355">
        <f t="shared" si="23"/>
        <v>2.2016759030778421</v>
      </c>
    </row>
    <row r="1356" spans="4:5">
      <c r="D1356" s="194">
        <v>1.5699219214743607</v>
      </c>
      <c r="E1356">
        <f t="shared" si="23"/>
        <v>2.200279377062814</v>
      </c>
    </row>
    <row r="1357" spans="4:5">
      <c r="D1357" s="194">
        <v>1.5699905810301971</v>
      </c>
      <c r="E1357">
        <f t="shared" si="23"/>
        <v>2.1998682175278579</v>
      </c>
    </row>
    <row r="1358" spans="4:5">
      <c r="D1358" s="194">
        <v>1.5703346251088988</v>
      </c>
      <c r="E1358">
        <f t="shared" si="23"/>
        <v>2.1978033142265101</v>
      </c>
    </row>
    <row r="1359" spans="4:5">
      <c r="D1359" s="194">
        <v>1.5705271703850485</v>
      </c>
      <c r="E1359">
        <f t="shared" si="23"/>
        <v>2.1966443178001449</v>
      </c>
    </row>
    <row r="1360" spans="4:5">
      <c r="D1360" s="194">
        <v>1.5707477018931968</v>
      </c>
      <c r="E1360">
        <f t="shared" si="23"/>
        <v>2.1953139008365112</v>
      </c>
    </row>
    <row r="1361" spans="4:5">
      <c r="D1361" s="194">
        <v>1.5709406203191065</v>
      </c>
      <c r="E1361">
        <f t="shared" si="23"/>
        <v>2.194147479181852</v>
      </c>
    </row>
    <row r="1362" spans="4:5">
      <c r="D1362" s="194">
        <v>1.5710232729909421</v>
      </c>
      <c r="E1362">
        <f t="shared" si="23"/>
        <v>2.1936470074397674</v>
      </c>
    </row>
    <row r="1363" spans="4:5">
      <c r="D1363" s="194">
        <v>1.5712854106973282</v>
      </c>
      <c r="E1363">
        <f t="shared" si="23"/>
        <v>2.1920568094546811</v>
      </c>
    </row>
    <row r="1364" spans="4:5">
      <c r="D1364" s="194">
        <v>1.5713956764514023</v>
      </c>
      <c r="E1364">
        <f t="shared" si="23"/>
        <v>2.1913865816059768</v>
      </c>
    </row>
    <row r="1365" spans="4:5">
      <c r="D1365" s="194">
        <v>1.571741026554264</v>
      </c>
      <c r="E1365">
        <f t="shared" si="23"/>
        <v>2.1892823722366743</v>
      </c>
    </row>
    <row r="1366" spans="4:5">
      <c r="D1366" s="194">
        <v>1.5718514788832181</v>
      </c>
      <c r="E1366">
        <f t="shared" si="23"/>
        <v>2.1886077700313979</v>
      </c>
    </row>
    <row r="1367" spans="4:5">
      <c r="D1367" s="194">
        <v>1.5718514788832181</v>
      </c>
      <c r="E1367">
        <f t="shared" si="23"/>
        <v>2.1886077700313979</v>
      </c>
    </row>
    <row r="1368" spans="4:5">
      <c r="D1368" s="194">
        <v>1.5725429253884613</v>
      </c>
      <c r="E1368">
        <f t="shared" si="23"/>
        <v>2.1843669054885519</v>
      </c>
    </row>
    <row r="1369" spans="4:5">
      <c r="D1369" s="194">
        <v>1.5728198025103666</v>
      </c>
      <c r="E1369">
        <f t="shared" si="23"/>
        <v>2.1826601700289832</v>
      </c>
    </row>
    <row r="1370" spans="4:5">
      <c r="D1370" s="194">
        <v>1.5729862273033177</v>
      </c>
      <c r="E1370">
        <f t="shared" si="23"/>
        <v>2.181631942339668</v>
      </c>
    </row>
    <row r="1371" spans="4:5">
      <c r="D1371" s="194">
        <v>1.5729862273033177</v>
      </c>
      <c r="E1371">
        <f t="shared" si="23"/>
        <v>2.181631942339668</v>
      </c>
    </row>
    <row r="1372" spans="4:5">
      <c r="D1372" s="194">
        <v>1.573582520619766</v>
      </c>
      <c r="E1372">
        <f t="shared" si="23"/>
        <v>2.1779334305378288</v>
      </c>
    </row>
    <row r="1373" spans="4:5">
      <c r="D1373" s="194">
        <v>1.5736103202768845</v>
      </c>
      <c r="E1373">
        <f t="shared" si="23"/>
        <v>2.1777604546748695</v>
      </c>
    </row>
    <row r="1374" spans="4:5">
      <c r="D1374" s="194">
        <v>1.5736659195911216</v>
      </c>
      <c r="E1374">
        <f t="shared" si="23"/>
        <v>2.1774143567253326</v>
      </c>
    </row>
    <row r="1375" spans="4:5">
      <c r="D1375" s="194">
        <v>1.5739853357856646</v>
      </c>
      <c r="E1375">
        <f t="shared" si="23"/>
        <v>2.1754222633842035</v>
      </c>
    </row>
    <row r="1376" spans="4:5">
      <c r="D1376" s="194">
        <v>1.5745556951937942</v>
      </c>
      <c r="E1376">
        <f t="shared" si="23"/>
        <v>2.1718491899292252</v>
      </c>
    </row>
    <row r="1377" spans="4:5">
      <c r="D1377" s="194">
        <v>1.5746530872811491</v>
      </c>
      <c r="E1377">
        <f t="shared" si="23"/>
        <v>2.1712370329759905</v>
      </c>
    </row>
    <row r="1378" spans="4:5">
      <c r="D1378" s="194">
        <v>1.5748480580307387</v>
      </c>
      <c r="E1378">
        <f t="shared" si="23"/>
        <v>2.1700097684149493</v>
      </c>
    </row>
    <row r="1379" spans="4:5">
      <c r="D1379" s="194">
        <v>1.5748758576878572</v>
      </c>
      <c r="E1379">
        <f t="shared" si="23"/>
        <v>2.1698345875054597</v>
      </c>
    </row>
    <row r="1380" spans="4:5">
      <c r="D1380" s="194">
        <v>1.5750570218963276</v>
      </c>
      <c r="E1380">
        <f t="shared" si="23"/>
        <v>2.1686917944991317</v>
      </c>
    </row>
    <row r="1381" spans="4:5">
      <c r="D1381" s="194">
        <v>1.5758105978366075</v>
      </c>
      <c r="E1381">
        <f t="shared" si="23"/>
        <v>2.1639163572094162</v>
      </c>
    </row>
    <row r="1382" spans="4:5">
      <c r="D1382" s="194">
        <v>1.5759781420788386</v>
      </c>
      <c r="E1382">
        <f t="shared" si="23"/>
        <v>2.1628498564778407</v>
      </c>
    </row>
    <row r="1383" spans="4:5">
      <c r="D1383" s="194">
        <v>1.5760061283108371</v>
      </c>
      <c r="E1383">
        <f t="shared" si="23"/>
        <v>2.1626715420146039</v>
      </c>
    </row>
    <row r="1384" spans="4:5">
      <c r="D1384" s="194">
        <v>1.576495700795931</v>
      </c>
      <c r="E1384">
        <f t="shared" si="23"/>
        <v>2.1595444461973972</v>
      </c>
    </row>
    <row r="1385" spans="4:5">
      <c r="D1385" s="194">
        <v>1.5767617565747969</v>
      </c>
      <c r="E1385">
        <f t="shared" si="23"/>
        <v>2.1578388844601508</v>
      </c>
    </row>
    <row r="1386" spans="4:5">
      <c r="D1386" s="194">
        <v>1.5768035493479147</v>
      </c>
      <c r="E1386">
        <f t="shared" si="23"/>
        <v>2.1575705772445524</v>
      </c>
    </row>
    <row r="1387" spans="4:5">
      <c r="D1387" s="194">
        <v>1.5769998261216642</v>
      </c>
      <c r="E1387">
        <f t="shared" si="23"/>
        <v>2.1563090672184435</v>
      </c>
    </row>
    <row r="1388" spans="4:5">
      <c r="D1388" s="194">
        <v>1.577041805469662</v>
      </c>
      <c r="E1388">
        <f t="shared" si="23"/>
        <v>2.15603895299519</v>
      </c>
    </row>
    <row r="1389" spans="4:5">
      <c r="D1389" s="194">
        <v>1.5770557985856613</v>
      </c>
      <c r="E1389">
        <f t="shared" si="23"/>
        <v>2.1559488910920956</v>
      </c>
    </row>
    <row r="1390" spans="4:5">
      <c r="D1390" s="194">
        <v>1.577210096011413</v>
      </c>
      <c r="E1390">
        <f t="shared" si="23"/>
        <v>2.1549550191033466</v>
      </c>
    </row>
    <row r="1391" spans="4:5">
      <c r="D1391" s="194">
        <v>1.5773222275142871</v>
      </c>
      <c r="E1391">
        <f t="shared" si="23"/>
        <v>2.1542318420791173</v>
      </c>
    </row>
    <row r="1392" spans="4:5">
      <c r="D1392" s="194">
        <v>1.5773783865531641</v>
      </c>
      <c r="E1392">
        <f t="shared" si="23"/>
        <v>2.1538693652330765</v>
      </c>
    </row>
    <row r="1393" spans="4:5">
      <c r="D1393" s="194">
        <v>1.5773923796691633</v>
      </c>
      <c r="E1393">
        <f t="shared" si="23"/>
        <v>2.1537790173243412</v>
      </c>
    </row>
    <row r="1394" spans="4:5">
      <c r="D1394" s="194">
        <v>1.5777854929413024</v>
      </c>
      <c r="E1394">
        <f t="shared" si="23"/>
        <v>2.1512360001509649</v>
      </c>
    </row>
    <row r="1395" spans="4:5">
      <c r="D1395" s="194">
        <v>1.5779681497488127</v>
      </c>
      <c r="E1395">
        <f t="shared" si="23"/>
        <v>2.1500512325412848</v>
      </c>
    </row>
    <row r="1396" spans="4:5">
      <c r="D1396" s="194">
        <v>1.5780524815945682</v>
      </c>
      <c r="E1396">
        <f t="shared" si="23"/>
        <v>2.1495035522572374</v>
      </c>
    </row>
    <row r="1397" spans="4:5">
      <c r="D1397" s="194">
        <v>1.5792777188314631</v>
      </c>
      <c r="E1397">
        <f t="shared" si="23"/>
        <v>2.1414983653256869</v>
      </c>
    </row>
    <row r="1398" spans="4:5">
      <c r="D1398" s="194">
        <v>1.5796023591226458</v>
      </c>
      <c r="E1398">
        <f t="shared" si="23"/>
        <v>2.1393623189165853</v>
      </c>
    </row>
    <row r="1399" spans="4:5">
      <c r="D1399" s="194">
        <v>1.5798850200658308</v>
      </c>
      <c r="E1399">
        <f t="shared" si="23"/>
        <v>2.1374974088680281</v>
      </c>
    </row>
    <row r="1400" spans="4:5">
      <c r="D1400" s="194">
        <v>1.580125328511258</v>
      </c>
      <c r="E1400">
        <f t="shared" si="23"/>
        <v>2.1359082229412576</v>
      </c>
    </row>
    <row r="1401" spans="4:5">
      <c r="D1401" s="194">
        <v>1.5803658235315652</v>
      </c>
      <c r="E1401">
        <f t="shared" si="23"/>
        <v>2.1343144044885656</v>
      </c>
    </row>
    <row r="1402" spans="4:5">
      <c r="D1402" s="194">
        <v>1.5803658235315652</v>
      </c>
      <c r="E1402">
        <f t="shared" si="23"/>
        <v>2.1343144044885656</v>
      </c>
    </row>
    <row r="1403" spans="4:5">
      <c r="D1403" s="194">
        <v>1.5808048342241818</v>
      </c>
      <c r="E1403">
        <f t="shared" si="23"/>
        <v>2.1313962375856037</v>
      </c>
    </row>
    <row r="1404" spans="4:5">
      <c r="D1404" s="194">
        <v>1.5811309671144045</v>
      </c>
      <c r="E1404">
        <f t="shared" si="23"/>
        <v>2.1292211050913981</v>
      </c>
    </row>
    <row r="1405" spans="4:5">
      <c r="D1405" s="194">
        <v>1.5814149340817494</v>
      </c>
      <c r="E1405">
        <f t="shared" si="23"/>
        <v>2.127322162675847</v>
      </c>
    </row>
    <row r="1406" spans="4:5">
      <c r="D1406" s="194">
        <v>1.5815709106814211</v>
      </c>
      <c r="E1406">
        <f t="shared" si="23"/>
        <v>2.1262771287760165</v>
      </c>
    </row>
    <row r="1407" spans="4:5">
      <c r="D1407" s="194">
        <v>1.5817699860783705</v>
      </c>
      <c r="E1407">
        <f t="shared" si="23"/>
        <v>2.1249412929107678</v>
      </c>
    </row>
    <row r="1408" spans="4:5">
      <c r="D1408" s="194">
        <v>1.5822821341239433</v>
      </c>
      <c r="E1408">
        <f t="shared" si="23"/>
        <v>2.1214941863105978</v>
      </c>
    </row>
    <row r="1409" spans="4:5">
      <c r="D1409" s="194">
        <v>1.582324673196581</v>
      </c>
      <c r="E1409">
        <f t="shared" si="23"/>
        <v>2.1212071917208117</v>
      </c>
    </row>
    <row r="1410" spans="4:5">
      <c r="D1410" s="194">
        <v>1.582381765109858</v>
      </c>
      <c r="E1410">
        <f t="shared" si="23"/>
        <v>2.1208218518369155</v>
      </c>
    </row>
    <row r="1411" spans="4:5">
      <c r="D1411" s="194">
        <v>1.5828661134983122</v>
      </c>
      <c r="E1411">
        <f t="shared" ref="E1411:E1474" si="24">_xlfn.NORM.DIST(D1411,$B$2,$B$4,FALSE)</f>
        <v>2.1175452647400128</v>
      </c>
    </row>
    <row r="1412" spans="4:5">
      <c r="D1412" s="194">
        <v>1.5829802973248661</v>
      </c>
      <c r="E1412">
        <f t="shared" si="24"/>
        <v>2.1167708701749</v>
      </c>
    </row>
    <row r="1413" spans="4:5">
      <c r="D1413" s="194">
        <v>1.583508677384998</v>
      </c>
      <c r="E1413">
        <f t="shared" si="24"/>
        <v>2.1131777636416875</v>
      </c>
    </row>
    <row r="1414" spans="4:5">
      <c r="D1414" s="194">
        <v>1.5836945059654681</v>
      </c>
      <c r="E1414">
        <f t="shared" si="24"/>
        <v>2.1119103330657247</v>
      </c>
    </row>
    <row r="1415" spans="4:5">
      <c r="D1415" s="194">
        <v>1.5838803345459382</v>
      </c>
      <c r="E1415">
        <f t="shared" si="24"/>
        <v>2.1106409565036808</v>
      </c>
    </row>
    <row r="1416" spans="4:5">
      <c r="D1416" s="194">
        <v>1.5838803345459382</v>
      </c>
      <c r="E1416">
        <f t="shared" si="24"/>
        <v>2.1106409565036808</v>
      </c>
    </row>
    <row r="1417" spans="4:5">
      <c r="D1417" s="194">
        <v>1.5839948915222521</v>
      </c>
      <c r="E1417">
        <f t="shared" si="24"/>
        <v>2.109857461523744</v>
      </c>
    </row>
    <row r="1418" spans="4:5">
      <c r="D1418" s="194">
        <v>1.5850412034492365</v>
      </c>
      <c r="E1418">
        <f t="shared" si="24"/>
        <v>2.1026674028842796</v>
      </c>
    </row>
    <row r="1419" spans="4:5">
      <c r="D1419" s="194">
        <v>1.5858175415248752</v>
      </c>
      <c r="E1419">
        <f t="shared" si="24"/>
        <v>2.0972932994289075</v>
      </c>
    </row>
    <row r="1420" spans="4:5">
      <c r="D1420" s="194">
        <v>1.5867256014657869</v>
      </c>
      <c r="E1420">
        <f t="shared" si="24"/>
        <v>2.0909654201919241</v>
      </c>
    </row>
    <row r="1421" spans="4:5">
      <c r="D1421" s="194">
        <v>1.5867547071470653</v>
      </c>
      <c r="E1421">
        <f t="shared" si="24"/>
        <v>2.090761852585588</v>
      </c>
    </row>
    <row r="1422" spans="4:5">
      <c r="D1422" s="194">
        <v>1.5868700104228992</v>
      </c>
      <c r="E1422">
        <f t="shared" si="24"/>
        <v>2.0899549603987086</v>
      </c>
    </row>
    <row r="1423" spans="4:5">
      <c r="D1423" s="194">
        <v>1.5880275209783576</v>
      </c>
      <c r="E1423">
        <f t="shared" si="24"/>
        <v>2.0818149968516906</v>
      </c>
    </row>
    <row r="1424" spans="4:5">
      <c r="D1424" s="194">
        <v>1.5880857323409145</v>
      </c>
      <c r="E1424">
        <f t="shared" si="24"/>
        <v>2.0814037407685779</v>
      </c>
    </row>
    <row r="1425" spans="4:5">
      <c r="D1425" s="194">
        <v>1.5885935891642475</v>
      </c>
      <c r="E1425">
        <f t="shared" si="24"/>
        <v>2.0778081503672956</v>
      </c>
    </row>
    <row r="1426" spans="4:5">
      <c r="D1426" s="194">
        <v>1.5890150618181451</v>
      </c>
      <c r="E1426">
        <f t="shared" si="24"/>
        <v>2.0748137836203826</v>
      </c>
    </row>
    <row r="1427" spans="4:5">
      <c r="D1427" s="194">
        <v>1.5896992319030687</v>
      </c>
      <c r="E1427">
        <f t="shared" si="24"/>
        <v>2.0699331907376481</v>
      </c>
    </row>
    <row r="1428" spans="4:5">
      <c r="D1428" s="194">
        <v>1.5897578164153856</v>
      </c>
      <c r="E1428">
        <f t="shared" si="24"/>
        <v>2.0695141347264032</v>
      </c>
    </row>
    <row r="1429" spans="4:5">
      <c r="D1429" s="194">
        <v>1.5902830247025577</v>
      </c>
      <c r="E1429">
        <f t="shared" si="24"/>
        <v>2.0657493398765117</v>
      </c>
    </row>
    <row r="1430" spans="4:5">
      <c r="D1430" s="194">
        <v>1.590370528321273</v>
      </c>
      <c r="E1430">
        <f t="shared" si="24"/>
        <v>2.0651207074182154</v>
      </c>
    </row>
    <row r="1431" spans="4:5">
      <c r="D1431" s="194">
        <v>1.5904876973459068</v>
      </c>
      <c r="E1431">
        <f t="shared" si="24"/>
        <v>2.0642783370393989</v>
      </c>
    </row>
    <row r="1432" spans="4:5">
      <c r="D1432" s="194">
        <v>1.590502250186546</v>
      </c>
      <c r="E1432">
        <f t="shared" si="24"/>
        <v>2.0641736619534852</v>
      </c>
    </row>
    <row r="1433" spans="4:5">
      <c r="D1433" s="194">
        <v>1.5909556271449219</v>
      </c>
      <c r="E1433">
        <f t="shared" si="24"/>
        <v>2.0609071707870652</v>
      </c>
    </row>
    <row r="1434" spans="4:5">
      <c r="D1434" s="194">
        <v>1.5909849194010803</v>
      </c>
      <c r="E1434">
        <f t="shared" si="24"/>
        <v>2.060695762868316</v>
      </c>
    </row>
    <row r="1435" spans="4:5">
      <c r="D1435" s="194">
        <v>1.5916884932735229</v>
      </c>
      <c r="E1435">
        <f t="shared" si="24"/>
        <v>2.0556047670400588</v>
      </c>
    </row>
    <row r="1436" spans="4:5">
      <c r="D1436" s="194">
        <v>1.5920261938063049</v>
      </c>
      <c r="E1436">
        <f t="shared" si="24"/>
        <v>2.0531522631639429</v>
      </c>
    </row>
    <row r="1437" spans="4:5">
      <c r="D1437" s="194">
        <v>1.5920261938063049</v>
      </c>
      <c r="E1437">
        <f t="shared" si="24"/>
        <v>2.0531522631639429</v>
      </c>
    </row>
    <row r="1438" spans="4:5">
      <c r="D1438" s="194">
        <v>1.5920849648935018</v>
      </c>
      <c r="E1438">
        <f t="shared" si="24"/>
        <v>2.0527248572605368</v>
      </c>
    </row>
    <row r="1439" spans="4:5">
      <c r="D1439" s="194">
        <v>1.5921582888213379</v>
      </c>
      <c r="E1439">
        <f t="shared" si="24"/>
        <v>2.0521913732543058</v>
      </c>
    </row>
    <row r="1440" spans="4:5">
      <c r="D1440" s="194">
        <v>1.5922760175706117</v>
      </c>
      <c r="E1440">
        <f t="shared" si="24"/>
        <v>2.05133424586744</v>
      </c>
    </row>
    <row r="1441" spans="4:5">
      <c r="D1441" s="194">
        <v>1.5924377779915631</v>
      </c>
      <c r="E1441">
        <f t="shared" si="24"/>
        <v>2.0501554078151671</v>
      </c>
    </row>
    <row r="1442" spans="4:5">
      <c r="D1442" s="194">
        <v>1.5927616719832258</v>
      </c>
      <c r="E1442">
        <f t="shared" si="24"/>
        <v>2.0477910682177662</v>
      </c>
    </row>
    <row r="1443" spans="4:5">
      <c r="D1443" s="194">
        <v>1.5927911508142643</v>
      </c>
      <c r="E1443">
        <f t="shared" si="24"/>
        <v>2.0475756200763295</v>
      </c>
    </row>
    <row r="1444" spans="4:5">
      <c r="D1444" s="194">
        <v>1.5933072169323168</v>
      </c>
      <c r="E1444">
        <f t="shared" si="24"/>
        <v>2.0437969015900572</v>
      </c>
    </row>
    <row r="1445" spans="4:5">
      <c r="D1445" s="194">
        <v>1.5936173043828603</v>
      </c>
      <c r="E1445">
        <f t="shared" si="24"/>
        <v>2.0415200373367868</v>
      </c>
    </row>
    <row r="1446" spans="4:5">
      <c r="D1446" s="194">
        <v>1.5937798111033317</v>
      </c>
      <c r="E1446">
        <f t="shared" si="24"/>
        <v>2.0403249111902979</v>
      </c>
    </row>
    <row r="1447" spans="4:5">
      <c r="D1447" s="194">
        <v>1.5941792679213904</v>
      </c>
      <c r="E1447">
        <f t="shared" si="24"/>
        <v>2.0373816608062341</v>
      </c>
    </row>
    <row r="1448" spans="4:5">
      <c r="D1448" s="194">
        <v>1.5942087467524289</v>
      </c>
      <c r="E1448">
        <f t="shared" si="24"/>
        <v>2.0371641469973181</v>
      </c>
    </row>
    <row r="1449" spans="4:5">
      <c r="D1449" s="194">
        <v>1.5945345064928915</v>
      </c>
      <c r="E1449">
        <f t="shared" si="24"/>
        <v>2.0347576560609357</v>
      </c>
    </row>
    <row r="1450" spans="4:5">
      <c r="D1450" s="194">
        <v>1.594638242126166</v>
      </c>
      <c r="E1450">
        <f t="shared" si="24"/>
        <v>2.0339902424702503</v>
      </c>
    </row>
    <row r="1451" spans="4:5">
      <c r="D1451" s="194">
        <v>1.5946680941069644</v>
      </c>
      <c r="E1451">
        <f t="shared" si="24"/>
        <v>2.0337693070954619</v>
      </c>
    </row>
    <row r="1452" spans="4:5">
      <c r="D1452" s="194">
        <v>1.5952169974038952</v>
      </c>
      <c r="E1452">
        <f t="shared" si="24"/>
        <v>2.0296991623951732</v>
      </c>
    </row>
    <row r="1453" spans="4:5">
      <c r="D1453" s="194">
        <v>1.595558989158917</v>
      </c>
      <c r="E1453">
        <f t="shared" si="24"/>
        <v>2.0271559303342856</v>
      </c>
    </row>
    <row r="1454" spans="4:5">
      <c r="D1454" s="194">
        <v>1.595558989158917</v>
      </c>
      <c r="E1454">
        <f t="shared" si="24"/>
        <v>2.0271559303342856</v>
      </c>
    </row>
    <row r="1455" spans="4:5">
      <c r="D1455" s="194">
        <v>1.5956483585264323</v>
      </c>
      <c r="E1455">
        <f t="shared" si="24"/>
        <v>2.0264904073638159</v>
      </c>
    </row>
    <row r="1456" spans="4:5">
      <c r="D1456" s="194">
        <v>1.5965424253513447</v>
      </c>
      <c r="E1456">
        <f t="shared" si="24"/>
        <v>2.0198114441117796</v>
      </c>
    </row>
    <row r="1457" spans="4:5">
      <c r="D1457" s="194">
        <v>1.5966469072841392</v>
      </c>
      <c r="E1457">
        <f t="shared" si="24"/>
        <v>2.0190284582586751</v>
      </c>
    </row>
    <row r="1458" spans="4:5">
      <c r="D1458" s="194">
        <v>1.5970652081650769</v>
      </c>
      <c r="E1458">
        <f t="shared" si="24"/>
        <v>2.0158885735210244</v>
      </c>
    </row>
    <row r="1459" spans="4:5">
      <c r="D1459" s="194">
        <v>1.5973794002629802</v>
      </c>
      <c r="E1459">
        <f t="shared" si="24"/>
        <v>2.0135247676290025</v>
      </c>
    </row>
    <row r="1460" spans="4:5">
      <c r="D1460" s="194">
        <v>1.5980689810194235</v>
      </c>
      <c r="E1460">
        <f t="shared" si="24"/>
        <v>2.0083206529662343</v>
      </c>
    </row>
    <row r="1461" spans="4:5">
      <c r="D1461" s="194">
        <v>1.5980839070098227</v>
      </c>
      <c r="E1461">
        <f t="shared" si="24"/>
        <v>2.0082077666044524</v>
      </c>
    </row>
    <row r="1462" spans="4:5">
      <c r="D1462" s="194">
        <v>1.5980990195751019</v>
      </c>
      <c r="E1462">
        <f t="shared" si="24"/>
        <v>2.0080934587045935</v>
      </c>
    </row>
    <row r="1463" spans="4:5">
      <c r="D1463" s="194">
        <v>1.5984596688181227</v>
      </c>
      <c r="E1463">
        <f t="shared" si="24"/>
        <v>2.0053624767542431</v>
      </c>
    </row>
    <row r="1464" spans="4:5">
      <c r="D1464" s="194">
        <v>1.5987302023941083</v>
      </c>
      <c r="E1464">
        <f t="shared" si="24"/>
        <v>2.0033099748288872</v>
      </c>
    </row>
    <row r="1465" spans="4:5">
      <c r="D1465" s="194">
        <v>1.5987302023941083</v>
      </c>
      <c r="E1465">
        <f t="shared" si="24"/>
        <v>2.0033099748288872</v>
      </c>
    </row>
    <row r="1466" spans="4:5">
      <c r="D1466" s="194">
        <v>1.5989257328683379</v>
      </c>
      <c r="E1466">
        <f t="shared" si="24"/>
        <v>2.0018244327063548</v>
      </c>
    </row>
    <row r="1467" spans="4:5">
      <c r="D1467" s="194">
        <v>1.5993779903774339</v>
      </c>
      <c r="E1467">
        <f t="shared" si="24"/>
        <v>1.9983817582900429</v>
      </c>
    </row>
    <row r="1468" spans="4:5">
      <c r="D1468" s="194">
        <v>1.5993929163678331</v>
      </c>
      <c r="E1468">
        <f t="shared" si="24"/>
        <v>1.9982679809693689</v>
      </c>
    </row>
    <row r="1469" spans="4:5">
      <c r="D1469" s="194">
        <v>1.5998761453070074</v>
      </c>
      <c r="E1469">
        <f t="shared" si="24"/>
        <v>1.9945790242535613</v>
      </c>
    </row>
    <row r="1470" spans="4:5">
      <c r="D1470" s="194">
        <v>1.6001783966125913</v>
      </c>
      <c r="E1470">
        <f t="shared" si="24"/>
        <v>1.9922663278440769</v>
      </c>
    </row>
    <row r="1471" spans="4:5">
      <c r="D1471" s="194">
        <v>1.6002843711444257</v>
      </c>
      <c r="E1471">
        <f t="shared" si="24"/>
        <v>1.9914544921969604</v>
      </c>
    </row>
    <row r="1472" spans="4:5">
      <c r="D1472" s="194">
        <v>1.6003599339708217</v>
      </c>
      <c r="E1472">
        <f t="shared" si="24"/>
        <v>1.9908753255634264</v>
      </c>
    </row>
    <row r="1473" spans="4:5">
      <c r="D1473" s="194">
        <v>1.6003599339708217</v>
      </c>
      <c r="E1473">
        <f t="shared" si="24"/>
        <v>1.9908753255634264</v>
      </c>
    </row>
    <row r="1474" spans="4:5">
      <c r="D1474" s="194">
        <v>1.6005112461984936</v>
      </c>
      <c r="E1474">
        <f t="shared" si="24"/>
        <v>1.9897148005092995</v>
      </c>
    </row>
    <row r="1475" spans="4:5">
      <c r="D1475" s="194">
        <v>1.6011026885680621</v>
      </c>
      <c r="E1475">
        <f t="shared" ref="E1475:E1538" si="25">_xlfn.NORM.DIST(D1475,$B$2,$B$4,FALSE)</f>
        <v>1.9851688894020325</v>
      </c>
    </row>
    <row r="1476" spans="4:5">
      <c r="D1476" s="194">
        <v>1.6014215450379652</v>
      </c>
      <c r="E1476">
        <f t="shared" si="25"/>
        <v>1.9827117394755118</v>
      </c>
    </row>
    <row r="1477" spans="4:5">
      <c r="D1477" s="194">
        <v>1.6014519567434036</v>
      </c>
      <c r="E1477">
        <f t="shared" si="25"/>
        <v>1.9824771508776042</v>
      </c>
    </row>
    <row r="1478" spans="4:5">
      <c r="D1478" s="194">
        <v>1.6014974810141211</v>
      </c>
      <c r="E1478">
        <f t="shared" si="25"/>
        <v>1.9821259122433066</v>
      </c>
    </row>
    <row r="1479" spans="4:5">
      <c r="D1479" s="194">
        <v>1.6018168972086642</v>
      </c>
      <c r="E1479">
        <f t="shared" si="25"/>
        <v>1.9796589492176855</v>
      </c>
    </row>
    <row r="1480" spans="4:5">
      <c r="D1480" s="194">
        <v>1.6019997405910544</v>
      </c>
      <c r="E1480">
        <f t="shared" si="25"/>
        <v>1.978244795236535</v>
      </c>
    </row>
    <row r="1481" spans="4:5">
      <c r="D1481" s="194">
        <v>1.6021366865529671</v>
      </c>
      <c r="E1481">
        <f t="shared" si="25"/>
        <v>1.977184676978482</v>
      </c>
    </row>
    <row r="1482" spans="4:5">
      <c r="D1482" s="194">
        <v>1.6023807264959942</v>
      </c>
      <c r="E1482">
        <f t="shared" si="25"/>
        <v>1.9752935274734769</v>
      </c>
    </row>
    <row r="1483" spans="4:5">
      <c r="D1483" s="194">
        <v>1.6028232821113306</v>
      </c>
      <c r="E1483">
        <f t="shared" si="25"/>
        <v>1.9718575017873732</v>
      </c>
    </row>
    <row r="1484" spans="4:5">
      <c r="D1484" s="194">
        <v>1.6036035382594491</v>
      </c>
      <c r="E1484">
        <f t="shared" si="25"/>
        <v>1.9657792836270638</v>
      </c>
    </row>
    <row r="1485" spans="4:5">
      <c r="D1485" s="194">
        <v>1.603680220535125</v>
      </c>
      <c r="E1485">
        <f t="shared" si="25"/>
        <v>1.9651805412068388</v>
      </c>
    </row>
    <row r="1486" spans="4:5">
      <c r="D1486" s="194">
        <v>1.6036955196752842</v>
      </c>
      <c r="E1486">
        <f t="shared" si="25"/>
        <v>1.9650610545687384</v>
      </c>
    </row>
    <row r="1487" spans="4:5">
      <c r="D1487" s="194">
        <v>1.6037722019509602</v>
      </c>
      <c r="E1487">
        <f t="shared" si="25"/>
        <v>1.9644620164477384</v>
      </c>
    </row>
    <row r="1488" spans="4:5">
      <c r="D1488" s="194">
        <v>1.6038180993714377</v>
      </c>
      <c r="E1488">
        <f t="shared" si="25"/>
        <v>1.9641033503062246</v>
      </c>
    </row>
    <row r="1489" spans="4:5">
      <c r="D1489" s="194">
        <v>1.6038949682219936</v>
      </c>
      <c r="E1489">
        <f t="shared" si="25"/>
        <v>1.9635024601000981</v>
      </c>
    </row>
    <row r="1490" spans="4:5">
      <c r="D1490" s="194">
        <v>1.6042938653154124</v>
      </c>
      <c r="E1490">
        <f t="shared" si="25"/>
        <v>1.9603802924327873</v>
      </c>
    </row>
    <row r="1491" spans="4:5">
      <c r="D1491" s="194">
        <v>1.6048476195592229</v>
      </c>
      <c r="E1491">
        <f t="shared" si="25"/>
        <v>1.9560351293591147</v>
      </c>
    </row>
    <row r="1492" spans="4:5">
      <c r="D1492" s="194">
        <v>1.6048938901294605</v>
      </c>
      <c r="E1492">
        <f t="shared" si="25"/>
        <v>1.9556714847404235</v>
      </c>
    </row>
    <row r="1493" spans="4:5">
      <c r="D1493" s="194">
        <v>1.6050480009803323</v>
      </c>
      <c r="E1493">
        <f t="shared" si="25"/>
        <v>1.9544596805686301</v>
      </c>
    </row>
    <row r="1494" spans="4:5">
      <c r="D1494" s="194">
        <v>1.6053254378268775</v>
      </c>
      <c r="E1494">
        <f t="shared" si="25"/>
        <v>1.9522756926751785</v>
      </c>
    </row>
    <row r="1495" spans="4:5">
      <c r="D1495" s="194">
        <v>1.6053409235419167</v>
      </c>
      <c r="E1495">
        <f t="shared" si="25"/>
        <v>1.9521536963898125</v>
      </c>
    </row>
    <row r="1496" spans="4:5">
      <c r="D1496" s="194">
        <v>1.6053717083971151</v>
      </c>
      <c r="E1496">
        <f t="shared" si="25"/>
        <v>1.9519111446785307</v>
      </c>
    </row>
    <row r="1497" spans="4:5">
      <c r="D1497" s="194">
        <v>1.6054644361124701</v>
      </c>
      <c r="E1497">
        <f t="shared" si="25"/>
        <v>1.9511803167490462</v>
      </c>
    </row>
    <row r="1498" spans="4:5">
      <c r="D1498" s="194">
        <v>1.6056650041084595</v>
      </c>
      <c r="E1498">
        <f t="shared" si="25"/>
        <v>1.949598358902628</v>
      </c>
    </row>
    <row r="1499" spans="4:5">
      <c r="D1499" s="194">
        <v>1.6058040023940521</v>
      </c>
      <c r="E1499">
        <f t="shared" si="25"/>
        <v>1.9485010704960228</v>
      </c>
    </row>
    <row r="1500" spans="4:5">
      <c r="D1500" s="194">
        <v>1.6059894578247622</v>
      </c>
      <c r="E1500">
        <f t="shared" si="25"/>
        <v>1.9470358240596035</v>
      </c>
    </row>
    <row r="1501" spans="4:5">
      <c r="D1501" s="194">
        <v>1.6062062578353107</v>
      </c>
      <c r="E1501">
        <f t="shared" si="25"/>
        <v>1.9453211777399526</v>
      </c>
    </row>
    <row r="1502" spans="4:5">
      <c r="D1502" s="194">
        <v>1.6062834998356266</v>
      </c>
      <c r="E1502">
        <f t="shared" si="25"/>
        <v>1.9447098245751109</v>
      </c>
    </row>
    <row r="1503" spans="4:5">
      <c r="D1503" s="194">
        <v>1.6066245587162484</v>
      </c>
      <c r="E1503">
        <f t="shared" si="25"/>
        <v>1.9420075725922143</v>
      </c>
    </row>
    <row r="1504" spans="4:5">
      <c r="D1504" s="194">
        <v>1.607121221046782</v>
      </c>
      <c r="E1504">
        <f t="shared" si="25"/>
        <v>1.9380641992946077</v>
      </c>
    </row>
    <row r="1505" spans="4:5">
      <c r="D1505" s="194">
        <v>1.6071521924768604</v>
      </c>
      <c r="E1505">
        <f t="shared" si="25"/>
        <v>1.9378179714907398</v>
      </c>
    </row>
    <row r="1506" spans="4:5">
      <c r="D1506" s="194">
        <v>1.6073542530718896</v>
      </c>
      <c r="E1506">
        <f t="shared" si="25"/>
        <v>1.9362106326711372</v>
      </c>
    </row>
    <row r="1507" spans="4:5">
      <c r="D1507" s="194">
        <v>1.6078990517214606</v>
      </c>
      <c r="E1507">
        <f t="shared" si="25"/>
        <v>1.9318689502983131</v>
      </c>
    </row>
    <row r="1508" spans="4:5">
      <c r="D1508" s="194">
        <v>1.6080861863260907</v>
      </c>
      <c r="E1508">
        <f t="shared" si="25"/>
        <v>1.9303749511139239</v>
      </c>
    </row>
    <row r="1509" spans="4:5">
      <c r="D1509" s="194">
        <v>1.6083514958054366</v>
      </c>
      <c r="E1509">
        <f t="shared" si="25"/>
        <v>1.9282545215602516</v>
      </c>
    </row>
    <row r="1510" spans="4:5">
      <c r="D1510" s="194">
        <v>1.6085544892748658</v>
      </c>
      <c r="E1510">
        <f t="shared" si="25"/>
        <v>1.9266303123138755</v>
      </c>
    </row>
    <row r="1511" spans="4:5">
      <c r="D1511" s="194">
        <v>1.6088828610636483</v>
      </c>
      <c r="E1511">
        <f t="shared" si="25"/>
        <v>1.9239995787747224</v>
      </c>
    </row>
    <row r="1512" spans="4:5">
      <c r="D1512" s="194">
        <v>1.6090548831029992</v>
      </c>
      <c r="E1512">
        <f t="shared" si="25"/>
        <v>1.9226197948817896</v>
      </c>
    </row>
    <row r="1513" spans="4:5">
      <c r="D1513" s="194">
        <v>1.609321312031625</v>
      </c>
      <c r="E1513">
        <f t="shared" si="25"/>
        <v>1.9204805640187286</v>
      </c>
    </row>
    <row r="1514" spans="4:5">
      <c r="D1514" s="194">
        <v>1.6095563963804125</v>
      </c>
      <c r="E1514">
        <f t="shared" si="25"/>
        <v>1.9185907848776911</v>
      </c>
    </row>
    <row r="1515" spans="4:5">
      <c r="D1515" s="194">
        <v>1.6097291647192833</v>
      </c>
      <c r="E1515">
        <f t="shared" si="25"/>
        <v>1.9172006248459283</v>
      </c>
    </row>
    <row r="1516" spans="4:5">
      <c r="D1516" s="194">
        <v>1.6097448370092025</v>
      </c>
      <c r="E1516">
        <f t="shared" si="25"/>
        <v>1.9170744643512774</v>
      </c>
    </row>
    <row r="1517" spans="4:5">
      <c r="D1517" s="194">
        <v>1.6100903736869441</v>
      </c>
      <c r="E1517">
        <f t="shared" si="25"/>
        <v>1.9142905986247016</v>
      </c>
    </row>
    <row r="1518" spans="4:5">
      <c r="D1518" s="194">
        <v>1.6103420632000507</v>
      </c>
      <c r="E1518">
        <f t="shared" si="25"/>
        <v>1.9122600348554664</v>
      </c>
    </row>
    <row r="1519" spans="4:5">
      <c r="D1519" s="194">
        <v>1.6108461885257839</v>
      </c>
      <c r="E1519">
        <f t="shared" si="25"/>
        <v>1.9081858640485108</v>
      </c>
    </row>
    <row r="1520" spans="4:5">
      <c r="D1520" s="194">
        <v>1.610862047390583</v>
      </c>
      <c r="E1520">
        <f t="shared" si="25"/>
        <v>1.9080575468737877</v>
      </c>
    </row>
    <row r="1521" spans="4:5">
      <c r="D1521" s="194">
        <v>1.6111460143579279</v>
      </c>
      <c r="E1521">
        <f t="shared" si="25"/>
        <v>1.9057583623858596</v>
      </c>
    </row>
    <row r="1522" spans="4:5">
      <c r="D1522" s="194">
        <v>1.611351433300797</v>
      </c>
      <c r="E1522">
        <f t="shared" si="25"/>
        <v>1.9040933282727384</v>
      </c>
    </row>
    <row r="1523" spans="4:5">
      <c r="D1523" s="194">
        <v>1.6118893286798084</v>
      </c>
      <c r="E1523">
        <f t="shared" si="25"/>
        <v>1.8997261765518041</v>
      </c>
    </row>
    <row r="1524" spans="4:5">
      <c r="D1524" s="194">
        <v>1.6119844818686033</v>
      </c>
      <c r="E1524">
        <f t="shared" si="25"/>
        <v>1.8989525512901619</v>
      </c>
    </row>
    <row r="1525" spans="4:5">
      <c r="D1525" s="194">
        <v>1.6122380371305098</v>
      </c>
      <c r="E1525">
        <f t="shared" si="25"/>
        <v>1.8968894918255441</v>
      </c>
    </row>
    <row r="1526" spans="4:5">
      <c r="D1526" s="194">
        <v>1.6124124846433006</v>
      </c>
      <c r="E1526">
        <f t="shared" si="25"/>
        <v>1.895468769106633</v>
      </c>
    </row>
    <row r="1527" spans="4:5">
      <c r="D1527" s="194">
        <v>1.6125080109818555</v>
      </c>
      <c r="E1527">
        <f t="shared" si="25"/>
        <v>1.8946903342702637</v>
      </c>
    </row>
    <row r="1528" spans="4:5">
      <c r="D1528" s="194">
        <v>1.61317576247734</v>
      </c>
      <c r="E1528">
        <f t="shared" si="25"/>
        <v>1.889239936898331</v>
      </c>
    </row>
    <row r="1529" spans="4:5">
      <c r="D1529" s="194">
        <v>1.6142931594336005</v>
      </c>
      <c r="E1529">
        <f t="shared" si="25"/>
        <v>1.8800848170860114</v>
      </c>
    </row>
    <row r="1530" spans="4:5">
      <c r="D1530" s="194">
        <v>1.6145651856086261</v>
      </c>
      <c r="E1530">
        <f t="shared" si="25"/>
        <v>1.8778495837932563</v>
      </c>
    </row>
    <row r="1531" spans="4:5">
      <c r="D1531" s="194">
        <v>1.6152551395148294</v>
      </c>
      <c r="E1531">
        <f t="shared" si="25"/>
        <v>1.8721690895569301</v>
      </c>
    </row>
    <row r="1532" spans="4:5">
      <c r="D1532" s="194">
        <v>1.6153353667132251</v>
      </c>
      <c r="E1532">
        <f t="shared" si="25"/>
        <v>1.8715075363823024</v>
      </c>
    </row>
    <row r="1533" spans="4:5">
      <c r="D1533" s="194">
        <v>1.6153353667132251</v>
      </c>
      <c r="E1533">
        <f t="shared" si="25"/>
        <v>1.8715075363823024</v>
      </c>
    </row>
    <row r="1534" spans="4:5">
      <c r="D1534" s="194">
        <v>1.6161887602142997</v>
      </c>
      <c r="E1534">
        <f t="shared" si="25"/>
        <v>1.8644573313699864</v>
      </c>
    </row>
    <row r="1535" spans="4:5">
      <c r="D1535" s="194">
        <v>1.6162048056539788</v>
      </c>
      <c r="E1535">
        <f t="shared" si="25"/>
        <v>1.864324545808608</v>
      </c>
    </row>
    <row r="1536" spans="4:5">
      <c r="D1536" s="194">
        <v>1.6164954893170034</v>
      </c>
      <c r="E1536">
        <f t="shared" si="25"/>
        <v>1.8619175204852976</v>
      </c>
    </row>
    <row r="1537" spans="4:5">
      <c r="D1537" s="194">
        <v>1.6169318879613002</v>
      </c>
      <c r="E1537">
        <f t="shared" si="25"/>
        <v>1.858298779976316</v>
      </c>
    </row>
    <row r="1538" spans="4:5">
      <c r="D1538" s="194">
        <v>1.6169966294446567</v>
      </c>
      <c r="E1538">
        <f t="shared" si="25"/>
        <v>1.8577614058247158</v>
      </c>
    </row>
    <row r="1539" spans="4:5">
      <c r="D1539" s="194">
        <v>1.6173205234363195</v>
      </c>
      <c r="E1539">
        <f t="shared" ref="E1539:E1602" si="26">_xlfn.NORM.DIST(D1539,$B$2,$B$4,FALSE)</f>
        <v>1.8550709839226887</v>
      </c>
    </row>
    <row r="1540" spans="4:5">
      <c r="D1540" s="194">
        <v>1.6175962811089448</v>
      </c>
      <c r="E1540">
        <f t="shared" si="26"/>
        <v>1.8527777891109878</v>
      </c>
    </row>
    <row r="1541" spans="4:5">
      <c r="D1541" s="194">
        <v>1.6177100917857388</v>
      </c>
      <c r="E1541">
        <f t="shared" si="26"/>
        <v>1.851830644386091</v>
      </c>
    </row>
    <row r="1542" spans="4:5">
      <c r="D1542" s="194">
        <v>1.6178724119313301</v>
      </c>
      <c r="E1542">
        <f t="shared" si="26"/>
        <v>1.8504790965254034</v>
      </c>
    </row>
    <row r="1543" spans="4:5">
      <c r="D1543" s="194">
        <v>1.6180186866372424</v>
      </c>
      <c r="E1543">
        <f t="shared" si="26"/>
        <v>1.8492604452722927</v>
      </c>
    </row>
    <row r="1544" spans="4:5">
      <c r="D1544" s="194">
        <v>1.6181976119471528</v>
      </c>
      <c r="E1544">
        <f t="shared" si="26"/>
        <v>1.8477688688882552</v>
      </c>
    </row>
    <row r="1545" spans="4:5">
      <c r="D1545" s="194">
        <v>1.6186049049101712</v>
      </c>
      <c r="E1545">
        <f t="shared" si="26"/>
        <v>1.8443698590726312</v>
      </c>
    </row>
    <row r="1546" spans="4:5">
      <c r="D1546" s="194">
        <v>1.6187515527658434</v>
      </c>
      <c r="E1546">
        <f t="shared" si="26"/>
        <v>1.8431447806144883</v>
      </c>
    </row>
    <row r="1547" spans="4:5">
      <c r="D1547" s="194">
        <v>1.6188168539738399</v>
      </c>
      <c r="E1547">
        <f t="shared" si="26"/>
        <v>1.8425990506558458</v>
      </c>
    </row>
    <row r="1548" spans="4:5">
      <c r="D1548" s="194">
        <v>1.6188657365923973</v>
      </c>
      <c r="E1548">
        <f t="shared" si="26"/>
        <v>1.8421904476669073</v>
      </c>
    </row>
    <row r="1549" spans="4:5">
      <c r="D1549" s="194">
        <v>1.6191269414243834</v>
      </c>
      <c r="E1549">
        <f t="shared" si="26"/>
        <v>1.8400058413554081</v>
      </c>
    </row>
    <row r="1550" spans="4:5">
      <c r="D1550" s="194">
        <v>1.619830701871706</v>
      </c>
      <c r="E1550">
        <f t="shared" si="26"/>
        <v>1.8341096489902182</v>
      </c>
    </row>
    <row r="1551" spans="4:5">
      <c r="D1551" s="194">
        <v>1.6198799576400233</v>
      </c>
      <c r="E1551">
        <f t="shared" si="26"/>
        <v>1.8336964236008519</v>
      </c>
    </row>
    <row r="1552" spans="4:5">
      <c r="D1552" s="194">
        <v>1.6202572120473633</v>
      </c>
      <c r="E1552">
        <f t="shared" si="26"/>
        <v>1.8305291105075481</v>
      </c>
    </row>
    <row r="1553" spans="4:5">
      <c r="D1553" s="194">
        <v>1.6203228864051198</v>
      </c>
      <c r="E1553">
        <f t="shared" si="26"/>
        <v>1.8299772997325729</v>
      </c>
    </row>
    <row r="1554" spans="4:5">
      <c r="D1554" s="194">
        <v>1.6206516313436623</v>
      </c>
      <c r="E1554">
        <f t="shared" si="26"/>
        <v>1.8272132115458322</v>
      </c>
    </row>
    <row r="1555" spans="4:5">
      <c r="D1555" s="194">
        <v>1.6209973545962839</v>
      </c>
      <c r="E1555">
        <f t="shared" si="26"/>
        <v>1.8243029763834056</v>
      </c>
    </row>
    <row r="1556" spans="4:5">
      <c r="D1556" s="194">
        <v>1.621013959760603</v>
      </c>
      <c r="E1556">
        <f t="shared" si="26"/>
        <v>1.8241631101167499</v>
      </c>
    </row>
    <row r="1557" spans="4:5">
      <c r="D1557" s="194">
        <v>1.6212941952303481</v>
      </c>
      <c r="E1557">
        <f t="shared" si="26"/>
        <v>1.8218014739246473</v>
      </c>
    </row>
    <row r="1558" spans="4:5">
      <c r="D1558" s="194">
        <v>1.6213434509986655</v>
      </c>
      <c r="E1558">
        <f t="shared" si="26"/>
        <v>1.8213861466885022</v>
      </c>
    </row>
    <row r="1559" spans="4:5">
      <c r="D1559" s="194">
        <v>1.6215748038498532</v>
      </c>
      <c r="E1559">
        <f t="shared" si="26"/>
        <v>1.8194344409144381</v>
      </c>
    </row>
    <row r="1560" spans="4:5">
      <c r="D1560" s="194">
        <v>1.621690480275447</v>
      </c>
      <c r="E1560">
        <f t="shared" si="26"/>
        <v>1.8184580172403337</v>
      </c>
    </row>
    <row r="1561" spans="4:5">
      <c r="D1561" s="194">
        <v>1.6217565277829635</v>
      </c>
      <c r="E1561">
        <f t="shared" si="26"/>
        <v>1.8179003407866952</v>
      </c>
    </row>
    <row r="1562" spans="4:5">
      <c r="D1562" s="194">
        <v>1.6221867694562206</v>
      </c>
      <c r="E1562">
        <f t="shared" si="26"/>
        <v>1.8142645586570294</v>
      </c>
    </row>
    <row r="1563" spans="4:5">
      <c r="D1563" s="194">
        <v>1.6227838090721889</v>
      </c>
      <c r="E1563">
        <f t="shared" si="26"/>
        <v>1.8092106842944236</v>
      </c>
    </row>
    <row r="1564" spans="4:5">
      <c r="D1564" s="194">
        <v>1.623232708233445</v>
      </c>
      <c r="E1564">
        <f t="shared" si="26"/>
        <v>1.8054043397586996</v>
      </c>
    </row>
    <row r="1565" spans="4:5">
      <c r="D1565" s="194">
        <v>1.6232494999726441</v>
      </c>
      <c r="E1565">
        <f t="shared" si="26"/>
        <v>1.8052618512077285</v>
      </c>
    </row>
    <row r="1566" spans="4:5">
      <c r="D1566" s="194">
        <v>1.6234491350942335</v>
      </c>
      <c r="E1566">
        <f t="shared" si="26"/>
        <v>1.8035672353708436</v>
      </c>
    </row>
    <row r="1567" spans="4:5">
      <c r="D1567" s="194">
        <v>1.6241667020826753</v>
      </c>
      <c r="E1567">
        <f t="shared" si="26"/>
        <v>1.797467282945898</v>
      </c>
    </row>
    <row r="1568" spans="4:5">
      <c r="D1568" s="194">
        <v>1.6242170773002726</v>
      </c>
      <c r="E1568">
        <f t="shared" si="26"/>
        <v>1.7970385344017523</v>
      </c>
    </row>
    <row r="1569" spans="4:5">
      <c r="D1569" s="194">
        <v>1.624417645296262</v>
      </c>
      <c r="E1569">
        <f t="shared" si="26"/>
        <v>1.7953308164473301</v>
      </c>
    </row>
    <row r="1570" spans="4:5">
      <c r="D1570" s="194">
        <v>1.6254240301989284</v>
      </c>
      <c r="E1570">
        <f t="shared" si="26"/>
        <v>1.7867462223624806</v>
      </c>
    </row>
    <row r="1571" spans="4:5">
      <c r="D1571" s="194">
        <v>1.6254408219381276</v>
      </c>
      <c r="E1571">
        <f t="shared" si="26"/>
        <v>1.7866027655073131</v>
      </c>
    </row>
    <row r="1572" spans="4:5">
      <c r="D1572" s="194">
        <v>1.6256089259049986</v>
      </c>
      <c r="E1572">
        <f t="shared" si="26"/>
        <v>1.7851662076047703</v>
      </c>
    </row>
    <row r="1573" spans="4:5">
      <c r="D1573" s="194">
        <v>1.6257100494899532</v>
      </c>
      <c r="E1573">
        <f t="shared" si="26"/>
        <v>1.7843016953506809</v>
      </c>
    </row>
    <row r="1574" spans="4:5">
      <c r="D1574" s="194">
        <v>1.6259794636166589</v>
      </c>
      <c r="E1574">
        <f t="shared" si="26"/>
        <v>1.7819971965369314</v>
      </c>
    </row>
    <row r="1575" spans="4:5">
      <c r="D1575" s="194">
        <v>1.6260470037232153</v>
      </c>
      <c r="E1575">
        <f t="shared" si="26"/>
        <v>1.7814191900411103</v>
      </c>
    </row>
    <row r="1576" spans="4:5">
      <c r="D1576" s="194">
        <v>1.6260637954624144</v>
      </c>
      <c r="E1576">
        <f t="shared" si="26"/>
        <v>1.7812754690433692</v>
      </c>
    </row>
    <row r="1577" spans="4:5">
      <c r="D1577" s="194">
        <v>1.6261313355689708</v>
      </c>
      <c r="E1577">
        <f t="shared" si="26"/>
        <v>1.7806973200663252</v>
      </c>
    </row>
    <row r="1578" spans="4:5">
      <c r="D1578" s="194">
        <v>1.6262664157820836</v>
      </c>
      <c r="E1578">
        <f t="shared" si="26"/>
        <v>1.7795406807972065</v>
      </c>
    </row>
    <row r="1579" spans="4:5">
      <c r="D1579" s="194">
        <v>1.6266716564214221</v>
      </c>
      <c r="E1579">
        <f t="shared" si="26"/>
        <v>1.7760680492304084</v>
      </c>
    </row>
    <row r="1580" spans="4:5">
      <c r="D1580" s="194">
        <v>1.6268746498908513</v>
      </c>
      <c r="E1580">
        <f t="shared" si="26"/>
        <v>1.7743270171267793</v>
      </c>
    </row>
    <row r="1581" spans="4:5">
      <c r="D1581" s="194">
        <v>1.6269765197753259</v>
      </c>
      <c r="E1581">
        <f t="shared" si="26"/>
        <v>1.7734529214217907</v>
      </c>
    </row>
    <row r="1582" spans="4:5">
      <c r="D1582" s="194">
        <v>1.6272645913900305</v>
      </c>
      <c r="E1582">
        <f t="shared" si="26"/>
        <v>1.7709797563653249</v>
      </c>
    </row>
    <row r="1583" spans="4:5">
      <c r="D1583" s="194">
        <v>1.6274172096418624</v>
      </c>
      <c r="E1583">
        <f t="shared" si="26"/>
        <v>1.7696686797946493</v>
      </c>
    </row>
    <row r="1584" spans="4:5">
      <c r="D1584" s="194">
        <v>1.6274172096418624</v>
      </c>
      <c r="E1584">
        <f t="shared" si="26"/>
        <v>1.7696686797946493</v>
      </c>
    </row>
    <row r="1585" spans="4:5">
      <c r="D1585" s="194">
        <v>1.6276549060389698</v>
      </c>
      <c r="E1585">
        <f t="shared" si="26"/>
        <v>1.7676256224199385</v>
      </c>
    </row>
    <row r="1586" spans="4:5">
      <c r="D1586" s="194">
        <v>1.6279439105280744</v>
      </c>
      <c r="E1586">
        <f t="shared" si="26"/>
        <v>1.7651397487293981</v>
      </c>
    </row>
    <row r="1587" spans="4:5">
      <c r="D1587" s="194">
        <v>1.6279780537311126</v>
      </c>
      <c r="E1587">
        <f t="shared" si="26"/>
        <v>1.7648459352933601</v>
      </c>
    </row>
    <row r="1588" spans="4:5">
      <c r="D1588" s="194">
        <v>1.6281993315387808</v>
      </c>
      <c r="E1588">
        <f t="shared" si="26"/>
        <v>1.762941102768866</v>
      </c>
    </row>
    <row r="1589" spans="4:5">
      <c r="D1589" s="194">
        <v>1.6284377742354081</v>
      </c>
      <c r="E1589">
        <f t="shared" si="26"/>
        <v>1.7608872270861475</v>
      </c>
    </row>
    <row r="1590" spans="4:5">
      <c r="D1590" s="194">
        <v>1.6289157790779427</v>
      </c>
      <c r="E1590">
        <f t="shared" si="26"/>
        <v>1.7567658678455438</v>
      </c>
    </row>
    <row r="1591" spans="4:5">
      <c r="D1591" s="194">
        <v>1.6293949033697572</v>
      </c>
      <c r="E1591">
        <f t="shared" si="26"/>
        <v>1.7526296157742396</v>
      </c>
    </row>
    <row r="1592" spans="4:5">
      <c r="D1592" s="194">
        <v>1.6299609715556471</v>
      </c>
      <c r="E1592">
        <f t="shared" si="26"/>
        <v>1.747736133489016</v>
      </c>
    </row>
    <row r="1593" spans="4:5">
      <c r="D1593" s="194">
        <v>1.6301844882618752</v>
      </c>
      <c r="E1593">
        <f t="shared" si="26"/>
        <v>1.7458019463435615</v>
      </c>
    </row>
    <row r="1594" spans="4:5">
      <c r="D1594" s="194">
        <v>1.6307009275296878</v>
      </c>
      <c r="E1594">
        <f t="shared" si="26"/>
        <v>1.7413288020138071</v>
      </c>
    </row>
    <row r="1595" spans="4:5">
      <c r="D1595" s="194">
        <v>1.6308046631629622</v>
      </c>
      <c r="E1595">
        <f t="shared" si="26"/>
        <v>1.7404295992950591</v>
      </c>
    </row>
    <row r="1596" spans="4:5">
      <c r="D1596" s="194">
        <v>1.6313054301408556</v>
      </c>
      <c r="E1596">
        <f t="shared" si="26"/>
        <v>1.7360856140583236</v>
      </c>
    </row>
    <row r="1597" spans="4:5">
      <c r="D1597" s="194">
        <v>1.6314091657741301</v>
      </c>
      <c r="E1597">
        <f t="shared" si="26"/>
        <v>1.7351850788192746</v>
      </c>
    </row>
    <row r="1598" spans="4:5">
      <c r="D1598" s="194">
        <v>1.6315823072627609</v>
      </c>
      <c r="E1598">
        <f t="shared" si="26"/>
        <v>1.7336815246413708</v>
      </c>
    </row>
    <row r="1599" spans="4:5">
      <c r="D1599" s="194">
        <v>1.6320155341340978</v>
      </c>
      <c r="E1599">
        <f t="shared" si="26"/>
        <v>1.7299166681799509</v>
      </c>
    </row>
    <row r="1600" spans="4:5">
      <c r="D1600" s="194">
        <v>1.6323106955942421</v>
      </c>
      <c r="E1600">
        <f t="shared" si="26"/>
        <v>1.7273494262263616</v>
      </c>
    </row>
    <row r="1601" spans="4:5">
      <c r="D1601" s="194">
        <v>1.6323976394883175</v>
      </c>
      <c r="E1601">
        <f t="shared" si="26"/>
        <v>1.726592871364476</v>
      </c>
    </row>
    <row r="1602" spans="4:5">
      <c r="D1602" s="194">
        <v>1.6327629531033381</v>
      </c>
      <c r="E1602">
        <f t="shared" si="26"/>
        <v>1.7234123756001603</v>
      </c>
    </row>
    <row r="1603" spans="4:5">
      <c r="D1603" s="194">
        <v>1.6339506887893549</v>
      </c>
      <c r="E1603">
        <f t="shared" ref="E1603:E1666" si="27">_xlfn.NORM.DIST(D1603,$B$2,$B$4,FALSE)</f>
        <v>1.7130534737132241</v>
      </c>
    </row>
    <row r="1604" spans="4:5">
      <c r="D1604" s="194">
        <v>1.6342133862203809</v>
      </c>
      <c r="E1604">
        <f t="shared" si="27"/>
        <v>1.710758664223599</v>
      </c>
    </row>
    <row r="1605" spans="4:5">
      <c r="D1605" s="194">
        <v>1.6349339384069026</v>
      </c>
      <c r="E1605">
        <f t="shared" si="27"/>
        <v>1.704457586057734</v>
      </c>
    </row>
    <row r="1606" spans="4:5">
      <c r="D1606" s="194">
        <v>1.635057077827696</v>
      </c>
      <c r="E1606">
        <f t="shared" si="27"/>
        <v>1.7033797966284008</v>
      </c>
    </row>
    <row r="1607" spans="4:5">
      <c r="D1607" s="194">
        <v>1.6351630523595304</v>
      </c>
      <c r="E1607">
        <f t="shared" si="27"/>
        <v>1.702452022792772</v>
      </c>
    </row>
    <row r="1608" spans="4:5">
      <c r="D1608" s="194">
        <v>1.6354802296555135</v>
      </c>
      <c r="E1608">
        <f t="shared" si="27"/>
        <v>1.6996740183845895</v>
      </c>
    </row>
    <row r="1609" spans="4:5">
      <c r="D1609" s="194">
        <v>1.6356921787191823</v>
      </c>
      <c r="E1609">
        <f t="shared" si="27"/>
        <v>1.6978166501056431</v>
      </c>
    </row>
    <row r="1610" spans="4:5">
      <c r="D1610" s="194">
        <v>1.6358865897441319</v>
      </c>
      <c r="E1610">
        <f t="shared" si="27"/>
        <v>1.6961122697401347</v>
      </c>
    </row>
    <row r="1611" spans="4:5">
      <c r="D1611" s="194">
        <v>1.635904500932611</v>
      </c>
      <c r="E1611">
        <f t="shared" si="27"/>
        <v>1.6959552106634841</v>
      </c>
    </row>
    <row r="1612" spans="4:5">
      <c r="D1612" s="194">
        <v>1.637182165710783</v>
      </c>
      <c r="E1612">
        <f t="shared" si="27"/>
        <v>1.6847373298261112</v>
      </c>
    </row>
    <row r="1613" spans="4:5">
      <c r="D1613" s="194">
        <v>1.6374672521274078</v>
      </c>
      <c r="E1613">
        <f t="shared" si="27"/>
        <v>1.6822305038486955</v>
      </c>
    </row>
    <row r="1614" spans="4:5">
      <c r="D1614" s="194">
        <v>1.6376635289011574</v>
      </c>
      <c r="E1614">
        <f t="shared" si="27"/>
        <v>1.6805038209350385</v>
      </c>
    </row>
    <row r="1615" spans="4:5">
      <c r="D1615" s="194">
        <v>1.6376993512781155</v>
      </c>
      <c r="E1615">
        <f t="shared" si="27"/>
        <v>1.6801886168526674</v>
      </c>
    </row>
    <row r="1616" spans="4:5">
      <c r="D1616" s="194">
        <v>1.6380206332214584</v>
      </c>
      <c r="E1616">
        <f t="shared" si="27"/>
        <v>1.677360699196994</v>
      </c>
    </row>
    <row r="1617" spans="4:5">
      <c r="D1617" s="194">
        <v>1.6382713898601651</v>
      </c>
      <c r="E1617">
        <f t="shared" si="27"/>
        <v>1.675152390649608</v>
      </c>
    </row>
    <row r="1618" spans="4:5">
      <c r="D1618" s="194">
        <v>1.6385758800643089</v>
      </c>
      <c r="E1618">
        <f t="shared" si="27"/>
        <v>1.6724695320206018</v>
      </c>
    </row>
    <row r="1619" spans="4:5">
      <c r="D1619" s="194">
        <v>1.6387732762873384</v>
      </c>
      <c r="E1619">
        <f t="shared" si="27"/>
        <v>1.6707295001525662</v>
      </c>
    </row>
    <row r="1620" spans="4:5">
      <c r="D1620" s="194">
        <v>1.6391684418831574</v>
      </c>
      <c r="E1620">
        <f t="shared" si="27"/>
        <v>1.6672443371302859</v>
      </c>
    </row>
    <row r="1621" spans="4:5">
      <c r="D1621" s="194">
        <v>1.6392766553135516</v>
      </c>
      <c r="E1621">
        <f t="shared" si="27"/>
        <v>1.6662895323923552</v>
      </c>
    </row>
    <row r="1622" spans="4:5">
      <c r="D1622" s="194">
        <v>1.6405946202658015</v>
      </c>
      <c r="E1622">
        <f t="shared" si="27"/>
        <v>1.6546467209104392</v>
      </c>
    </row>
    <row r="1623" spans="4:5">
      <c r="D1623" s="194">
        <v>1.6407759710491518</v>
      </c>
      <c r="E1623">
        <f t="shared" si="27"/>
        <v>1.6530427163709374</v>
      </c>
    </row>
    <row r="1624" spans="4:5">
      <c r="D1624" s="194">
        <v>1.6410118016974593</v>
      </c>
      <c r="E1624">
        <f t="shared" si="27"/>
        <v>1.6509561605064116</v>
      </c>
    </row>
    <row r="1625" spans="4:5">
      <c r="D1625" s="194">
        <v>1.6416666795262245</v>
      </c>
      <c r="E1625">
        <f t="shared" si="27"/>
        <v>1.6451579922102513</v>
      </c>
    </row>
    <row r="1626" spans="4:5">
      <c r="D1626" s="194">
        <v>1.6423424537415485</v>
      </c>
      <c r="E1626">
        <f t="shared" si="27"/>
        <v>1.639168794715923</v>
      </c>
    </row>
    <row r="1627" spans="4:5">
      <c r="D1627" s="194">
        <v>1.6432771938902988</v>
      </c>
      <c r="E1627">
        <f t="shared" si="27"/>
        <v>1.630874796731411</v>
      </c>
    </row>
    <row r="1628" spans="4:5">
      <c r="D1628" s="194">
        <v>1.6440324490044986</v>
      </c>
      <c r="E1628">
        <f t="shared" si="27"/>
        <v>1.6241655560415142</v>
      </c>
    </row>
    <row r="1629" spans="4:5">
      <c r="D1629" s="194">
        <v>1.6448459154812554</v>
      </c>
      <c r="E1629">
        <f t="shared" si="27"/>
        <v>1.6169317648667796</v>
      </c>
    </row>
    <row r="1630" spans="4:5">
      <c r="D1630" s="194">
        <v>1.6450869702262025</v>
      </c>
      <c r="E1630">
        <f t="shared" si="27"/>
        <v>1.6147867479210305</v>
      </c>
    </row>
    <row r="1631" spans="4:5">
      <c r="D1631" s="194">
        <v>1.6453283981209097</v>
      </c>
      <c r="E1631">
        <f t="shared" si="27"/>
        <v>1.6126377753914982</v>
      </c>
    </row>
    <row r="1632" spans="4:5">
      <c r="D1632" s="194">
        <v>1.6457564008956069</v>
      </c>
      <c r="E1632">
        <f t="shared" si="27"/>
        <v>1.6088265513143987</v>
      </c>
    </row>
    <row r="1633" spans="4:5">
      <c r="D1633" s="194">
        <v>1.6461291775058271</v>
      </c>
      <c r="E1633">
        <f t="shared" si="27"/>
        <v>1.6055055404256606</v>
      </c>
    </row>
    <row r="1634" spans="4:5">
      <c r="D1634" s="194">
        <v>1.6465403885413252</v>
      </c>
      <c r="E1634">
        <f t="shared" si="27"/>
        <v>1.6018404875754668</v>
      </c>
    </row>
    <row r="1635" spans="4:5">
      <c r="D1635" s="194">
        <v>1.6472900464091254</v>
      </c>
      <c r="E1635">
        <f t="shared" si="27"/>
        <v>1.5951546614304239</v>
      </c>
    </row>
    <row r="1636" spans="4:5">
      <c r="D1636" s="194">
        <v>1.6480613469630043</v>
      </c>
      <c r="E1636">
        <f t="shared" si="27"/>
        <v>1.5882703491447152</v>
      </c>
    </row>
    <row r="1637" spans="4:5">
      <c r="D1637" s="194">
        <v>1.6482124726157963</v>
      </c>
      <c r="E1637">
        <f t="shared" si="27"/>
        <v>1.5869208418086018</v>
      </c>
    </row>
    <row r="1638" spans="4:5">
      <c r="D1638" s="194">
        <v>1.6485147239213802</v>
      </c>
      <c r="E1638">
        <f t="shared" si="27"/>
        <v>1.5842212358643009</v>
      </c>
    </row>
    <row r="1639" spans="4:5">
      <c r="D1639" s="194">
        <v>1.6495196162250068</v>
      </c>
      <c r="E1639">
        <f t="shared" si="27"/>
        <v>1.5752404385887835</v>
      </c>
    </row>
    <row r="1640" spans="4:5">
      <c r="D1640" s="194">
        <v>1.6506256321135879</v>
      </c>
      <c r="E1640">
        <f t="shared" si="27"/>
        <v>1.5653468874790206</v>
      </c>
    </row>
    <row r="1641" spans="4:5">
      <c r="D1641" s="194">
        <v>1.6506640665388659</v>
      </c>
      <c r="E1641">
        <f t="shared" si="27"/>
        <v>1.5650029247248998</v>
      </c>
    </row>
    <row r="1642" spans="4:5">
      <c r="D1642" s="194">
        <v>1.6507789966649398</v>
      </c>
      <c r="E1642">
        <f t="shared" si="27"/>
        <v>1.5639743149949856</v>
      </c>
    </row>
    <row r="1643" spans="4:5">
      <c r="D1643" s="194">
        <v>1.6508170579404577</v>
      </c>
      <c r="E1643">
        <f t="shared" si="27"/>
        <v>1.5636336515207945</v>
      </c>
    </row>
    <row r="1644" spans="4:5">
      <c r="D1644" s="194">
        <v>1.6509894531295686</v>
      </c>
      <c r="E1644">
        <f t="shared" si="27"/>
        <v>1.5620905231921036</v>
      </c>
    </row>
    <row r="1645" spans="4:5">
      <c r="D1645" s="194">
        <v>1.6512390903189953</v>
      </c>
      <c r="E1645">
        <f t="shared" si="27"/>
        <v>1.5598556411976203</v>
      </c>
    </row>
    <row r="1646" spans="4:5">
      <c r="D1646" s="194">
        <v>1.6512771515945133</v>
      </c>
      <c r="E1646">
        <f t="shared" si="27"/>
        <v>1.5595148608611042</v>
      </c>
    </row>
    <row r="1647" spans="4:5">
      <c r="D1647" s="194">
        <v>1.6517193340600897</v>
      </c>
      <c r="E1647">
        <f t="shared" si="27"/>
        <v>1.555555115246618</v>
      </c>
    </row>
    <row r="1648" spans="4:5">
      <c r="D1648" s="194">
        <v>1.6520275557618334</v>
      </c>
      <c r="E1648">
        <f t="shared" si="27"/>
        <v>1.5527942695110586</v>
      </c>
    </row>
    <row r="1649" spans="4:5">
      <c r="D1649" s="194">
        <v>1.6520853939746303</v>
      </c>
      <c r="E1649">
        <f t="shared" si="27"/>
        <v>1.5522761292896285</v>
      </c>
    </row>
    <row r="1650" spans="4:5">
      <c r="D1650" s="194">
        <v>1.6521626359749462</v>
      </c>
      <c r="E1650">
        <f t="shared" si="27"/>
        <v>1.5515841304583418</v>
      </c>
    </row>
    <row r="1651" spans="4:5">
      <c r="D1651" s="194">
        <v>1.6533436549652833</v>
      </c>
      <c r="E1651">
        <f t="shared" si="27"/>
        <v>1.5409993921463332</v>
      </c>
    </row>
    <row r="1652" spans="4:5">
      <c r="D1652" s="194">
        <v>1.6534798546276761</v>
      </c>
      <c r="E1652">
        <f t="shared" si="27"/>
        <v>1.5397782441768562</v>
      </c>
    </row>
    <row r="1653" spans="4:5">
      <c r="D1653" s="194">
        <v>1.6539276343396523</v>
      </c>
      <c r="E1653">
        <f t="shared" si="27"/>
        <v>1.5357628720739835</v>
      </c>
    </row>
    <row r="1654" spans="4:5">
      <c r="D1654" s="194">
        <v>1.6547481906618486</v>
      </c>
      <c r="E1654">
        <f t="shared" si="27"/>
        <v>1.5284023281872023</v>
      </c>
    </row>
    <row r="1655" spans="4:5">
      <c r="D1655" s="194">
        <v>1.6555332977568469</v>
      </c>
      <c r="E1655">
        <f t="shared" si="27"/>
        <v>1.5213571926156322</v>
      </c>
    </row>
    <row r="1656" spans="4:5">
      <c r="D1656" s="194">
        <v>1.6557299476803564</v>
      </c>
      <c r="E1656">
        <f t="shared" si="27"/>
        <v>1.5195922054495772</v>
      </c>
    </row>
    <row r="1657" spans="4:5">
      <c r="D1657" s="194">
        <v>1.6560057053529817</v>
      </c>
      <c r="E1657">
        <f t="shared" si="27"/>
        <v>1.5171169838203065</v>
      </c>
    </row>
    <row r="1658" spans="4:5">
      <c r="D1658" s="194">
        <v>1.6572729219378743</v>
      </c>
      <c r="E1658">
        <f t="shared" si="27"/>
        <v>1.5057394289120904</v>
      </c>
    </row>
    <row r="1659" spans="4:5">
      <c r="D1659" s="194">
        <v>1.6575315147215406</v>
      </c>
      <c r="E1659">
        <f t="shared" si="27"/>
        <v>1.5034171750659151</v>
      </c>
    </row>
    <row r="1660" spans="4:5">
      <c r="D1660" s="194">
        <v>1.6576706995820132</v>
      </c>
      <c r="E1660">
        <f t="shared" si="27"/>
        <v>1.5021671852773903</v>
      </c>
    </row>
    <row r="1661" spans="4:5">
      <c r="D1661" s="194">
        <v>1.6578901116408815</v>
      </c>
      <c r="E1661">
        <f t="shared" si="27"/>
        <v>1.5001966108731355</v>
      </c>
    </row>
    <row r="1662" spans="4:5">
      <c r="D1662" s="194">
        <v>1.6580296696511141</v>
      </c>
      <c r="E1662">
        <f t="shared" si="27"/>
        <v>1.4989431694844058</v>
      </c>
    </row>
    <row r="1663" spans="4:5">
      <c r="D1663" s="194">
        <v>1.6583494589954171</v>
      </c>
      <c r="E1663">
        <f t="shared" si="27"/>
        <v>1.496070847025937</v>
      </c>
    </row>
    <row r="1664" spans="4:5">
      <c r="D1664" s="194">
        <v>1.6584893901554096</v>
      </c>
      <c r="E1664">
        <f t="shared" si="27"/>
        <v>1.4948139430660696</v>
      </c>
    </row>
    <row r="1665" spans="4:5">
      <c r="D1665" s="194">
        <v>1.6591711347668934</v>
      </c>
      <c r="E1665">
        <f t="shared" si="27"/>
        <v>1.488689913942971</v>
      </c>
    </row>
    <row r="1666" spans="4:5">
      <c r="D1666" s="194">
        <v>1.6591912848539323</v>
      </c>
      <c r="E1666">
        <f t="shared" si="27"/>
        <v>1.4885088995722253</v>
      </c>
    </row>
    <row r="1667" spans="4:5">
      <c r="D1667" s="194">
        <v>1.6593319623134448</v>
      </c>
      <c r="E1667">
        <f t="shared" ref="E1667:E1730" si="28">_xlfn.NORM.DIST(D1667,$B$2,$B$4,FALSE)</f>
        <v>1.4872451395048867</v>
      </c>
    </row>
    <row r="1668" spans="4:5">
      <c r="D1668" s="194">
        <v>1.6600375885095673</v>
      </c>
      <c r="E1668">
        <f t="shared" si="28"/>
        <v>1.4809059783515706</v>
      </c>
    </row>
    <row r="1669" spans="4:5">
      <c r="D1669" s="194">
        <v>1.6601383389447619</v>
      </c>
      <c r="E1669">
        <f t="shared" si="28"/>
        <v>1.4800008376804101</v>
      </c>
    </row>
    <row r="1670" spans="4:5">
      <c r="D1670" s="194">
        <v>1.6601588621815608</v>
      </c>
      <c r="E1670">
        <f t="shared" si="28"/>
        <v>1.4798164566338288</v>
      </c>
    </row>
    <row r="1671" spans="4:5">
      <c r="D1671" s="194">
        <v>1.6612335334903037</v>
      </c>
      <c r="E1671">
        <f t="shared" si="28"/>
        <v>1.4701614963017982</v>
      </c>
    </row>
    <row r="1672" spans="4:5">
      <c r="D1672" s="194">
        <v>1.6616813132022799</v>
      </c>
      <c r="E1672">
        <f t="shared" si="28"/>
        <v>1.4661386561799503</v>
      </c>
    </row>
    <row r="1673" spans="4:5">
      <c r="D1673" s="194">
        <v>1.6620488657158603</v>
      </c>
      <c r="E1673">
        <f t="shared" si="28"/>
        <v>1.4628366640722876</v>
      </c>
    </row>
    <row r="1674" spans="4:5">
      <c r="D1674" s="194">
        <v>1.6621309586630559</v>
      </c>
      <c r="E1674">
        <f t="shared" si="28"/>
        <v>1.4620991779395103</v>
      </c>
    </row>
    <row r="1675" spans="4:5">
      <c r="D1675" s="194">
        <v>1.662355967968324</v>
      </c>
      <c r="E1675">
        <f t="shared" si="28"/>
        <v>1.46007782804696</v>
      </c>
    </row>
    <row r="1676" spans="4:5">
      <c r="D1676" s="194">
        <v>1.6623970144419218</v>
      </c>
      <c r="E1676">
        <f t="shared" si="28"/>
        <v>1.4597090964825536</v>
      </c>
    </row>
    <row r="1677" spans="4:5">
      <c r="D1677" s="194">
        <v>1.6625608271865531</v>
      </c>
      <c r="E1677">
        <f t="shared" si="28"/>
        <v>1.4582375410147888</v>
      </c>
    </row>
    <row r="1678" spans="4:5">
      <c r="D1678" s="194">
        <v>1.6627660595545422</v>
      </c>
      <c r="E1678">
        <f t="shared" si="28"/>
        <v>1.4563939521883886</v>
      </c>
    </row>
    <row r="1679" spans="4:5">
      <c r="D1679" s="194">
        <v>1.6630537580194868</v>
      </c>
      <c r="E1679">
        <f t="shared" si="28"/>
        <v>1.4538096714395645</v>
      </c>
    </row>
    <row r="1680" spans="4:5">
      <c r="D1680" s="194">
        <v>1.6632798867740348</v>
      </c>
      <c r="E1680">
        <f t="shared" si="28"/>
        <v>1.4517785343638168</v>
      </c>
    </row>
    <row r="1681" spans="4:5">
      <c r="D1681" s="194">
        <v>1.6633623528709904</v>
      </c>
      <c r="E1681">
        <f t="shared" si="28"/>
        <v>1.4510378269794642</v>
      </c>
    </row>
    <row r="1682" spans="4:5">
      <c r="D1682" s="194">
        <v>1.663444818967946</v>
      </c>
      <c r="E1682">
        <f t="shared" si="28"/>
        <v>1.4502971313063966</v>
      </c>
    </row>
    <row r="1683" spans="4:5">
      <c r="D1683" s="194">
        <v>1.6637955797423274</v>
      </c>
      <c r="E1683">
        <f t="shared" si="28"/>
        <v>1.4471468004315871</v>
      </c>
    </row>
    <row r="1684" spans="4:5">
      <c r="D1684" s="194">
        <v>1.6643959777061355</v>
      </c>
      <c r="E1684">
        <f t="shared" si="28"/>
        <v>1.4417549606850102</v>
      </c>
    </row>
    <row r="1685" spans="4:5">
      <c r="D1685" s="194">
        <v>1.664478816952851</v>
      </c>
      <c r="E1685">
        <f t="shared" si="28"/>
        <v>1.441011092225492</v>
      </c>
    </row>
    <row r="1686" spans="4:5">
      <c r="D1686" s="194">
        <v>1.6645825525861255</v>
      </c>
      <c r="E1686">
        <f t="shared" si="28"/>
        <v>1.4400796050457991</v>
      </c>
    </row>
    <row r="1687" spans="4:5">
      <c r="D1687" s="194">
        <v>1.6663986724679489</v>
      </c>
      <c r="E1687">
        <f t="shared" si="28"/>
        <v>1.4237769167180085</v>
      </c>
    </row>
    <row r="1688" spans="4:5">
      <c r="D1688" s="194">
        <v>1.6666927144788133</v>
      </c>
      <c r="E1688">
        <f t="shared" si="28"/>
        <v>1.4211384467057409</v>
      </c>
    </row>
    <row r="1689" spans="4:5">
      <c r="D1689" s="194">
        <v>1.6674517010906129</v>
      </c>
      <c r="E1689">
        <f t="shared" si="28"/>
        <v>1.4143295714231674</v>
      </c>
    </row>
    <row r="1690" spans="4:5">
      <c r="D1690" s="194">
        <v>1.6675785720090062</v>
      </c>
      <c r="E1690">
        <f t="shared" si="28"/>
        <v>1.4131916493279575</v>
      </c>
    </row>
    <row r="1691" spans="4:5">
      <c r="D1691" s="194">
        <v>1.6676629038547617</v>
      </c>
      <c r="E1691">
        <f t="shared" si="28"/>
        <v>1.412435305371929</v>
      </c>
    </row>
    <row r="1692" spans="4:5">
      <c r="D1692" s="194">
        <v>1.6680229933731425</v>
      </c>
      <c r="E1692">
        <f t="shared" si="28"/>
        <v>1.4092061487160779</v>
      </c>
    </row>
    <row r="1693" spans="4:5">
      <c r="D1693" s="194">
        <v>1.6683629328044844</v>
      </c>
      <c r="E1693">
        <f t="shared" si="28"/>
        <v>1.406158253685458</v>
      </c>
    </row>
    <row r="1694" spans="4:5">
      <c r="D1694" s="194">
        <v>1.6684054718771222</v>
      </c>
      <c r="E1694">
        <f t="shared" si="28"/>
        <v>1.4057768883517046</v>
      </c>
    </row>
    <row r="1695" spans="4:5">
      <c r="D1695" s="194">
        <v>1.6684689073363188</v>
      </c>
      <c r="E1695">
        <f t="shared" si="28"/>
        <v>1.4052082024028449</v>
      </c>
    </row>
    <row r="1696" spans="4:5">
      <c r="D1696" s="194">
        <v>1.6687032453855863</v>
      </c>
      <c r="E1696">
        <f t="shared" si="28"/>
        <v>1.403107585890581</v>
      </c>
    </row>
    <row r="1697" spans="4:5">
      <c r="D1697" s="194">
        <v>1.6690443042662082</v>
      </c>
      <c r="E1697">
        <f t="shared" si="28"/>
        <v>1.4000508281853568</v>
      </c>
    </row>
    <row r="1698" spans="4:5">
      <c r="D1698" s="194">
        <v>1.6691081128751648</v>
      </c>
      <c r="E1698">
        <f t="shared" si="28"/>
        <v>1.3994790090014602</v>
      </c>
    </row>
    <row r="1699" spans="4:5">
      <c r="D1699" s="194">
        <v>1.6691935641702003</v>
      </c>
      <c r="E1699">
        <f t="shared" si="28"/>
        <v>1.3987132740491992</v>
      </c>
    </row>
    <row r="1700" spans="4:5">
      <c r="D1700" s="194">
        <v>1.6698999366658427</v>
      </c>
      <c r="E1700">
        <f t="shared" si="28"/>
        <v>1.392384988833882</v>
      </c>
    </row>
    <row r="1701" spans="4:5">
      <c r="D1701" s="194">
        <v>1.6708469907566723</v>
      </c>
      <c r="E1701">
        <f t="shared" si="28"/>
        <v>1.3839051464668113</v>
      </c>
    </row>
    <row r="1702" spans="4:5">
      <c r="D1702" s="194">
        <v>1.671886212838217</v>
      </c>
      <c r="E1702">
        <f t="shared" si="28"/>
        <v>1.3746067783674505</v>
      </c>
    </row>
    <row r="1703" spans="4:5">
      <c r="D1703" s="194">
        <v>1.6727358748416918</v>
      </c>
      <c r="E1703">
        <f t="shared" si="28"/>
        <v>1.3670101958541696</v>
      </c>
    </row>
    <row r="1704" spans="4:5">
      <c r="D1704" s="194">
        <v>1.6735463561203687</v>
      </c>
      <c r="E1704">
        <f t="shared" si="28"/>
        <v>1.3597690766219863</v>
      </c>
    </row>
    <row r="1705" spans="4:5">
      <c r="D1705" s="194">
        <v>1.673766141328997</v>
      </c>
      <c r="E1705">
        <f t="shared" si="28"/>
        <v>1.3578063515511691</v>
      </c>
    </row>
    <row r="1706" spans="4:5">
      <c r="D1706" s="194">
        <v>1.674162426374096</v>
      </c>
      <c r="E1706">
        <f t="shared" si="28"/>
        <v>1.3542684667149016</v>
      </c>
    </row>
    <row r="1707" spans="4:5">
      <c r="D1707" s="194">
        <v>1.6741844422099348</v>
      </c>
      <c r="E1707">
        <f t="shared" si="28"/>
        <v>1.3540719565690456</v>
      </c>
    </row>
    <row r="1708" spans="4:5">
      <c r="D1708" s="194">
        <v>1.6752688154124371</v>
      </c>
      <c r="E1708">
        <f t="shared" si="28"/>
        <v>1.3443982634421547</v>
      </c>
    </row>
    <row r="1709" spans="4:5">
      <c r="D1709" s="194">
        <v>1.6753800140409112</v>
      </c>
      <c r="E1709">
        <f t="shared" si="28"/>
        <v>1.3434068601246985</v>
      </c>
    </row>
    <row r="1710" spans="4:5">
      <c r="D1710" s="194">
        <v>1.67540202987675</v>
      </c>
      <c r="E1710">
        <f t="shared" si="28"/>
        <v>1.3432105891614872</v>
      </c>
    </row>
    <row r="1711" spans="4:5">
      <c r="D1711" s="194">
        <v>1.6766740974085224</v>
      </c>
      <c r="E1711">
        <f t="shared" si="28"/>
        <v>1.3318779761303092</v>
      </c>
    </row>
    <row r="1712" spans="4:5">
      <c r="D1712" s="194">
        <v>1.6768983604142704</v>
      </c>
      <c r="E1712">
        <f t="shared" si="28"/>
        <v>1.3298817110030341</v>
      </c>
    </row>
    <row r="1713" spans="4:5">
      <c r="D1713" s="194">
        <v>1.6769207493998692</v>
      </c>
      <c r="E1713">
        <f t="shared" si="28"/>
        <v>1.3296824446695779</v>
      </c>
    </row>
    <row r="1714" spans="4:5">
      <c r="D1714" s="194">
        <v>1.6771229965697785</v>
      </c>
      <c r="E1714">
        <f t="shared" si="28"/>
        <v>1.3278826380099233</v>
      </c>
    </row>
    <row r="1715" spans="4:5">
      <c r="D1715" s="194">
        <v>1.6771681476907361</v>
      </c>
      <c r="E1715">
        <f t="shared" si="28"/>
        <v>1.3274808936289293</v>
      </c>
    </row>
    <row r="1716" spans="4:5">
      <c r="D1716" s="194">
        <v>1.6772804657684901</v>
      </c>
      <c r="E1716">
        <f t="shared" si="28"/>
        <v>1.3264816046092964</v>
      </c>
    </row>
    <row r="1717" spans="4:5">
      <c r="D1717" s="194">
        <v>1.6775957773156733</v>
      </c>
      <c r="E1717">
        <f t="shared" si="28"/>
        <v>1.3236769964157415</v>
      </c>
    </row>
    <row r="1718" spans="4:5">
      <c r="D1718" s="194">
        <v>1.6776633174222297</v>
      </c>
      <c r="E1718">
        <f t="shared" si="28"/>
        <v>1.3230763824481715</v>
      </c>
    </row>
    <row r="1719" spans="4:5">
      <c r="D1719" s="194">
        <v>1.6779118351623765</v>
      </c>
      <c r="E1719">
        <f t="shared" si="28"/>
        <v>1.3208668077914489</v>
      </c>
    </row>
    <row r="1720" spans="4:5">
      <c r="D1720" s="194">
        <v>1.6782510282941985</v>
      </c>
      <c r="E1720">
        <f t="shared" si="28"/>
        <v>1.3178521138921899</v>
      </c>
    </row>
    <row r="1721" spans="4:5">
      <c r="D1721" s="194">
        <v>1.6789092644708035</v>
      </c>
      <c r="E1721">
        <f t="shared" si="28"/>
        <v>1.3120054435165811</v>
      </c>
    </row>
    <row r="1722" spans="4:5">
      <c r="D1722" s="194">
        <v>1.6793421181923804</v>
      </c>
      <c r="E1722">
        <f t="shared" si="28"/>
        <v>1.3081633688824994</v>
      </c>
    </row>
    <row r="1723" spans="4:5">
      <c r="D1723" s="194">
        <v>1.6804638063708808</v>
      </c>
      <c r="E1723">
        <f t="shared" si="28"/>
        <v>1.2982173444046134</v>
      </c>
    </row>
    <row r="1724" spans="4:5">
      <c r="D1724" s="194">
        <v>1.6807858346137436</v>
      </c>
      <c r="E1724">
        <f t="shared" si="28"/>
        <v>1.2953647319386448</v>
      </c>
    </row>
    <row r="1725" spans="4:5">
      <c r="D1725" s="194">
        <v>1.6810395764505301</v>
      </c>
      <c r="E1725">
        <f t="shared" si="28"/>
        <v>1.2931179275297182</v>
      </c>
    </row>
    <row r="1726" spans="4:5">
      <c r="D1726" s="194">
        <v>1.6810627117356489</v>
      </c>
      <c r="E1726">
        <f t="shared" si="28"/>
        <v>1.2929131120447475</v>
      </c>
    </row>
    <row r="1727" spans="4:5">
      <c r="D1727" s="194">
        <v>1.6822441038757461</v>
      </c>
      <c r="E1727">
        <f t="shared" si="28"/>
        <v>1.2824634384558642</v>
      </c>
    </row>
    <row r="1728" spans="4:5">
      <c r="D1728" s="194">
        <v>1.6823836618859787</v>
      </c>
      <c r="E1728">
        <f t="shared" si="28"/>
        <v>1.2812302233525357</v>
      </c>
    </row>
    <row r="1729" spans="4:5">
      <c r="D1729" s="194">
        <v>1.6825232198962112</v>
      </c>
      <c r="E1729">
        <f t="shared" si="28"/>
        <v>1.2799972684879437</v>
      </c>
    </row>
    <row r="1730" spans="4:5">
      <c r="D1730" s="194">
        <v>1.683693044393749</v>
      </c>
      <c r="E1730">
        <f t="shared" si="28"/>
        <v>1.2696726470073507</v>
      </c>
    </row>
    <row r="1731" spans="4:5">
      <c r="D1731" s="194">
        <v>1.6839516371774153</v>
      </c>
      <c r="E1731">
        <f t="shared" ref="E1731:E1794" si="29">_xlfn.NORM.DIST(D1731,$B$2,$B$4,FALSE)</f>
        <v>1.2673929342211847</v>
      </c>
    </row>
    <row r="1732" spans="4:5">
      <c r="D1732" s="194">
        <v>1.6844468069089089</v>
      </c>
      <c r="E1732">
        <f t="shared" si="29"/>
        <v>1.2630302622664</v>
      </c>
    </row>
    <row r="1733" spans="4:5">
      <c r="D1733" s="194">
        <v>1.6848248076157688</v>
      </c>
      <c r="E1733">
        <f t="shared" si="29"/>
        <v>1.2597022946657073</v>
      </c>
    </row>
    <row r="1734" spans="4:5">
      <c r="D1734" s="194">
        <v>1.6850143676938387</v>
      </c>
      <c r="E1734">
        <f t="shared" si="29"/>
        <v>1.258034173077996</v>
      </c>
    </row>
    <row r="1735" spans="4:5">
      <c r="D1735" s="194">
        <v>1.6854655057536547</v>
      </c>
      <c r="E1735">
        <f t="shared" si="29"/>
        <v>1.2540663247326493</v>
      </c>
    </row>
    <row r="1736" spans="4:5">
      <c r="D1736" s="194">
        <v>1.6855128957731722</v>
      </c>
      <c r="E1736">
        <f t="shared" si="29"/>
        <v>1.2536496973436475</v>
      </c>
    </row>
    <row r="1737" spans="4:5">
      <c r="D1737" s="194">
        <v>1.6857509653200395</v>
      </c>
      <c r="E1737">
        <f t="shared" si="29"/>
        <v>1.2515572330783979</v>
      </c>
    </row>
    <row r="1738" spans="4:5">
      <c r="D1738" s="194">
        <v>1.6865151760284789</v>
      </c>
      <c r="E1738">
        <f t="shared" si="29"/>
        <v>1.2448462264998346</v>
      </c>
    </row>
    <row r="1739" spans="4:5">
      <c r="D1739" s="194">
        <v>1.6872596097996393</v>
      </c>
      <c r="E1739">
        <f t="shared" si="29"/>
        <v>1.238317676821769</v>
      </c>
    </row>
    <row r="1740" spans="4:5">
      <c r="D1740" s="194">
        <v>1.6878383650773685</v>
      </c>
      <c r="E1740">
        <f t="shared" si="29"/>
        <v>1.233248230510523</v>
      </c>
    </row>
    <row r="1741" spans="4:5">
      <c r="D1741" s="194">
        <v>1.6878626198117672</v>
      </c>
      <c r="E1741">
        <f t="shared" si="29"/>
        <v>1.2330358967859989</v>
      </c>
    </row>
    <row r="1742" spans="4:5">
      <c r="D1742" s="194">
        <v>1.6882742039970253</v>
      </c>
      <c r="E1742">
        <f t="shared" si="29"/>
        <v>1.2294342312302149</v>
      </c>
    </row>
    <row r="1743" spans="4:5">
      <c r="D1743" s="194">
        <v>1.688298458731424</v>
      </c>
      <c r="E1743">
        <f t="shared" si="29"/>
        <v>1.2292220717127009</v>
      </c>
    </row>
    <row r="1744" spans="4:5">
      <c r="D1744" s="194">
        <v>1.6884197324034176</v>
      </c>
      <c r="E1744">
        <f t="shared" si="29"/>
        <v>1.2281614207782678</v>
      </c>
    </row>
    <row r="1745" spans="4:5">
      <c r="D1745" s="194">
        <v>1.6885898886939685</v>
      </c>
      <c r="E1745">
        <f t="shared" si="29"/>
        <v>1.2266736593726077</v>
      </c>
    </row>
    <row r="1746" spans="4:5">
      <c r="D1746" s="194">
        <v>1.6886141434283672</v>
      </c>
      <c r="E1746">
        <f t="shared" si="29"/>
        <v>1.2264616275656015</v>
      </c>
    </row>
    <row r="1747" spans="4:5">
      <c r="D1747" s="194">
        <v>1.6890033386280265</v>
      </c>
      <c r="E1747">
        <f t="shared" si="29"/>
        <v>1.2230606869511953</v>
      </c>
    </row>
    <row r="1748" spans="4:5">
      <c r="D1748" s="194">
        <v>1.6914612760970158</v>
      </c>
      <c r="E1748">
        <f t="shared" si="29"/>
        <v>1.2016429236626269</v>
      </c>
    </row>
    <row r="1749" spans="4:5">
      <c r="D1749" s="194">
        <v>1.6917840506393986</v>
      </c>
      <c r="E1749">
        <f t="shared" si="29"/>
        <v>1.1988383855838136</v>
      </c>
    </row>
    <row r="1750" spans="4:5">
      <c r="D1750" s="194">
        <v>1.6923568355209682</v>
      </c>
      <c r="E1750">
        <f t="shared" si="29"/>
        <v>1.1938662815379193</v>
      </c>
    </row>
    <row r="1751" spans="4:5">
      <c r="D1751" s="194">
        <v>1.6924064644390455</v>
      </c>
      <c r="E1751">
        <f t="shared" si="29"/>
        <v>1.1934357614545392</v>
      </c>
    </row>
    <row r="1752" spans="4:5">
      <c r="D1752" s="194">
        <v>1.6924064644390455</v>
      </c>
      <c r="E1752">
        <f t="shared" si="29"/>
        <v>1.1934357614545392</v>
      </c>
    </row>
    <row r="1753" spans="4:5">
      <c r="D1753" s="194">
        <v>1.6927564789139069</v>
      </c>
      <c r="E1753">
        <f t="shared" si="29"/>
        <v>1.1904007759427759</v>
      </c>
    </row>
    <row r="1754" spans="4:5">
      <c r="D1754" s="194">
        <v>1.6933583694767549</v>
      </c>
      <c r="E1754">
        <f t="shared" si="29"/>
        <v>1.1851871962302079</v>
      </c>
    </row>
    <row r="1755" spans="4:5">
      <c r="D1755" s="194">
        <v>1.6933833705106736</v>
      </c>
      <c r="E1755">
        <f t="shared" si="29"/>
        <v>1.1849707869639698</v>
      </c>
    </row>
    <row r="1756" spans="4:5">
      <c r="D1756" s="194">
        <v>1.6933833705106736</v>
      </c>
      <c r="E1756">
        <f t="shared" si="29"/>
        <v>1.1849707869639698</v>
      </c>
    </row>
    <row r="1757" spans="4:5">
      <c r="D1757" s="194">
        <v>1.6935094951295468</v>
      </c>
      <c r="E1757">
        <f t="shared" si="29"/>
        <v>1.1838792340989388</v>
      </c>
    </row>
    <row r="1758" spans="4:5">
      <c r="D1758" s="194">
        <v>1.6938117464351308</v>
      </c>
      <c r="E1758">
        <f t="shared" si="29"/>
        <v>1.1812646335091705</v>
      </c>
    </row>
    <row r="1759" spans="4:5">
      <c r="D1759" s="194">
        <v>1.6944938641963745</v>
      </c>
      <c r="E1759">
        <f t="shared" si="29"/>
        <v>1.175370578146506</v>
      </c>
    </row>
    <row r="1760" spans="4:5">
      <c r="D1760" s="194">
        <v>1.6949509726523502</v>
      </c>
      <c r="E1760">
        <f t="shared" si="29"/>
        <v>1.1714259288998872</v>
      </c>
    </row>
    <row r="1761" spans="4:5">
      <c r="D1761" s="194">
        <v>1.6953073306731312</v>
      </c>
      <c r="E1761">
        <f t="shared" si="29"/>
        <v>1.168353610528051</v>
      </c>
    </row>
    <row r="1762" spans="4:5">
      <c r="D1762" s="194">
        <v>1.6966905968333776</v>
      </c>
      <c r="E1762">
        <f t="shared" si="29"/>
        <v>1.1564523566379683</v>
      </c>
    </row>
    <row r="1763" spans="4:5">
      <c r="D1763" s="194">
        <v>1.6967163441668163</v>
      </c>
      <c r="E1763">
        <f t="shared" si="29"/>
        <v>1.1562312078291657</v>
      </c>
    </row>
    <row r="1764" spans="4:5">
      <c r="D1764" s="194">
        <v>1.6995522823426654</v>
      </c>
      <c r="E1764">
        <f t="shared" si="29"/>
        <v>1.1319593014787934</v>
      </c>
    </row>
    <row r="1765" spans="4:5">
      <c r="D1765" s="194">
        <v>1.6996052696085826</v>
      </c>
      <c r="E1765">
        <f t="shared" si="29"/>
        <v>1.1315074671567671</v>
      </c>
    </row>
    <row r="1766" spans="4:5">
      <c r="D1766" s="194">
        <v>1.6996313900917812</v>
      </c>
      <c r="E1766">
        <f t="shared" si="29"/>
        <v>1.1312847549028717</v>
      </c>
    </row>
    <row r="1767" spans="4:5">
      <c r="D1767" s="194">
        <v>1.7000000620546416</v>
      </c>
      <c r="E1767">
        <f t="shared" si="29"/>
        <v>1.1281429539090029</v>
      </c>
    </row>
    <row r="1768" spans="4:5">
      <c r="D1768" s="194">
        <v>1.7004228407326991</v>
      </c>
      <c r="E1768">
        <f t="shared" si="29"/>
        <v>1.1245438118605762</v>
      </c>
    </row>
    <row r="1769" spans="4:5">
      <c r="D1769" s="194">
        <v>1.7006347897963678</v>
      </c>
      <c r="E1769">
        <f t="shared" si="29"/>
        <v>1.1227409952517189</v>
      </c>
    </row>
    <row r="1770" spans="4:5">
      <c r="D1770" s="194">
        <v>1.7007941247438794</v>
      </c>
      <c r="E1770">
        <f t="shared" si="29"/>
        <v>1.1213863805658426</v>
      </c>
    </row>
    <row r="1771" spans="4:5">
      <c r="D1771" s="194">
        <v>1.7009799533243495</v>
      </c>
      <c r="E1771">
        <f t="shared" si="29"/>
        <v>1.1198072565547452</v>
      </c>
    </row>
    <row r="1772" spans="4:5">
      <c r="D1772" s="194">
        <v>1.7014859443988826</v>
      </c>
      <c r="E1772">
        <f t="shared" si="29"/>
        <v>1.1155114855934778</v>
      </c>
    </row>
    <row r="1773" spans="4:5">
      <c r="D1773" s="194">
        <v>1.7016993860615912</v>
      </c>
      <c r="E1773">
        <f t="shared" si="29"/>
        <v>1.1137011759182163</v>
      </c>
    </row>
    <row r="1774" spans="4:5">
      <c r="D1774" s="194">
        <v>1.702906898684887</v>
      </c>
      <c r="E1774">
        <f t="shared" si="29"/>
        <v>1.1034796686780197</v>
      </c>
    </row>
    <row r="1775" spans="4:5">
      <c r="D1775" s="194">
        <v>1.7029337654676056</v>
      </c>
      <c r="E1775">
        <f t="shared" si="29"/>
        <v>1.1032526341383937</v>
      </c>
    </row>
    <row r="1776" spans="4:5">
      <c r="D1776" s="194">
        <v>1.7030419788979998</v>
      </c>
      <c r="E1776">
        <f t="shared" si="29"/>
        <v>1.1023383631960384</v>
      </c>
    </row>
    <row r="1777" spans="4:5">
      <c r="D1777" s="194">
        <v>1.7032039258938312</v>
      </c>
      <c r="E1777">
        <f t="shared" si="29"/>
        <v>1.1009706303999889</v>
      </c>
    </row>
    <row r="1778" spans="4:5">
      <c r="D1778" s="194">
        <v>1.7036640195478867</v>
      </c>
      <c r="E1778">
        <f t="shared" si="29"/>
        <v>1.0970883058767216</v>
      </c>
    </row>
    <row r="1779" spans="4:5">
      <c r="D1779" s="194">
        <v>1.7039897792883494</v>
      </c>
      <c r="E1779">
        <f t="shared" si="29"/>
        <v>1.0943425867053949</v>
      </c>
    </row>
    <row r="1780" spans="4:5">
      <c r="D1780" s="194">
        <v>1.7040987390182636</v>
      </c>
      <c r="E1780">
        <f t="shared" si="29"/>
        <v>1.093424774814707</v>
      </c>
    </row>
    <row r="1781" spans="4:5">
      <c r="D1781" s="194">
        <v>1.7052737876124411</v>
      </c>
      <c r="E1781">
        <f t="shared" si="29"/>
        <v>1.083545293439975</v>
      </c>
    </row>
    <row r="1782" spans="4:5">
      <c r="D1782" s="194">
        <v>1.7066533222750877</v>
      </c>
      <c r="E1782">
        <f t="shared" si="29"/>
        <v>1.0719902717555521</v>
      </c>
    </row>
    <row r="1783" spans="4:5">
      <c r="D1783" s="194">
        <v>1.7072373016494566</v>
      </c>
      <c r="E1783">
        <f t="shared" si="29"/>
        <v>1.0671133263051638</v>
      </c>
    </row>
    <row r="1784" spans="4:5">
      <c r="D1784" s="194">
        <v>1.7077675474583884</v>
      </c>
      <c r="E1784">
        <f t="shared" si="29"/>
        <v>1.0626926879690761</v>
      </c>
    </row>
    <row r="1785" spans="4:5">
      <c r="D1785" s="194">
        <v>1.7083004053156401</v>
      </c>
      <c r="E1785">
        <f t="shared" si="29"/>
        <v>1.058257592291753</v>
      </c>
    </row>
    <row r="1786" spans="4:5">
      <c r="D1786" s="194">
        <v>1.7085817602346651</v>
      </c>
      <c r="E1786">
        <f t="shared" si="29"/>
        <v>1.0559187932185492</v>
      </c>
    </row>
    <row r="1787" spans="4:5">
      <c r="D1787" s="194">
        <v>1.7086660920804206</v>
      </c>
      <c r="E1787">
        <f t="shared" si="29"/>
        <v>1.0552181770927511</v>
      </c>
    </row>
    <row r="1788" spans="4:5">
      <c r="D1788" s="194">
        <v>1.7090612576762396</v>
      </c>
      <c r="E1788">
        <f t="shared" si="29"/>
        <v>1.0519376888862861</v>
      </c>
    </row>
    <row r="1789" spans="4:5">
      <c r="D1789" s="194">
        <v>1.7092310408170306</v>
      </c>
      <c r="E1789">
        <f t="shared" si="29"/>
        <v>1.0505294885080965</v>
      </c>
    </row>
    <row r="1790" spans="4:5">
      <c r="D1790" s="194">
        <v>1.7095142614848555</v>
      </c>
      <c r="E1790">
        <f t="shared" si="29"/>
        <v>1.0481821218780381</v>
      </c>
    </row>
    <row r="1791" spans="4:5">
      <c r="D1791" s="194">
        <v>1.7097131503069249</v>
      </c>
      <c r="E1791">
        <f t="shared" si="29"/>
        <v>1.0465349803519093</v>
      </c>
    </row>
    <row r="1792" spans="4:5">
      <c r="D1792" s="194">
        <v>1.7106251283203164</v>
      </c>
      <c r="E1792">
        <f t="shared" si="29"/>
        <v>1.0389957758126847</v>
      </c>
    </row>
    <row r="1793" spans="4:5">
      <c r="D1793" s="194">
        <v>1.7114285197535537</v>
      </c>
      <c r="E1793">
        <f t="shared" si="29"/>
        <v>1.0323728398283829</v>
      </c>
    </row>
    <row r="1794" spans="4:5">
      <c r="D1794" s="194">
        <v>1.7139581019764591</v>
      </c>
      <c r="E1794">
        <f t="shared" si="29"/>
        <v>1.0116357877281581</v>
      </c>
    </row>
    <row r="1795" spans="4:5">
      <c r="D1795" s="194">
        <v>1.7145469322977078</v>
      </c>
      <c r="E1795">
        <f t="shared" ref="E1795:E1858" si="30">_xlfn.NORM.DIST(D1795,$B$2,$B$4,FALSE)</f>
        <v>1.0068344181958997</v>
      </c>
    </row>
    <row r="1796" spans="4:5">
      <c r="D1796" s="194">
        <v>1.7150495650244011</v>
      </c>
      <c r="E1796">
        <f t="shared" si="30"/>
        <v>1.0027437306735003</v>
      </c>
    </row>
    <row r="1797" spans="4:5">
      <c r="D1797" s="194">
        <v>1.7153760710643837</v>
      </c>
      <c r="E1797">
        <f t="shared" si="30"/>
        <v>1.0000903368180805</v>
      </c>
    </row>
    <row r="1798" spans="4:5">
      <c r="D1798" s="194">
        <v>1.7159712449315521</v>
      </c>
      <c r="E1798">
        <f t="shared" si="30"/>
        <v>0.99526149468173419</v>
      </c>
    </row>
    <row r="1799" spans="4:5">
      <c r="D1799" s="194">
        <v>1.7163895458124898</v>
      </c>
      <c r="E1799">
        <f t="shared" si="30"/>
        <v>0.99187383372643312</v>
      </c>
    </row>
    <row r="1800" spans="4:5">
      <c r="D1800" s="194">
        <v>1.7164197709430482</v>
      </c>
      <c r="E1800">
        <f t="shared" si="30"/>
        <v>0.99162924939976904</v>
      </c>
    </row>
    <row r="1801" spans="4:5">
      <c r="D1801" s="194">
        <v>1.7166597062387154</v>
      </c>
      <c r="E1801">
        <f t="shared" si="30"/>
        <v>0.98968862008871883</v>
      </c>
    </row>
    <row r="1802" spans="4:5">
      <c r="D1802" s="194">
        <v>1.7168097124422275</v>
      </c>
      <c r="E1802">
        <f t="shared" si="30"/>
        <v>0.98847620600524233</v>
      </c>
    </row>
    <row r="1803" spans="4:5">
      <c r="D1803" s="194">
        <v>1.7168697895535843</v>
      </c>
      <c r="E1803">
        <f t="shared" si="30"/>
        <v>0.98799082232901125</v>
      </c>
    </row>
    <row r="1804" spans="4:5">
      <c r="D1804" s="194">
        <v>1.7169000146841427</v>
      </c>
      <c r="E1804">
        <f t="shared" si="30"/>
        <v>0.98774666316676962</v>
      </c>
    </row>
    <row r="1805" spans="4:5">
      <c r="D1805" s="194">
        <v>1.7170806191679731</v>
      </c>
      <c r="E1805">
        <f t="shared" si="30"/>
        <v>0.98628829655371331</v>
      </c>
    </row>
    <row r="1806" spans="4:5">
      <c r="D1806" s="194">
        <v>1.7172612236518034</v>
      </c>
      <c r="E1806">
        <f t="shared" si="30"/>
        <v>0.98483089045409866</v>
      </c>
    </row>
    <row r="1807" spans="4:5">
      <c r="D1807" s="194">
        <v>1.7173515258937186</v>
      </c>
      <c r="E1807">
        <f t="shared" si="30"/>
        <v>0.98410254825587906</v>
      </c>
    </row>
    <row r="1808" spans="4:5">
      <c r="D1808" s="194">
        <v>1.7174724264159522</v>
      </c>
      <c r="E1808">
        <f t="shared" si="30"/>
        <v>0.98312778966579195</v>
      </c>
    </row>
    <row r="1809" spans="4:5">
      <c r="D1809" s="194">
        <v>1.7179869999349648</v>
      </c>
      <c r="E1809">
        <f t="shared" si="30"/>
        <v>0.9789838937498575</v>
      </c>
    </row>
    <row r="1810" spans="4:5">
      <c r="D1810" s="194">
        <v>1.7182299204287119</v>
      </c>
      <c r="E1810">
        <f t="shared" si="30"/>
        <v>0.97703037434139395</v>
      </c>
    </row>
    <row r="1811" spans="4:5">
      <c r="D1811" s="194">
        <v>1.7187784505758827</v>
      </c>
      <c r="E1811">
        <f t="shared" si="30"/>
        <v>0.97262568981366893</v>
      </c>
    </row>
    <row r="1812" spans="4:5">
      <c r="D1812" s="194">
        <v>1.7188392739867595</v>
      </c>
      <c r="E1812">
        <f t="shared" si="30"/>
        <v>0.97213783498037187</v>
      </c>
    </row>
    <row r="1813" spans="4:5">
      <c r="D1813" s="194">
        <v>1.7189918922385914</v>
      </c>
      <c r="E1813">
        <f t="shared" si="30"/>
        <v>0.97091419834413695</v>
      </c>
    </row>
    <row r="1814" spans="4:5">
      <c r="D1814" s="194">
        <v>1.7208718207293714</v>
      </c>
      <c r="E1814">
        <f t="shared" si="30"/>
        <v>0.9558995526472962</v>
      </c>
    </row>
    <row r="1815" spans="4:5">
      <c r="D1815" s="194">
        <v>1.7209031653092097</v>
      </c>
      <c r="E1815">
        <f t="shared" si="30"/>
        <v>0.95565012440748109</v>
      </c>
    </row>
    <row r="1816" spans="4:5">
      <c r="D1816" s="194">
        <v>1.7209651081693664</v>
      </c>
      <c r="E1816">
        <f t="shared" si="30"/>
        <v>0.95515729561330998</v>
      </c>
    </row>
    <row r="1817" spans="4:5">
      <c r="D1817" s="194">
        <v>1.721744244868205</v>
      </c>
      <c r="E1817">
        <f t="shared" si="30"/>
        <v>0.94896845624303128</v>
      </c>
    </row>
    <row r="1818" spans="4:5">
      <c r="D1818" s="194">
        <v>1.7218696231875583</v>
      </c>
      <c r="E1818">
        <f t="shared" si="30"/>
        <v>0.94797430768289326</v>
      </c>
    </row>
    <row r="1819" spans="4:5">
      <c r="D1819" s="194">
        <v>1.7224345719241683</v>
      </c>
      <c r="E1819">
        <f t="shared" si="30"/>
        <v>0.94350079401838394</v>
      </c>
    </row>
    <row r="1820" spans="4:5">
      <c r="D1820" s="194">
        <v>1.7226233857027182</v>
      </c>
      <c r="E1820">
        <f t="shared" si="30"/>
        <v>0.94200790590217942</v>
      </c>
    </row>
    <row r="1821" spans="4:5">
      <c r="D1821" s="194">
        <v>1.7228756349404648</v>
      </c>
      <c r="E1821">
        <f t="shared" si="30"/>
        <v>0.94001519829326885</v>
      </c>
    </row>
    <row r="1822" spans="4:5">
      <c r="D1822" s="194">
        <v>1.7230338504386964</v>
      </c>
      <c r="E1822">
        <f t="shared" si="30"/>
        <v>0.93876635425941923</v>
      </c>
    </row>
    <row r="1823" spans="4:5">
      <c r="D1823" s="194">
        <v>1.7240495640853624</v>
      </c>
      <c r="E1823">
        <f t="shared" si="30"/>
        <v>0.93076782832123828</v>
      </c>
    </row>
    <row r="1824" spans="4:5">
      <c r="D1824" s="194">
        <v>1.72465705189461</v>
      </c>
      <c r="E1824">
        <f t="shared" si="30"/>
        <v>0.92599964725316108</v>
      </c>
    </row>
    <row r="1825" spans="4:5">
      <c r="D1825" s="194">
        <v>1.7254929073569656</v>
      </c>
      <c r="E1825">
        <f t="shared" si="30"/>
        <v>0.91945831263196509</v>
      </c>
    </row>
    <row r="1826" spans="4:5">
      <c r="D1826" s="194">
        <v>1.7256220171739187</v>
      </c>
      <c r="E1826">
        <f t="shared" si="30"/>
        <v>0.91844991403876919</v>
      </c>
    </row>
    <row r="1827" spans="4:5">
      <c r="D1827" s="194">
        <v>1.7258809831073449</v>
      </c>
      <c r="E1827">
        <f t="shared" si="30"/>
        <v>0.91642891077294708</v>
      </c>
    </row>
    <row r="1828" spans="4:5">
      <c r="D1828" s="194">
        <v>1.7260750209825346</v>
      </c>
      <c r="E1828">
        <f t="shared" si="30"/>
        <v>0.91491603635219076</v>
      </c>
    </row>
    <row r="1829" spans="4:5">
      <c r="D1829" s="194">
        <v>1.7260750209825346</v>
      </c>
      <c r="E1829">
        <f t="shared" si="30"/>
        <v>0.91491603635219076</v>
      </c>
    </row>
    <row r="1830" spans="4:5">
      <c r="D1830" s="194">
        <v>1.7263671972445991</v>
      </c>
      <c r="E1830">
        <f t="shared" si="30"/>
        <v>0.91264030008457786</v>
      </c>
    </row>
    <row r="1831" spans="4:5">
      <c r="D1831" s="194">
        <v>1.7284661646444874</v>
      </c>
      <c r="E1831">
        <f t="shared" si="30"/>
        <v>0.89637364722475721</v>
      </c>
    </row>
    <row r="1832" spans="4:5">
      <c r="D1832" s="194">
        <v>1.7284990018233657</v>
      </c>
      <c r="E1832">
        <f t="shared" si="30"/>
        <v>0.89612031690079508</v>
      </c>
    </row>
    <row r="1833" spans="4:5">
      <c r="D1833" s="194">
        <v>1.7287975216313498</v>
      </c>
      <c r="E1833">
        <f t="shared" si="30"/>
        <v>0.89381895401997258</v>
      </c>
    </row>
    <row r="1834" spans="4:5">
      <c r="D1834" s="194">
        <v>1.7302662390866317</v>
      </c>
      <c r="E1834">
        <f t="shared" si="30"/>
        <v>0.88253950544928694</v>
      </c>
    </row>
    <row r="1835" spans="4:5">
      <c r="D1835" s="194">
        <v>1.7318222735857489</v>
      </c>
      <c r="E1835">
        <f t="shared" si="30"/>
        <v>0.87066864670336586</v>
      </c>
    </row>
    <row r="1836" spans="4:5">
      <c r="D1836" s="194">
        <v>1.7327446997924199</v>
      </c>
      <c r="E1836">
        <f t="shared" si="30"/>
        <v>0.86367039813484936</v>
      </c>
    </row>
    <row r="1837" spans="4:5">
      <c r="D1837" s="194">
        <v>1.733813773854763</v>
      </c>
      <c r="E1837">
        <f t="shared" si="30"/>
        <v>0.8555960911824958</v>
      </c>
    </row>
    <row r="1838" spans="4:5">
      <c r="D1838" s="194">
        <v>1.734508951857606</v>
      </c>
      <c r="E1838">
        <f t="shared" si="30"/>
        <v>0.85036686192013966</v>
      </c>
    </row>
    <row r="1839" spans="4:5">
      <c r="D1839" s="194">
        <v>1.7345432816355242</v>
      </c>
      <c r="E1839">
        <f t="shared" si="30"/>
        <v>0.85010906285141219</v>
      </c>
    </row>
    <row r="1840" spans="4:5">
      <c r="D1840" s="194">
        <v>1.7346134337904004</v>
      </c>
      <c r="E1840">
        <f t="shared" si="30"/>
        <v>0.84958238346331483</v>
      </c>
    </row>
    <row r="1841" spans="4:5">
      <c r="D1841" s="194">
        <v>1.7352776403631651</v>
      </c>
      <c r="E1841">
        <f t="shared" si="30"/>
        <v>0.84460423217984826</v>
      </c>
    </row>
    <row r="1842" spans="4:5">
      <c r="D1842" s="194">
        <v>1.7356642235145046</v>
      </c>
      <c r="E1842">
        <f t="shared" si="30"/>
        <v>0.84171392895665464</v>
      </c>
    </row>
    <row r="1843" spans="4:5">
      <c r="D1843" s="194">
        <v>1.7363351467829489</v>
      </c>
      <c r="E1843">
        <f t="shared" si="30"/>
        <v>0.83671018439867006</v>
      </c>
    </row>
    <row r="1844" spans="4:5">
      <c r="D1844" s="194">
        <v>1.7372239895112216</v>
      </c>
      <c r="E1844">
        <f t="shared" si="30"/>
        <v>0.83010560945103928</v>
      </c>
    </row>
    <row r="1845" spans="4:5">
      <c r="D1845" s="194">
        <v>1.7374023550964921</v>
      </c>
      <c r="E1845">
        <f t="shared" si="30"/>
        <v>0.82878362313429843</v>
      </c>
    </row>
    <row r="1846" spans="4:5">
      <c r="D1846" s="194">
        <v>1.7376531117351988</v>
      </c>
      <c r="E1846">
        <f t="shared" si="30"/>
        <v>0.82692700619255255</v>
      </c>
    </row>
    <row r="1847" spans="4:5">
      <c r="D1847" s="194">
        <v>1.7379758862775816</v>
      </c>
      <c r="E1847">
        <f t="shared" si="30"/>
        <v>0.82454045188395131</v>
      </c>
    </row>
    <row r="1848" spans="4:5">
      <c r="D1848" s="194">
        <v>1.7380120818042997</v>
      </c>
      <c r="E1848">
        <f t="shared" si="30"/>
        <v>0.82427305775938886</v>
      </c>
    </row>
    <row r="1849" spans="4:5">
      <c r="D1849" s="194">
        <v>1.7382277623655682</v>
      </c>
      <c r="E1849">
        <f t="shared" si="30"/>
        <v>0.82268068676100792</v>
      </c>
    </row>
    <row r="1850" spans="4:5">
      <c r="D1850" s="194">
        <v>1.7383359757959624</v>
      </c>
      <c r="E1850">
        <f t="shared" si="30"/>
        <v>0.82188237079326842</v>
      </c>
    </row>
    <row r="1851" spans="4:5">
      <c r="D1851" s="194">
        <v>1.7387688295175394</v>
      </c>
      <c r="E1851">
        <f t="shared" si="30"/>
        <v>0.81869328656216578</v>
      </c>
    </row>
    <row r="1852" spans="4:5">
      <c r="D1852" s="194">
        <v>1.7395315476269388</v>
      </c>
      <c r="E1852">
        <f t="shared" si="30"/>
        <v>0.81309021855586572</v>
      </c>
    </row>
    <row r="1853" spans="4:5">
      <c r="D1853" s="194">
        <v>1.7407763752262326</v>
      </c>
      <c r="E1853">
        <f t="shared" si="30"/>
        <v>0.80399043134691228</v>
      </c>
    </row>
    <row r="1854" spans="4:5">
      <c r="D1854" s="194">
        <v>1.7412562458175671</v>
      </c>
      <c r="E1854">
        <f t="shared" si="30"/>
        <v>0.80049749944887838</v>
      </c>
    </row>
    <row r="1855" spans="4:5">
      <c r="D1855" s="194">
        <v>1.7416637253554654</v>
      </c>
      <c r="E1855">
        <f t="shared" si="30"/>
        <v>0.79753805802482325</v>
      </c>
    </row>
    <row r="1856" spans="4:5">
      <c r="D1856" s="194">
        <v>1.7423339023243898</v>
      </c>
      <c r="E1856">
        <f t="shared" si="30"/>
        <v>0.79268384640292633</v>
      </c>
    </row>
    <row r="1857" spans="4:5">
      <c r="D1857" s="194">
        <v>1.7429712421144359</v>
      </c>
      <c r="E1857">
        <f t="shared" si="30"/>
        <v>0.7880827001415045</v>
      </c>
    </row>
    <row r="1858" spans="4:5">
      <c r="D1858" s="194">
        <v>1.7430458720664319</v>
      </c>
      <c r="E1858">
        <f t="shared" si="30"/>
        <v>0.78754489714662002</v>
      </c>
    </row>
    <row r="1859" spans="4:5">
      <c r="D1859" s="194">
        <v>1.7433093157969779</v>
      </c>
      <c r="E1859">
        <f t="shared" ref="E1859:E1922" si="31">_xlfn.NORM.DIST(D1859,$B$2,$B$4,FALSE)</f>
        <v>0.78564808626805904</v>
      </c>
    </row>
    <row r="1860" spans="4:5">
      <c r="D1860" s="194">
        <v>1.7438765034321477</v>
      </c>
      <c r="E1860">
        <f t="shared" si="31"/>
        <v>0.78157295672529803</v>
      </c>
    </row>
    <row r="1861" spans="4:5">
      <c r="D1861" s="194">
        <v>1.7444078686903595</v>
      </c>
      <c r="E1861">
        <f t="shared" si="31"/>
        <v>0.77776595461553533</v>
      </c>
    </row>
    <row r="1862" spans="4:5">
      <c r="D1862" s="194">
        <v>1.7462885434806594</v>
      </c>
      <c r="E1862">
        <f t="shared" si="31"/>
        <v>0.76437571023239326</v>
      </c>
    </row>
    <row r="1863" spans="4:5">
      <c r="D1863" s="194">
        <v>1.746598257781443</v>
      </c>
      <c r="E1863">
        <f t="shared" si="31"/>
        <v>0.76218318674617969</v>
      </c>
    </row>
    <row r="1864" spans="4:5">
      <c r="D1864" s="194">
        <v>1.7477692017282607</v>
      </c>
      <c r="E1864">
        <f t="shared" si="31"/>
        <v>0.75392628095775782</v>
      </c>
    </row>
    <row r="1865" spans="4:5">
      <c r="D1865" s="194">
        <v>1.7480841401256839</v>
      </c>
      <c r="E1865">
        <f t="shared" si="31"/>
        <v>0.7517142687908337</v>
      </c>
    </row>
    <row r="1866" spans="4:5">
      <c r="D1866" s="194">
        <v>1.749869288577429</v>
      </c>
      <c r="E1866">
        <f t="shared" si="31"/>
        <v>0.73924668104914404</v>
      </c>
    </row>
    <row r="1867" spans="4:5">
      <c r="D1867" s="194">
        <v>1.7503103515937255</v>
      </c>
      <c r="E1867">
        <f t="shared" si="31"/>
        <v>0.73618484012330576</v>
      </c>
    </row>
    <row r="1868" spans="4:5">
      <c r="D1868" s="194">
        <v>1.7511574015488804</v>
      </c>
      <c r="E1868">
        <f t="shared" si="31"/>
        <v>0.73032538009965098</v>
      </c>
    </row>
    <row r="1869" spans="4:5">
      <c r="D1869" s="194">
        <v>1.751279048370634</v>
      </c>
      <c r="E1869">
        <f t="shared" si="31"/>
        <v>0.72948613199363577</v>
      </c>
    </row>
    <row r="1870" spans="4:5">
      <c r="D1870" s="194">
        <v>1.7520925148473907</v>
      </c>
      <c r="E1870">
        <f t="shared" si="31"/>
        <v>0.72388849326251647</v>
      </c>
    </row>
    <row r="1871" spans="4:5">
      <c r="D1871" s="194">
        <v>1.7522156542681842</v>
      </c>
      <c r="E1871">
        <f t="shared" si="31"/>
        <v>0.7230433474731498</v>
      </c>
    </row>
    <row r="1872" spans="4:5">
      <c r="D1872" s="194">
        <v>1.7526253727046424</v>
      </c>
      <c r="E1872">
        <f t="shared" si="31"/>
        <v>0.72023549472704074</v>
      </c>
    </row>
    <row r="1873" spans="4:5">
      <c r="D1873" s="194">
        <v>1.7539052763813743</v>
      </c>
      <c r="E1873">
        <f t="shared" si="31"/>
        <v>0.71150562779755455</v>
      </c>
    </row>
    <row r="1874" spans="4:5">
      <c r="D1874" s="194">
        <v>1.7539470691544921</v>
      </c>
      <c r="E1874">
        <f t="shared" si="31"/>
        <v>0.71122163258270832</v>
      </c>
    </row>
    <row r="1875" spans="4:5">
      <c r="D1875" s="194">
        <v>1.754155286720561</v>
      </c>
      <c r="E1875">
        <f t="shared" si="31"/>
        <v>0.70980773021687638</v>
      </c>
    </row>
    <row r="1876" spans="4:5">
      <c r="D1876" s="194">
        <v>1.7552015986475453</v>
      </c>
      <c r="E1876">
        <f t="shared" si="31"/>
        <v>0.70272805743564559</v>
      </c>
    </row>
    <row r="1877" spans="4:5">
      <c r="D1877" s="194">
        <v>1.7553277232664186</v>
      </c>
      <c r="E1877">
        <f t="shared" si="31"/>
        <v>0.70187751509869256</v>
      </c>
    </row>
    <row r="1878" spans="4:5">
      <c r="D1878" s="194">
        <v>1.7560464097041404</v>
      </c>
      <c r="E1878">
        <f t="shared" si="31"/>
        <v>0.69704268562973404</v>
      </c>
    </row>
    <row r="1879" spans="4:5">
      <c r="D1879" s="194">
        <v>1.7566837494941865</v>
      </c>
      <c r="E1879">
        <f t="shared" si="31"/>
        <v>0.69277185590833057</v>
      </c>
    </row>
    <row r="1880" spans="4:5">
      <c r="D1880" s="194">
        <v>1.7568971911568951</v>
      </c>
      <c r="E1880">
        <f t="shared" si="31"/>
        <v>0.69134510447462538</v>
      </c>
    </row>
    <row r="1881" spans="4:5">
      <c r="D1881" s="194">
        <v>1.7569830156016906</v>
      </c>
      <c r="E1881">
        <f t="shared" si="31"/>
        <v>0.69077190998225335</v>
      </c>
    </row>
    <row r="1882" spans="4:5">
      <c r="D1882" s="194">
        <v>1.7577128965322117</v>
      </c>
      <c r="E1882">
        <f t="shared" si="31"/>
        <v>0.68590884991595025</v>
      </c>
    </row>
    <row r="1883" spans="4:5">
      <c r="D1883" s="194">
        <v>1.7586211430480034</v>
      </c>
      <c r="E1883">
        <f t="shared" si="31"/>
        <v>0.6798863748199957</v>
      </c>
    </row>
    <row r="1884" spans="4:5">
      <c r="D1884" s="194">
        <v>1.760772724564049</v>
      </c>
      <c r="E1884">
        <f t="shared" si="31"/>
        <v>0.66574828481336779</v>
      </c>
    </row>
    <row r="1885" spans="4:5">
      <c r="D1885" s="194">
        <v>1.7610839314638724</v>
      </c>
      <c r="E1885">
        <f t="shared" si="31"/>
        <v>0.66371837674888945</v>
      </c>
    </row>
    <row r="1886" spans="4:5">
      <c r="D1886" s="194">
        <v>1.7621578564730953</v>
      </c>
      <c r="E1886">
        <f t="shared" si="31"/>
        <v>0.65674276680698318</v>
      </c>
    </row>
    <row r="1887" spans="4:5">
      <c r="D1887" s="194">
        <v>1.7622026344442929</v>
      </c>
      <c r="E1887">
        <f t="shared" si="31"/>
        <v>0.65645290145366597</v>
      </c>
    </row>
    <row r="1888" spans="4:5">
      <c r="D1888" s="194">
        <v>1.7625183191412361</v>
      </c>
      <c r="E1888">
        <f t="shared" si="31"/>
        <v>0.65441159541684812</v>
      </c>
    </row>
    <row r="1889" spans="4:5">
      <c r="D1889" s="194">
        <v>1.7631064031629649</v>
      </c>
      <c r="E1889">
        <f t="shared" si="31"/>
        <v>0.65061937067067477</v>
      </c>
    </row>
    <row r="1890" spans="4:5">
      <c r="D1890" s="194">
        <v>1.7651229044658976</v>
      </c>
      <c r="E1890">
        <f t="shared" si="31"/>
        <v>0.63771998304414701</v>
      </c>
    </row>
    <row r="1891" spans="4:5">
      <c r="D1891" s="194">
        <v>1.7660527936677681</v>
      </c>
      <c r="E1891">
        <f t="shared" si="31"/>
        <v>0.63182589235738995</v>
      </c>
    </row>
    <row r="1892" spans="4:5">
      <c r="D1892" s="194">
        <v>1.7666155035058182</v>
      </c>
      <c r="E1892">
        <f t="shared" si="31"/>
        <v>0.62827585613829173</v>
      </c>
    </row>
    <row r="1893" spans="4:5">
      <c r="D1893" s="194">
        <v>1.7682252715703726</v>
      </c>
      <c r="E1893">
        <f t="shared" si="31"/>
        <v>0.61818974696937168</v>
      </c>
    </row>
    <row r="1894" spans="4:5">
      <c r="D1894" s="194">
        <v>1.7685125968855573</v>
      </c>
      <c r="E1894">
        <f t="shared" si="31"/>
        <v>0.61640035849030939</v>
      </c>
    </row>
    <row r="1895" spans="4:5">
      <c r="D1895" s="194">
        <v>1.7698619064176455</v>
      </c>
      <c r="E1895">
        <f t="shared" si="31"/>
        <v>0.60804130407591639</v>
      </c>
    </row>
    <row r="1896" spans="4:5">
      <c r="D1896" s="194">
        <v>1.7716239195842718</v>
      </c>
      <c r="E1896">
        <f t="shared" si="31"/>
        <v>0.59723517097619749</v>
      </c>
    </row>
    <row r="1897" spans="4:5">
      <c r="D1897" s="194">
        <v>1.7717231774204265</v>
      </c>
      <c r="E1897">
        <f t="shared" si="31"/>
        <v>0.5966301390688894</v>
      </c>
    </row>
    <row r="1898" spans="4:5">
      <c r="D1898" s="194">
        <v>1.7721687182338428</v>
      </c>
      <c r="E1898">
        <f t="shared" si="31"/>
        <v>0.59391918444960889</v>
      </c>
    </row>
    <row r="1899" spans="4:5">
      <c r="D1899" s="194">
        <v>1.7740740209083015</v>
      </c>
      <c r="E1899">
        <f t="shared" si="31"/>
        <v>0.58241595870996266</v>
      </c>
    </row>
    <row r="1900" spans="4:5">
      <c r="D1900" s="194">
        <v>1.7741247692756588</v>
      </c>
      <c r="E1900">
        <f t="shared" si="31"/>
        <v>0.5821115592623245</v>
      </c>
    </row>
    <row r="1901" spans="4:5">
      <c r="D1901" s="194">
        <v>1.7742262660103734</v>
      </c>
      <c r="E1901">
        <f t="shared" si="31"/>
        <v>0.58150307075314611</v>
      </c>
    </row>
    <row r="1902" spans="4:5">
      <c r="D1902" s="194">
        <v>1.7760173848582781</v>
      </c>
      <c r="E1902">
        <f t="shared" si="31"/>
        <v>0.57083316185251309</v>
      </c>
    </row>
    <row r="1903" spans="4:5">
      <c r="D1903" s="194">
        <v>1.7774741615212406</v>
      </c>
      <c r="E1903">
        <f t="shared" si="31"/>
        <v>0.5622501192341276</v>
      </c>
    </row>
    <row r="1904" spans="4:5">
      <c r="D1904" s="194">
        <v>1.7779995563832927</v>
      </c>
      <c r="E1904">
        <f t="shared" si="31"/>
        <v>0.55917555219660664</v>
      </c>
    </row>
    <row r="1905" spans="4:5">
      <c r="D1905" s="194">
        <v>1.7792205023979477</v>
      </c>
      <c r="E1905">
        <f t="shared" si="31"/>
        <v>0.55207360037270947</v>
      </c>
    </row>
    <row r="1906" spans="4:5">
      <c r="D1906" s="194">
        <v>1.7797548528542393</v>
      </c>
      <c r="E1906">
        <f t="shared" si="31"/>
        <v>0.54898429647181357</v>
      </c>
    </row>
    <row r="1907" spans="4:5">
      <c r="D1907" s="194">
        <v>1.7809437079895361</v>
      </c>
      <c r="E1907">
        <f t="shared" si="31"/>
        <v>0.54215228216313904</v>
      </c>
    </row>
    <row r="1908" spans="4:5">
      <c r="D1908" s="194">
        <v>1.7816526925334983</v>
      </c>
      <c r="E1908">
        <f t="shared" si="31"/>
        <v>0.53810504607106913</v>
      </c>
    </row>
    <row r="1909" spans="4:5">
      <c r="D1909" s="194">
        <v>1.7818168784278896</v>
      </c>
      <c r="E1909">
        <f t="shared" si="31"/>
        <v>0.53717067851756262</v>
      </c>
    </row>
    <row r="1910" spans="4:5">
      <c r="D1910" s="194">
        <v>1.7820370367862779</v>
      </c>
      <c r="E1910">
        <f t="shared" si="31"/>
        <v>0.53591948058450234</v>
      </c>
    </row>
    <row r="1911" spans="4:5">
      <c r="D1911" s="194">
        <v>1.7823116750096233</v>
      </c>
      <c r="E1911">
        <f t="shared" si="31"/>
        <v>0.53436140067090465</v>
      </c>
    </row>
    <row r="1912" spans="4:5">
      <c r="D1912" s="194">
        <v>1.7823116750096233</v>
      </c>
      <c r="E1912">
        <f t="shared" si="31"/>
        <v>0.53436140067090465</v>
      </c>
    </row>
    <row r="1913" spans="4:5">
      <c r="D1913" s="194">
        <v>1.7875827885191029</v>
      </c>
      <c r="E1913">
        <f t="shared" si="31"/>
        <v>0.50504562600581993</v>
      </c>
    </row>
    <row r="1914" spans="4:5">
      <c r="D1914" s="194">
        <v>1.7884022253920193</v>
      </c>
      <c r="E1914">
        <f t="shared" si="31"/>
        <v>0.50058860586174092</v>
      </c>
    </row>
    <row r="1915" spans="4:5">
      <c r="D1915" s="194">
        <v>1.7889925483123079</v>
      </c>
      <c r="E1915">
        <f t="shared" si="31"/>
        <v>0.49739447509214141</v>
      </c>
    </row>
    <row r="1916" spans="4:5">
      <c r="D1916" s="194">
        <v>1.790664259237019</v>
      </c>
      <c r="E1916">
        <f t="shared" si="31"/>
        <v>0.48842500927497273</v>
      </c>
    </row>
    <row r="1917" spans="4:5">
      <c r="D1917" s="194">
        <v>1.790965764243083</v>
      </c>
      <c r="E1917">
        <f t="shared" si="31"/>
        <v>0.48681922744951012</v>
      </c>
    </row>
    <row r="1918" spans="4:5">
      <c r="D1918" s="194">
        <v>1.7938509581872495</v>
      </c>
      <c r="E1918">
        <f t="shared" si="31"/>
        <v>0.47163698359364409</v>
      </c>
    </row>
    <row r="1919" spans="4:5">
      <c r="D1919" s="194">
        <v>1.7946659172630461</v>
      </c>
      <c r="E1919">
        <f t="shared" si="31"/>
        <v>0.46740880988268918</v>
      </c>
    </row>
    <row r="1920" spans="4:5">
      <c r="D1920" s="194">
        <v>1.7949808556604694</v>
      </c>
      <c r="E1920">
        <f t="shared" si="31"/>
        <v>0.46578194152178887</v>
      </c>
    </row>
    <row r="1921" spans="4:5">
      <c r="D1921" s="194">
        <v>1.7974779738542566</v>
      </c>
      <c r="E1921">
        <f t="shared" si="31"/>
        <v>0.45302242806131188</v>
      </c>
    </row>
    <row r="1922" spans="4:5">
      <c r="D1922" s="194">
        <v>1.7981287470356619</v>
      </c>
      <c r="E1922">
        <f t="shared" si="31"/>
        <v>0.44973787869575216</v>
      </c>
    </row>
    <row r="1923" spans="4:5">
      <c r="D1923" s="194">
        <v>1.7985877212404375</v>
      </c>
      <c r="E1923">
        <f t="shared" ref="E1923:E1986" si="32">_xlfn.NORM.DIST(D1923,$B$2,$B$4,FALSE)</f>
        <v>0.44743146718722476</v>
      </c>
    </row>
    <row r="1924" spans="4:5">
      <c r="D1924" s="194">
        <v>1.7992467037165625</v>
      </c>
      <c r="E1924">
        <f t="shared" si="32"/>
        <v>0.44413457818740121</v>
      </c>
    </row>
    <row r="1925" spans="4:5">
      <c r="D1925" s="194">
        <v>1.8026886371026194</v>
      </c>
      <c r="E1925">
        <f t="shared" si="32"/>
        <v>0.42719336955733805</v>
      </c>
    </row>
    <row r="1926" spans="4:5">
      <c r="D1926" s="194">
        <v>1.8035871817246516</v>
      </c>
      <c r="E1926">
        <f t="shared" si="32"/>
        <v>0.4228474984891018</v>
      </c>
    </row>
    <row r="1927" spans="4:5">
      <c r="D1927" s="194">
        <v>1.8048469353143446</v>
      </c>
      <c r="E1927">
        <f t="shared" si="32"/>
        <v>0.41680791718550658</v>
      </c>
    </row>
    <row r="1928" spans="4:5">
      <c r="D1928" s="194">
        <v>1.8049872396240971</v>
      </c>
      <c r="E1928">
        <f t="shared" si="32"/>
        <v>0.416139106422594</v>
      </c>
    </row>
    <row r="1929" spans="4:5">
      <c r="D1929" s="194">
        <v>1.8088844157173298</v>
      </c>
      <c r="E1929">
        <f t="shared" si="32"/>
        <v>0.39786840574203347</v>
      </c>
    </row>
    <row r="1930" spans="4:5">
      <c r="D1930" s="194">
        <v>1.809032183022282</v>
      </c>
      <c r="E1930">
        <f t="shared" si="32"/>
        <v>0.39718724902429664</v>
      </c>
    </row>
    <row r="1931" spans="4:5">
      <c r="D1931" s="194">
        <v>1.8146040552383056</v>
      </c>
      <c r="E1931">
        <f t="shared" si="32"/>
        <v>0.3721160611392863</v>
      </c>
    </row>
    <row r="1932" spans="4:5">
      <c r="D1932" s="194">
        <v>1.8147622707365372</v>
      </c>
      <c r="E1932">
        <f t="shared" si="32"/>
        <v>0.37142149775543709</v>
      </c>
    </row>
    <row r="1933" spans="4:5">
      <c r="D1933" s="194">
        <v>1.8165175672074838</v>
      </c>
      <c r="E1933">
        <f t="shared" si="32"/>
        <v>0.3637795237912983</v>
      </c>
    </row>
    <row r="1934" spans="4:5">
      <c r="D1934" s="194">
        <v>1.8166787679037952</v>
      </c>
      <c r="E1934">
        <f t="shared" si="32"/>
        <v>0.36308355997046848</v>
      </c>
    </row>
    <row r="1935" spans="4:5">
      <c r="D1935" s="194">
        <v>1.8166787679037952</v>
      </c>
      <c r="E1935">
        <f t="shared" si="32"/>
        <v>0.36308355997046848</v>
      </c>
    </row>
    <row r="1936" spans="4:5">
      <c r="D1936" s="194">
        <v>1.8170832622436137</v>
      </c>
      <c r="E1936">
        <f t="shared" si="32"/>
        <v>0.36134152798076724</v>
      </c>
    </row>
    <row r="1937" spans="4:5">
      <c r="D1937" s="194">
        <v>1.8172459555389651</v>
      </c>
      <c r="E1937">
        <f t="shared" si="32"/>
        <v>0.36064259966427242</v>
      </c>
    </row>
    <row r="1938" spans="4:5">
      <c r="D1938" s="194">
        <v>1.8174086488343164</v>
      </c>
      <c r="E1938">
        <f t="shared" si="32"/>
        <v>0.35994466951272269</v>
      </c>
    </row>
    <row r="1939" spans="4:5">
      <c r="D1939" s="194">
        <v>1.8180638998128416</v>
      </c>
      <c r="E1939">
        <f t="shared" si="32"/>
        <v>0.35714383402910072</v>
      </c>
    </row>
    <row r="1940" spans="4:5">
      <c r="D1940" s="194">
        <v>1.8181459927600372</v>
      </c>
      <c r="E1940">
        <f t="shared" si="32"/>
        <v>0.35679407092816362</v>
      </c>
    </row>
    <row r="1941" spans="4:5">
      <c r="D1941" s="194">
        <v>1.8182280857072328</v>
      </c>
      <c r="E1941">
        <f t="shared" si="32"/>
        <v>0.35644456117187623</v>
      </c>
    </row>
    <row r="1942" spans="4:5">
      <c r="D1942" s="194">
        <v>1.8194714207074867</v>
      </c>
      <c r="E1942">
        <f t="shared" si="32"/>
        <v>0.35118200071606226</v>
      </c>
    </row>
    <row r="1943" spans="4:5">
      <c r="D1943" s="194">
        <v>1.8210729794773215</v>
      </c>
      <c r="E1943">
        <f t="shared" si="32"/>
        <v>0.34448841367244376</v>
      </c>
    </row>
    <row r="1944" spans="4:5">
      <c r="D1944" s="194">
        <v>1.8225327413383638</v>
      </c>
      <c r="E1944">
        <f t="shared" si="32"/>
        <v>0.33847057478865367</v>
      </c>
    </row>
    <row r="1945" spans="4:5">
      <c r="D1945" s="194">
        <v>1.8259791525215405</v>
      </c>
      <c r="E1945">
        <f t="shared" si="32"/>
        <v>0.32457469644173842</v>
      </c>
    </row>
    <row r="1946" spans="4:5">
      <c r="D1946" s="194">
        <v>1.8262508055468061</v>
      </c>
      <c r="E1946">
        <f t="shared" si="32"/>
        <v>0.32349789758018599</v>
      </c>
    </row>
    <row r="1947" spans="4:5">
      <c r="D1947" s="194">
        <v>1.8270702424197225</v>
      </c>
      <c r="E1947">
        <f t="shared" si="32"/>
        <v>0.32026602818739108</v>
      </c>
    </row>
    <row r="1948" spans="4:5">
      <c r="D1948" s="194">
        <v>1.8278971422878385</v>
      </c>
      <c r="E1948">
        <f t="shared" si="32"/>
        <v>0.31702944134944055</v>
      </c>
    </row>
    <row r="1949" spans="4:5">
      <c r="D1949" s="194">
        <v>1.8297658762858191</v>
      </c>
      <c r="E1949">
        <f t="shared" si="32"/>
        <v>0.30980599006314224</v>
      </c>
    </row>
    <row r="1950" spans="4:5">
      <c r="D1950" s="194">
        <v>1.8319704450677818</v>
      </c>
      <c r="E1950">
        <f t="shared" si="32"/>
        <v>0.30144545667196437</v>
      </c>
    </row>
    <row r="1951" spans="4:5">
      <c r="D1951" s="194">
        <v>1.8329480974389298</v>
      </c>
      <c r="E1951">
        <f t="shared" si="32"/>
        <v>0.29779321882717197</v>
      </c>
    </row>
    <row r="1952" spans="4:5">
      <c r="D1952" s="194">
        <v>1.8339361980033573</v>
      </c>
      <c r="E1952">
        <f t="shared" si="32"/>
        <v>0.29413630250637324</v>
      </c>
    </row>
    <row r="1953" spans="4:5">
      <c r="D1953" s="194">
        <v>1.8362586821094737</v>
      </c>
      <c r="E1953">
        <f t="shared" si="32"/>
        <v>0.2856759593392566</v>
      </c>
    </row>
    <row r="1954" spans="4:5">
      <c r="D1954" s="194">
        <v>1.8371855861132644</v>
      </c>
      <c r="E1954">
        <f t="shared" si="32"/>
        <v>0.28235198276893447</v>
      </c>
    </row>
    <row r="1955" spans="4:5">
      <c r="D1955" s="194">
        <v>1.8380184563775401</v>
      </c>
      <c r="E1955">
        <f t="shared" si="32"/>
        <v>0.27939062169609558</v>
      </c>
    </row>
    <row r="1956" spans="4:5">
      <c r="D1956" s="194">
        <v>1.838754307704221</v>
      </c>
      <c r="E1956">
        <f t="shared" si="32"/>
        <v>0.27679414387904822</v>
      </c>
    </row>
    <row r="1957" spans="4:5">
      <c r="D1957" s="194">
        <v>1.8401409322123072</v>
      </c>
      <c r="E1957">
        <f t="shared" si="32"/>
        <v>0.27195192743965024</v>
      </c>
    </row>
    <row r="1958" spans="4:5">
      <c r="D1958" s="194">
        <v>1.8403573590730957</v>
      </c>
      <c r="E1958">
        <f t="shared" si="32"/>
        <v>0.27120207930585599</v>
      </c>
    </row>
    <row r="1959" spans="4:5">
      <c r="D1959" s="194">
        <v>1.8412230665162497</v>
      </c>
      <c r="E1959">
        <f t="shared" si="32"/>
        <v>0.26821864051493416</v>
      </c>
    </row>
    <row r="1960" spans="4:5">
      <c r="D1960" s="194">
        <v>1.8417708503639005</v>
      </c>
      <c r="E1960">
        <f t="shared" si="32"/>
        <v>0.26634399225437755</v>
      </c>
    </row>
    <row r="1961" spans="4:5">
      <c r="D1961" s="194">
        <v>1.8424320717385854</v>
      </c>
      <c r="E1961">
        <f t="shared" si="32"/>
        <v>0.26409465889293038</v>
      </c>
    </row>
    <row r="1962" spans="4:5">
      <c r="D1962" s="194">
        <v>1.844450065640558</v>
      </c>
      <c r="E1962">
        <f t="shared" si="32"/>
        <v>0.25732082447595284</v>
      </c>
    </row>
    <row r="1963" spans="4:5">
      <c r="D1963" s="194">
        <v>1.8452500987259555</v>
      </c>
      <c r="E1963">
        <f t="shared" si="32"/>
        <v>0.25467302551155441</v>
      </c>
    </row>
    <row r="1964" spans="4:5">
      <c r="D1964" s="194">
        <v>1.8475800458272715</v>
      </c>
      <c r="E1964">
        <f t="shared" si="32"/>
        <v>0.24708255185677816</v>
      </c>
    </row>
    <row r="1965" spans="4:5">
      <c r="D1965" s="194">
        <v>1.8482920155693137</v>
      </c>
      <c r="E1965">
        <f t="shared" si="32"/>
        <v>0.24479870564244402</v>
      </c>
    </row>
    <row r="1966" spans="4:5">
      <c r="D1966" s="194">
        <v>1.8502264239250508</v>
      </c>
      <c r="E1966">
        <f t="shared" si="32"/>
        <v>0.23867688729354017</v>
      </c>
    </row>
    <row r="1967" spans="4:5">
      <c r="D1967" s="194">
        <v>1.8509637678507715</v>
      </c>
      <c r="E1967">
        <f t="shared" si="32"/>
        <v>0.23637528028795277</v>
      </c>
    </row>
    <row r="1968" spans="4:5">
      <c r="D1968" s="194">
        <v>1.8512115392913984</v>
      </c>
      <c r="E1968">
        <f t="shared" si="32"/>
        <v>0.23560579105130319</v>
      </c>
    </row>
    <row r="1969" spans="4:5">
      <c r="D1969" s="194">
        <v>1.8539892661046906</v>
      </c>
      <c r="E1969">
        <f t="shared" si="32"/>
        <v>0.22711330370025243</v>
      </c>
    </row>
    <row r="1970" spans="4:5">
      <c r="D1970" s="194">
        <v>1.862555291994795</v>
      </c>
      <c r="E1970">
        <f t="shared" si="32"/>
        <v>0.20243822030030431</v>
      </c>
    </row>
    <row r="1971" spans="4:5">
      <c r="D1971" s="194">
        <v>1.8648986724874703</v>
      </c>
      <c r="E1971">
        <f t="shared" si="32"/>
        <v>0.19607476996246179</v>
      </c>
    </row>
    <row r="1972" spans="4:5">
      <c r="D1972" s="194">
        <v>1.8656449720074306</v>
      </c>
      <c r="E1972">
        <f t="shared" si="32"/>
        <v>0.19408218478453484</v>
      </c>
    </row>
    <row r="1973" spans="4:5">
      <c r="D1973" s="194">
        <v>1.8693436324283539</v>
      </c>
      <c r="E1973">
        <f t="shared" si="32"/>
        <v>0.18444551498649725</v>
      </c>
    </row>
    <row r="1974" spans="4:5">
      <c r="D1974" s="194">
        <v>1.8698182789230486</v>
      </c>
      <c r="E1974">
        <f t="shared" si="32"/>
        <v>0.18323726301777249</v>
      </c>
    </row>
    <row r="1975" spans="4:5">
      <c r="D1975" s="194">
        <v>1.8780633960195701</v>
      </c>
      <c r="E1975">
        <f t="shared" si="32"/>
        <v>0.1632494941425498</v>
      </c>
    </row>
    <row r="1976" spans="4:5">
      <c r="D1976" s="194">
        <v>1.8789589554435224</v>
      </c>
      <c r="E1976">
        <f t="shared" si="32"/>
        <v>0.16118974445169809</v>
      </c>
    </row>
    <row r="1977" spans="4:5">
      <c r="D1977" s="194">
        <v>1.8804187173045648</v>
      </c>
      <c r="E1977">
        <f t="shared" si="32"/>
        <v>0.15787783174969866</v>
      </c>
    </row>
    <row r="1978" spans="4:5">
      <c r="D1978" s="194">
        <v>1.8840099105946138</v>
      </c>
      <c r="E1978">
        <f t="shared" si="32"/>
        <v>0.14996634906926179</v>
      </c>
    </row>
    <row r="1979" spans="4:5">
      <c r="D1979" s="194">
        <v>1.8857801330559596</v>
      </c>
      <c r="E1979">
        <f t="shared" si="32"/>
        <v>0.14618788702034588</v>
      </c>
    </row>
    <row r="1980" spans="4:5">
      <c r="D1980" s="194">
        <v>1.8857801330559596</v>
      </c>
      <c r="E1980">
        <f t="shared" si="32"/>
        <v>0.14618788702034588</v>
      </c>
    </row>
    <row r="1981" spans="4:5">
      <c r="D1981" s="194">
        <v>1.8857801330559596</v>
      </c>
      <c r="E1981">
        <f t="shared" si="32"/>
        <v>0.14618788702034588</v>
      </c>
    </row>
    <row r="1982" spans="4:5">
      <c r="D1982" s="194">
        <v>1.8898758248215017</v>
      </c>
      <c r="E1982">
        <f t="shared" si="32"/>
        <v>0.13774527833498679</v>
      </c>
    </row>
    <row r="1983" spans="4:5">
      <c r="D1983" s="194">
        <v>1.8924580211605644</v>
      </c>
      <c r="E1983">
        <f t="shared" si="32"/>
        <v>0.13263245330163365</v>
      </c>
    </row>
    <row r="1984" spans="4:5">
      <c r="D1984" s="194">
        <v>1.8937834491080139</v>
      </c>
      <c r="E1984">
        <f t="shared" si="32"/>
        <v>0.13006971645775936</v>
      </c>
    </row>
    <row r="1985" spans="4:5">
      <c r="D1985" s="194">
        <v>1.9057212562292989</v>
      </c>
      <c r="E1985">
        <f t="shared" si="32"/>
        <v>0.10878772463080631</v>
      </c>
    </row>
    <row r="1986" spans="4:5">
      <c r="D1986" s="194">
        <v>1.9067989127361216</v>
      </c>
      <c r="E1986">
        <f t="shared" si="32"/>
        <v>0.10701927147388141</v>
      </c>
    </row>
    <row r="1987" spans="4:5">
      <c r="D1987" s="194">
        <v>1.9087213802995393</v>
      </c>
      <c r="E1987">
        <f t="shared" ref="E1987:E2001" si="33">_xlfn.NORM.DIST(D1987,$B$2,$B$4,FALSE)</f>
        <v>0.10392442324174957</v>
      </c>
    </row>
    <row r="1988" spans="4:5">
      <c r="D1988" s="194">
        <v>1.9183217773243086</v>
      </c>
      <c r="E1988">
        <f t="shared" si="33"/>
        <v>8.9574221257763348E-2</v>
      </c>
    </row>
    <row r="1989" spans="4:5">
      <c r="D1989" s="194">
        <v>1.9193009222944966</v>
      </c>
      <c r="E1989">
        <f t="shared" si="33"/>
        <v>8.8209962538414496E-2</v>
      </c>
    </row>
    <row r="1990" spans="4:5">
      <c r="D1990" s="194">
        <v>1.9319701029453427</v>
      </c>
      <c r="E1990">
        <f t="shared" si="33"/>
        <v>7.2090778014175808E-2</v>
      </c>
    </row>
    <row r="1991" spans="4:5">
      <c r="D1991" s="194">
        <v>1.933600021096936</v>
      </c>
      <c r="E1991">
        <f t="shared" si="33"/>
        <v>7.0212913181136413E-2</v>
      </c>
    </row>
    <row r="1992" spans="4:5">
      <c r="D1992" s="194">
        <v>1.9453557311353507</v>
      </c>
      <c r="E1992">
        <f t="shared" si="33"/>
        <v>5.7872728683278828E-2</v>
      </c>
    </row>
    <row r="1993" spans="4:5">
      <c r="D1993" s="194">
        <v>1.9500245809322223</v>
      </c>
      <c r="E1993">
        <f t="shared" si="33"/>
        <v>5.3520138288161018E-2</v>
      </c>
    </row>
    <row r="1994" spans="4:5">
      <c r="D1994" s="194">
        <v>1.9937517624057364</v>
      </c>
      <c r="E1994">
        <f t="shared" si="33"/>
        <v>2.4741481590884344E-2</v>
      </c>
    </row>
    <row r="1995" spans="4:5">
      <c r="D1995" s="194">
        <v>1.9998893296578899</v>
      </c>
      <c r="E1995">
        <f t="shared" si="33"/>
        <v>2.2076214182966358E-2</v>
      </c>
    </row>
    <row r="1996" spans="4:5">
      <c r="D1996" s="194">
        <v>2.0025401855527889</v>
      </c>
      <c r="E1996">
        <f t="shared" si="33"/>
        <v>2.1006655568257166E-2</v>
      </c>
    </row>
    <row r="1997" spans="4:5">
      <c r="D1997" s="194">
        <v>2.0183259129989892</v>
      </c>
      <c r="E1997">
        <f t="shared" si="33"/>
        <v>1.5544468148053088E-2</v>
      </c>
    </row>
    <row r="1998" spans="4:5">
      <c r="D1998" s="194">
        <v>2.0411089447443374</v>
      </c>
      <c r="E1998">
        <f t="shared" si="33"/>
        <v>9.9023711313841224E-3</v>
      </c>
    </row>
    <row r="1999" spans="4:5">
      <c r="D1999" s="194">
        <v>2.0440702612395398</v>
      </c>
      <c r="E1999">
        <f t="shared" si="33"/>
        <v>9.3254517283041689E-3</v>
      </c>
    </row>
    <row r="2000" spans="4:5">
      <c r="D2000" s="194">
        <v>2.0722982942825183</v>
      </c>
      <c r="E2000">
        <f t="shared" si="33"/>
        <v>5.1769274120021134E-3</v>
      </c>
    </row>
    <row r="2001" spans="4:5">
      <c r="D2001" s="194">
        <v>2.092645404394716</v>
      </c>
      <c r="E2001">
        <f t="shared" si="33"/>
        <v>3.3255648031659656E-3</v>
      </c>
    </row>
  </sheetData>
  <sortState xmlns:xlrd2="http://schemas.microsoft.com/office/spreadsheetml/2017/richdata2" ref="D2:D2001">
    <sortCondition ref="D1"/>
  </sortState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A7F6-BC5E-E14A-A054-52CBB3E5F8C8}">
  <sheetPr>
    <tabColor theme="5"/>
  </sheetPr>
  <dimension ref="A1:BW213"/>
  <sheetViews>
    <sheetView zoomScale="117" workbookViewId="0">
      <pane ySplit="4" topLeftCell="A145" activePane="bottomLeft" state="frozen"/>
      <selection pane="bottomLeft" activeCell="X135" sqref="X135"/>
      <selection activeCell="J24" sqref="J24"/>
    </sheetView>
  </sheetViews>
  <sheetFormatPr defaultColWidth="10.85546875" defaultRowHeight="12.75"/>
  <cols>
    <col min="1" max="1" width="10.85546875" style="114"/>
    <col min="2" max="2" width="10.85546875" style="129" customWidth="1"/>
    <col min="3" max="3" width="29.42578125" style="114" customWidth="1"/>
    <col min="4" max="4" width="12.5703125" style="114" bestFit="1" customWidth="1"/>
    <col min="5" max="64" width="10.85546875" style="129" customWidth="1"/>
    <col min="65" max="65" width="1.85546875" style="114" customWidth="1"/>
    <col min="66" max="66" width="10.85546875" style="114"/>
    <col min="76" max="16384" width="10.85546875" style="114"/>
  </cols>
  <sheetData>
    <row r="1" spans="1:66">
      <c r="B1" s="114"/>
      <c r="C1" s="114" t="s">
        <v>205</v>
      </c>
      <c r="D1" s="120" t="s">
        <v>206</v>
      </c>
      <c r="E1" s="119">
        <v>2021</v>
      </c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4">
        <f>E1+1</f>
        <v>2022</v>
      </c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9">
        <f>Q1+1</f>
        <v>2023</v>
      </c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4">
        <f>AC1+1</f>
        <v>2024</v>
      </c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9">
        <f>AO1+1</f>
        <v>2025</v>
      </c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</row>
    <row r="2" spans="1:66">
      <c r="B2" s="114"/>
      <c r="C2" s="141">
        <f>SUM(E4:AN4)</f>
        <v>-6160771.7490000017</v>
      </c>
      <c r="D2" s="120" t="s">
        <v>207</v>
      </c>
      <c r="E2" s="120">
        <v>1</v>
      </c>
      <c r="F2" s="120">
        <f>E2+1</f>
        <v>2</v>
      </c>
      <c r="G2" s="120">
        <f>F2+1</f>
        <v>3</v>
      </c>
      <c r="H2" s="120">
        <f t="shared" ref="H2:AN2" si="0">G2+1</f>
        <v>4</v>
      </c>
      <c r="I2" s="120">
        <f t="shared" si="0"/>
        <v>5</v>
      </c>
      <c r="J2" s="120">
        <f t="shared" si="0"/>
        <v>6</v>
      </c>
      <c r="K2" s="120">
        <f t="shared" si="0"/>
        <v>7</v>
      </c>
      <c r="L2" s="120">
        <f t="shared" si="0"/>
        <v>8</v>
      </c>
      <c r="M2" s="120">
        <f t="shared" si="0"/>
        <v>9</v>
      </c>
      <c r="N2" s="120">
        <f t="shared" si="0"/>
        <v>10</v>
      </c>
      <c r="O2" s="120">
        <f t="shared" si="0"/>
        <v>11</v>
      </c>
      <c r="P2" s="120">
        <f t="shared" si="0"/>
        <v>12</v>
      </c>
      <c r="Q2" s="120">
        <f t="shared" si="0"/>
        <v>13</v>
      </c>
      <c r="R2" s="120">
        <f t="shared" si="0"/>
        <v>14</v>
      </c>
      <c r="S2" s="120">
        <f t="shared" si="0"/>
        <v>15</v>
      </c>
      <c r="T2" s="120">
        <f t="shared" si="0"/>
        <v>16</v>
      </c>
      <c r="U2" s="120">
        <f t="shared" si="0"/>
        <v>17</v>
      </c>
      <c r="V2" s="120">
        <f t="shared" si="0"/>
        <v>18</v>
      </c>
      <c r="W2" s="120">
        <f t="shared" si="0"/>
        <v>19</v>
      </c>
      <c r="X2" s="120">
        <f t="shared" si="0"/>
        <v>20</v>
      </c>
      <c r="Y2" s="120">
        <f t="shared" si="0"/>
        <v>21</v>
      </c>
      <c r="Z2" s="120">
        <f t="shared" si="0"/>
        <v>22</v>
      </c>
      <c r="AA2" s="120">
        <f t="shared" si="0"/>
        <v>23</v>
      </c>
      <c r="AB2" s="120">
        <f t="shared" si="0"/>
        <v>24</v>
      </c>
      <c r="AC2" s="120">
        <f t="shared" si="0"/>
        <v>25</v>
      </c>
      <c r="AD2" s="120">
        <f t="shared" si="0"/>
        <v>26</v>
      </c>
      <c r="AE2" s="120">
        <f t="shared" si="0"/>
        <v>27</v>
      </c>
      <c r="AF2" s="120">
        <f t="shared" si="0"/>
        <v>28</v>
      </c>
      <c r="AG2" s="120">
        <f t="shared" si="0"/>
        <v>29</v>
      </c>
      <c r="AH2" s="120">
        <f t="shared" si="0"/>
        <v>30</v>
      </c>
      <c r="AI2" s="120">
        <f t="shared" si="0"/>
        <v>31</v>
      </c>
      <c r="AJ2" s="120">
        <f t="shared" si="0"/>
        <v>32</v>
      </c>
      <c r="AK2" s="120">
        <f t="shared" si="0"/>
        <v>33</v>
      </c>
      <c r="AL2" s="120">
        <f t="shared" si="0"/>
        <v>34</v>
      </c>
      <c r="AM2" s="120">
        <f t="shared" si="0"/>
        <v>35</v>
      </c>
      <c r="AN2" s="120">
        <f t="shared" si="0"/>
        <v>36</v>
      </c>
      <c r="AO2" s="120">
        <f t="shared" ref="AO2" si="1">AN2+1</f>
        <v>37</v>
      </c>
      <c r="AP2" s="120">
        <f t="shared" ref="AP2" si="2">AO2+1</f>
        <v>38</v>
      </c>
      <c r="AQ2" s="120">
        <f t="shared" ref="AQ2" si="3">AP2+1</f>
        <v>39</v>
      </c>
      <c r="AR2" s="120">
        <f t="shared" ref="AR2" si="4">AQ2+1</f>
        <v>40</v>
      </c>
      <c r="AS2" s="120">
        <f t="shared" ref="AS2" si="5">AR2+1</f>
        <v>41</v>
      </c>
      <c r="AT2" s="120">
        <f t="shared" ref="AT2" si="6">AS2+1</f>
        <v>42</v>
      </c>
      <c r="AU2" s="120">
        <f t="shared" ref="AU2" si="7">AT2+1</f>
        <v>43</v>
      </c>
      <c r="AV2" s="120">
        <f t="shared" ref="AV2" si="8">AU2+1</f>
        <v>44</v>
      </c>
      <c r="AW2" s="120">
        <f t="shared" ref="AW2" si="9">AV2+1</f>
        <v>45</v>
      </c>
      <c r="AX2" s="120">
        <f t="shared" ref="AX2" si="10">AW2+1</f>
        <v>46</v>
      </c>
      <c r="AY2" s="120">
        <f t="shared" ref="AY2" si="11">AX2+1</f>
        <v>47</v>
      </c>
      <c r="AZ2" s="120">
        <f t="shared" ref="AZ2" si="12">AY2+1</f>
        <v>48</v>
      </c>
      <c r="BA2" s="120">
        <f t="shared" ref="BA2" si="13">AZ2+1</f>
        <v>49</v>
      </c>
      <c r="BB2" s="120">
        <f t="shared" ref="BB2" si="14">BA2+1</f>
        <v>50</v>
      </c>
      <c r="BC2" s="120">
        <f t="shared" ref="BC2" si="15">BB2+1</f>
        <v>51</v>
      </c>
      <c r="BD2" s="120">
        <f t="shared" ref="BD2" si="16">BC2+1</f>
        <v>52</v>
      </c>
      <c r="BE2" s="120">
        <f t="shared" ref="BE2" si="17">BD2+1</f>
        <v>53</v>
      </c>
      <c r="BF2" s="120">
        <f t="shared" ref="BF2" si="18">BE2+1</f>
        <v>54</v>
      </c>
      <c r="BG2" s="120">
        <f t="shared" ref="BG2" si="19">BF2+1</f>
        <v>55</v>
      </c>
      <c r="BH2" s="120">
        <f t="shared" ref="BH2" si="20">BG2+1</f>
        <v>56</v>
      </c>
      <c r="BI2" s="120">
        <f t="shared" ref="BI2" si="21">BH2+1</f>
        <v>57</v>
      </c>
      <c r="BJ2" s="120">
        <f t="shared" ref="BJ2" si="22">BI2+1</f>
        <v>58</v>
      </c>
      <c r="BK2" s="120">
        <f t="shared" ref="BK2" si="23">BJ2+1</f>
        <v>59</v>
      </c>
      <c r="BL2" s="120">
        <f t="shared" ref="BL2" si="24">BK2+1</f>
        <v>60</v>
      </c>
    </row>
    <row r="3" spans="1:66">
      <c r="B3" s="114"/>
      <c r="E3" s="114"/>
      <c r="F3" s="114"/>
      <c r="G3" s="114"/>
      <c r="H3" s="115"/>
      <c r="I3" s="115"/>
      <c r="J3" s="115"/>
      <c r="K3" s="114"/>
      <c r="L3" s="114"/>
      <c r="M3" s="114"/>
      <c r="N3" s="115"/>
      <c r="O3" s="115"/>
      <c r="P3" s="115"/>
      <c r="Q3" s="114"/>
      <c r="R3" s="114"/>
      <c r="S3" s="114"/>
      <c r="T3" s="115"/>
      <c r="U3" s="115"/>
      <c r="V3" s="115"/>
      <c r="W3" s="114"/>
      <c r="X3" s="114"/>
      <c r="Y3" s="114"/>
      <c r="Z3" s="115"/>
      <c r="AA3" s="115"/>
      <c r="AB3" s="115"/>
      <c r="AC3" s="114"/>
      <c r="AD3" s="114"/>
      <c r="AE3" s="114"/>
      <c r="AF3" s="115"/>
      <c r="AG3" s="115"/>
      <c r="AH3" s="115"/>
      <c r="AI3" s="114"/>
      <c r="AJ3" s="114"/>
      <c r="AK3" s="114"/>
      <c r="AL3" s="115"/>
      <c r="AM3" s="115"/>
      <c r="AN3" s="115"/>
      <c r="AO3" s="114"/>
      <c r="AP3" s="114"/>
      <c r="AQ3" s="114"/>
      <c r="AR3" s="115"/>
      <c r="AS3" s="115"/>
      <c r="AT3" s="115"/>
      <c r="AU3" s="114"/>
      <c r="AV3" s="114"/>
      <c r="AW3" s="114"/>
      <c r="AX3" s="115"/>
      <c r="AY3" s="115"/>
      <c r="AZ3" s="115"/>
      <c r="BA3" s="114"/>
      <c r="BB3" s="114"/>
      <c r="BC3" s="114"/>
      <c r="BD3" s="115"/>
      <c r="BE3" s="115"/>
      <c r="BF3" s="115"/>
      <c r="BG3" s="114"/>
      <c r="BH3" s="114"/>
      <c r="BI3" s="114"/>
      <c r="BJ3" s="115"/>
      <c r="BK3" s="115"/>
      <c r="BL3" s="115"/>
    </row>
    <row r="4" spans="1:66" ht="13.5" thickBot="1">
      <c r="B4" s="114"/>
      <c r="D4" s="113" t="s">
        <v>208</v>
      </c>
      <c r="E4" s="140">
        <f>SUM(E8+E16)</f>
        <v>-95867.656000000003</v>
      </c>
      <c r="F4" s="140">
        <f t="shared" ref="F4:BL4" si="25">SUM(F8+F16)</f>
        <v>-47427.656000000003</v>
      </c>
      <c r="G4" s="140">
        <f t="shared" si="25"/>
        <v>-50977.656000000003</v>
      </c>
      <c r="H4" s="140">
        <f t="shared" si="25"/>
        <v>-60646.573333333341</v>
      </c>
      <c r="I4" s="140">
        <f t="shared" si="25"/>
        <v>-71546.573333333334</v>
      </c>
      <c r="J4" s="140">
        <f t="shared" si="25"/>
        <v>-59421.573333333341</v>
      </c>
      <c r="K4" s="140">
        <f t="shared" si="25"/>
        <v>-97494.025333333353</v>
      </c>
      <c r="L4" s="140">
        <f t="shared" si="25"/>
        <v>-80749.025333333353</v>
      </c>
      <c r="M4" s="140">
        <f t="shared" si="25"/>
        <v>-90684.525333333353</v>
      </c>
      <c r="N4" s="140">
        <f t="shared" si="25"/>
        <v>-80876.075333333341</v>
      </c>
      <c r="O4" s="140">
        <f t="shared" si="25"/>
        <v>-80949.280333333358</v>
      </c>
      <c r="P4" s="140">
        <f t="shared" si="25"/>
        <v>-107324.80583333335</v>
      </c>
      <c r="Q4" s="140">
        <f t="shared" si="25"/>
        <v>-254698.60533333331</v>
      </c>
      <c r="R4" s="140">
        <f t="shared" si="25"/>
        <v>-142673.60533333334</v>
      </c>
      <c r="S4" s="140">
        <f t="shared" si="25"/>
        <v>-149369.60533333334</v>
      </c>
      <c r="T4" s="140">
        <f t="shared" si="25"/>
        <v>-145127.70533333335</v>
      </c>
      <c r="U4" s="140">
        <f t="shared" si="25"/>
        <v>-145274.11533333335</v>
      </c>
      <c r="V4" s="140">
        <f t="shared" si="25"/>
        <v>-149810.16633333336</v>
      </c>
      <c r="W4" s="140">
        <f t="shared" si="25"/>
        <v>-146413.60533333334</v>
      </c>
      <c r="X4" s="140">
        <f t="shared" si="25"/>
        <v>-146688.60533333334</v>
      </c>
      <c r="Y4" s="140">
        <f t="shared" si="25"/>
        <v>-151366.10533333334</v>
      </c>
      <c r="Z4" s="140">
        <f t="shared" si="25"/>
        <v>-138056.26200000002</v>
      </c>
      <c r="AA4" s="140">
        <f t="shared" si="25"/>
        <v>-138422.28700000001</v>
      </c>
      <c r="AB4" s="140">
        <f t="shared" si="25"/>
        <v>-178819.91450000001</v>
      </c>
      <c r="AC4" s="140">
        <f t="shared" si="25"/>
        <v>-406027.34800000006</v>
      </c>
      <c r="AD4" s="140">
        <f t="shared" si="25"/>
        <v>-253547.348</v>
      </c>
      <c r="AE4" s="140">
        <f t="shared" si="25"/>
        <v>-260727.348</v>
      </c>
      <c r="AF4" s="140">
        <f t="shared" si="25"/>
        <v>-257017.848</v>
      </c>
      <c r="AG4" s="140">
        <f t="shared" si="25"/>
        <v>-257749.89799999999</v>
      </c>
      <c r="AH4" s="140">
        <f t="shared" si="25"/>
        <v>-262930.15299999999</v>
      </c>
      <c r="AI4" s="140">
        <f t="shared" si="25"/>
        <v>-260697.348</v>
      </c>
      <c r="AJ4" s="140">
        <f t="shared" si="25"/>
        <v>-261797.348</v>
      </c>
      <c r="AK4" s="140">
        <f t="shared" si="25"/>
        <v>-267382.348</v>
      </c>
      <c r="AL4" s="140">
        <f t="shared" si="25"/>
        <v>-264338.348</v>
      </c>
      <c r="AM4" s="140">
        <f t="shared" si="25"/>
        <v>-265802.44799999997</v>
      </c>
      <c r="AN4" s="140">
        <f t="shared" si="25"/>
        <v>-332067.95800000004</v>
      </c>
      <c r="AO4" s="140">
        <f t="shared" si="25"/>
        <v>-593538.48399999994</v>
      </c>
      <c r="AP4" s="140">
        <f t="shared" si="25"/>
        <v>-423113.484</v>
      </c>
      <c r="AQ4" s="140">
        <f t="shared" si="25"/>
        <v>-430843.484</v>
      </c>
      <c r="AR4" s="140">
        <f t="shared" si="25"/>
        <v>-429713.484</v>
      </c>
      <c r="AS4" s="140">
        <f t="shared" si="25"/>
        <v>-431088.484</v>
      </c>
      <c r="AT4" s="140">
        <f t="shared" si="25"/>
        <v>-436907.234</v>
      </c>
      <c r="AU4" s="140">
        <f t="shared" si="25"/>
        <v>-435213.484</v>
      </c>
      <c r="AV4" s="140">
        <f t="shared" si="25"/>
        <v>-436863.484</v>
      </c>
      <c r="AW4" s="140">
        <f t="shared" si="25"/>
        <v>-442970.984</v>
      </c>
      <c r="AX4" s="140">
        <f t="shared" si="25"/>
        <v>-440713.484</v>
      </c>
      <c r="AY4" s="140">
        <f t="shared" si="25"/>
        <v>-442638.484</v>
      </c>
      <c r="AZ4" s="140">
        <f t="shared" si="25"/>
        <v>-533974.73399999994</v>
      </c>
      <c r="BA4" s="140">
        <f t="shared" si="25"/>
        <v>-795194.02666666673</v>
      </c>
      <c r="BB4" s="140">
        <f t="shared" si="25"/>
        <v>-607649.02666666673</v>
      </c>
      <c r="BC4" s="140">
        <f t="shared" si="25"/>
        <v>-616822.77666666673</v>
      </c>
      <c r="BD4" s="140">
        <f t="shared" si="25"/>
        <v>-612874.02666666673</v>
      </c>
      <c r="BE4" s="140">
        <f t="shared" si="25"/>
        <v>-615624.02666666673</v>
      </c>
      <c r="BF4" s="140">
        <f t="shared" si="25"/>
        <v>-622886.52666666673</v>
      </c>
      <c r="BG4" s="140">
        <f t="shared" si="25"/>
        <v>-634874.02666666673</v>
      </c>
      <c r="BH4" s="140">
        <f t="shared" si="25"/>
        <v>-638724.02666666673</v>
      </c>
      <c r="BI4" s="140">
        <f t="shared" si="25"/>
        <v>-647141.52666666673</v>
      </c>
      <c r="BJ4" s="140">
        <f t="shared" si="25"/>
        <v>-647011.15166666673</v>
      </c>
      <c r="BK4" s="140">
        <f t="shared" si="25"/>
        <v>-651468.00791666668</v>
      </c>
      <c r="BL4" s="140">
        <f t="shared" si="25"/>
        <v>-770122.70697916672</v>
      </c>
      <c r="BM4" s="141"/>
      <c r="BN4" s="141"/>
    </row>
    <row r="5" spans="1:66">
      <c r="B5" s="114"/>
      <c r="D5" s="113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1"/>
      <c r="BN5" s="141"/>
    </row>
    <row r="6" spans="1:66">
      <c r="A6" s="117"/>
      <c r="B6" s="117" t="s">
        <v>209</v>
      </c>
      <c r="C6" s="117" t="s">
        <v>210</v>
      </c>
      <c r="D6" s="118" t="s">
        <v>211</v>
      </c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1"/>
      <c r="BN6" s="141"/>
    </row>
    <row r="7" spans="1:66">
      <c r="B7" s="114"/>
      <c r="C7" s="12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</row>
    <row r="8" spans="1:66" ht="13.5" thickBot="1">
      <c r="A8" s="122"/>
      <c r="B8" s="122" t="s">
        <v>212</v>
      </c>
      <c r="D8" s="120" t="s">
        <v>130</v>
      </c>
      <c r="E8" s="143">
        <f>E10</f>
        <v>-20000</v>
      </c>
      <c r="F8" s="143">
        <f t="shared" ref="F8:AN8" si="26">F10</f>
        <v>0</v>
      </c>
      <c r="G8" s="143">
        <f t="shared" si="26"/>
        <v>0</v>
      </c>
      <c r="H8" s="143">
        <f t="shared" si="26"/>
        <v>-5000</v>
      </c>
      <c r="I8" s="143">
        <f t="shared" si="26"/>
        <v>0</v>
      </c>
      <c r="J8" s="143">
        <f t="shared" si="26"/>
        <v>0</v>
      </c>
      <c r="K8" s="143">
        <f t="shared" si="26"/>
        <v>-15000</v>
      </c>
      <c r="L8" s="143">
        <f t="shared" si="26"/>
        <v>0</v>
      </c>
      <c r="M8" s="143">
        <f t="shared" si="26"/>
        <v>0</v>
      </c>
      <c r="N8" s="143">
        <f t="shared" si="26"/>
        <v>0</v>
      </c>
      <c r="O8" s="143">
        <f t="shared" si="26"/>
        <v>0</v>
      </c>
      <c r="P8" s="143">
        <f t="shared" si="26"/>
        <v>0</v>
      </c>
      <c r="Q8" s="143">
        <f t="shared" ref="Q8:AB8" si="27">Q10</f>
        <v>-25000</v>
      </c>
      <c r="R8" s="143">
        <f t="shared" si="27"/>
        <v>0</v>
      </c>
      <c r="S8" s="143">
        <f t="shared" si="27"/>
        <v>0</v>
      </c>
      <c r="T8" s="143">
        <f t="shared" si="27"/>
        <v>0</v>
      </c>
      <c r="U8" s="143">
        <f t="shared" si="27"/>
        <v>0</v>
      </c>
      <c r="V8" s="143">
        <f t="shared" si="27"/>
        <v>0</v>
      </c>
      <c r="W8" s="143">
        <f t="shared" si="27"/>
        <v>0</v>
      </c>
      <c r="X8" s="143">
        <f t="shared" si="27"/>
        <v>0</v>
      </c>
      <c r="Y8" s="143">
        <f t="shared" si="27"/>
        <v>0</v>
      </c>
      <c r="Z8" s="143">
        <f t="shared" si="27"/>
        <v>0</v>
      </c>
      <c r="AA8" s="143">
        <f t="shared" si="27"/>
        <v>0</v>
      </c>
      <c r="AB8" s="143">
        <f t="shared" si="27"/>
        <v>0</v>
      </c>
      <c r="AC8" s="143">
        <f t="shared" si="26"/>
        <v>-45000</v>
      </c>
      <c r="AD8" s="143">
        <f t="shared" si="26"/>
        <v>0</v>
      </c>
      <c r="AE8" s="143">
        <f t="shared" si="26"/>
        <v>0</v>
      </c>
      <c r="AF8" s="143">
        <f t="shared" si="26"/>
        <v>0</v>
      </c>
      <c r="AG8" s="143">
        <f t="shared" si="26"/>
        <v>0</v>
      </c>
      <c r="AH8" s="143">
        <f t="shared" si="26"/>
        <v>0</v>
      </c>
      <c r="AI8" s="143">
        <f t="shared" si="26"/>
        <v>0</v>
      </c>
      <c r="AJ8" s="143">
        <f t="shared" si="26"/>
        <v>0</v>
      </c>
      <c r="AK8" s="143">
        <f t="shared" si="26"/>
        <v>0</v>
      </c>
      <c r="AL8" s="143">
        <f t="shared" si="26"/>
        <v>0</v>
      </c>
      <c r="AM8" s="143">
        <f t="shared" si="26"/>
        <v>0</v>
      </c>
      <c r="AN8" s="143">
        <f t="shared" si="26"/>
        <v>0</v>
      </c>
      <c r="AO8" s="143">
        <f t="shared" ref="AO8:BL8" si="28">AO10</f>
        <v>-45000</v>
      </c>
      <c r="AP8" s="143">
        <f t="shared" si="28"/>
        <v>0</v>
      </c>
      <c r="AQ8" s="143">
        <f t="shared" si="28"/>
        <v>0</v>
      </c>
      <c r="AR8" s="143">
        <f t="shared" si="28"/>
        <v>0</v>
      </c>
      <c r="AS8" s="143">
        <f t="shared" si="28"/>
        <v>0</v>
      </c>
      <c r="AT8" s="143">
        <f t="shared" si="28"/>
        <v>0</v>
      </c>
      <c r="AU8" s="143">
        <f t="shared" si="28"/>
        <v>0</v>
      </c>
      <c r="AV8" s="143">
        <f t="shared" si="28"/>
        <v>0</v>
      </c>
      <c r="AW8" s="143">
        <f t="shared" si="28"/>
        <v>0</v>
      </c>
      <c r="AX8" s="143">
        <f t="shared" si="28"/>
        <v>0</v>
      </c>
      <c r="AY8" s="143">
        <f t="shared" si="28"/>
        <v>0</v>
      </c>
      <c r="AZ8" s="143">
        <f t="shared" si="28"/>
        <v>0</v>
      </c>
      <c r="BA8" s="143">
        <f t="shared" si="28"/>
        <v>-45000</v>
      </c>
      <c r="BB8" s="143">
        <f t="shared" si="28"/>
        <v>0</v>
      </c>
      <c r="BC8" s="143">
        <f t="shared" si="28"/>
        <v>0</v>
      </c>
      <c r="BD8" s="143">
        <f t="shared" si="28"/>
        <v>0</v>
      </c>
      <c r="BE8" s="143">
        <f t="shared" si="28"/>
        <v>0</v>
      </c>
      <c r="BF8" s="143">
        <f t="shared" si="28"/>
        <v>0</v>
      </c>
      <c r="BG8" s="143">
        <f t="shared" si="28"/>
        <v>0</v>
      </c>
      <c r="BH8" s="143">
        <f t="shared" si="28"/>
        <v>0</v>
      </c>
      <c r="BI8" s="143">
        <f t="shared" si="28"/>
        <v>0</v>
      </c>
      <c r="BJ8" s="143">
        <f t="shared" si="28"/>
        <v>0</v>
      </c>
      <c r="BK8" s="143">
        <f t="shared" si="28"/>
        <v>0</v>
      </c>
      <c r="BL8" s="143">
        <f t="shared" si="28"/>
        <v>0</v>
      </c>
      <c r="BM8" s="141"/>
      <c r="BN8" s="141"/>
    </row>
    <row r="9" spans="1:66">
      <c r="C9" s="120"/>
      <c r="D9" s="120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1"/>
      <c r="BN9" s="141"/>
    </row>
    <row r="10" spans="1:66">
      <c r="B10" s="129">
        <f>SUM(E10:AN10)</f>
        <v>-110000</v>
      </c>
      <c r="C10" s="130" t="s">
        <v>213</v>
      </c>
      <c r="D10" s="131"/>
      <c r="E10" s="144">
        <f t="shared" ref="E10:AN10" si="29">SUM(E11:E13)</f>
        <v>-20000</v>
      </c>
      <c r="F10" s="144">
        <f t="shared" si="29"/>
        <v>0</v>
      </c>
      <c r="G10" s="144">
        <f t="shared" si="29"/>
        <v>0</v>
      </c>
      <c r="H10" s="144">
        <f t="shared" si="29"/>
        <v>-5000</v>
      </c>
      <c r="I10" s="144">
        <f t="shared" si="29"/>
        <v>0</v>
      </c>
      <c r="J10" s="144">
        <f t="shared" si="29"/>
        <v>0</v>
      </c>
      <c r="K10" s="144">
        <f t="shared" si="29"/>
        <v>-15000</v>
      </c>
      <c r="L10" s="144">
        <f t="shared" si="29"/>
        <v>0</v>
      </c>
      <c r="M10" s="144">
        <f t="shared" si="29"/>
        <v>0</v>
      </c>
      <c r="N10" s="144">
        <f t="shared" si="29"/>
        <v>0</v>
      </c>
      <c r="O10" s="144">
        <f t="shared" si="29"/>
        <v>0</v>
      </c>
      <c r="P10" s="144">
        <f t="shared" si="29"/>
        <v>0</v>
      </c>
      <c r="Q10" s="144">
        <f t="shared" si="29"/>
        <v>-25000</v>
      </c>
      <c r="R10" s="144">
        <f t="shared" si="29"/>
        <v>0</v>
      </c>
      <c r="S10" s="144">
        <f t="shared" si="29"/>
        <v>0</v>
      </c>
      <c r="T10" s="144">
        <f t="shared" si="29"/>
        <v>0</v>
      </c>
      <c r="U10" s="144">
        <f t="shared" si="29"/>
        <v>0</v>
      </c>
      <c r="V10" s="144">
        <f t="shared" si="29"/>
        <v>0</v>
      </c>
      <c r="W10" s="144">
        <f t="shared" si="29"/>
        <v>0</v>
      </c>
      <c r="X10" s="144">
        <f t="shared" si="29"/>
        <v>0</v>
      </c>
      <c r="Y10" s="144">
        <f t="shared" si="29"/>
        <v>0</v>
      </c>
      <c r="Z10" s="144">
        <f t="shared" si="29"/>
        <v>0</v>
      </c>
      <c r="AA10" s="144">
        <f t="shared" si="29"/>
        <v>0</v>
      </c>
      <c r="AB10" s="144">
        <f t="shared" si="29"/>
        <v>0</v>
      </c>
      <c r="AC10" s="144">
        <f t="shared" si="29"/>
        <v>-45000</v>
      </c>
      <c r="AD10" s="144">
        <f t="shared" si="29"/>
        <v>0</v>
      </c>
      <c r="AE10" s="144">
        <f t="shared" si="29"/>
        <v>0</v>
      </c>
      <c r="AF10" s="144">
        <f t="shared" si="29"/>
        <v>0</v>
      </c>
      <c r="AG10" s="144">
        <f t="shared" si="29"/>
        <v>0</v>
      </c>
      <c r="AH10" s="144">
        <f t="shared" si="29"/>
        <v>0</v>
      </c>
      <c r="AI10" s="144">
        <f t="shared" si="29"/>
        <v>0</v>
      </c>
      <c r="AJ10" s="144">
        <f t="shared" si="29"/>
        <v>0</v>
      </c>
      <c r="AK10" s="144">
        <f t="shared" si="29"/>
        <v>0</v>
      </c>
      <c r="AL10" s="144">
        <f t="shared" si="29"/>
        <v>0</v>
      </c>
      <c r="AM10" s="144">
        <f t="shared" si="29"/>
        <v>0</v>
      </c>
      <c r="AN10" s="144">
        <f t="shared" si="29"/>
        <v>0</v>
      </c>
      <c r="AO10" s="144">
        <f t="shared" ref="AO10:BL10" si="30">SUM(AO11:AO13)</f>
        <v>-45000</v>
      </c>
      <c r="AP10" s="144">
        <f t="shared" si="30"/>
        <v>0</v>
      </c>
      <c r="AQ10" s="144">
        <f t="shared" si="30"/>
        <v>0</v>
      </c>
      <c r="AR10" s="144">
        <f t="shared" si="30"/>
        <v>0</v>
      </c>
      <c r="AS10" s="144">
        <f t="shared" si="30"/>
        <v>0</v>
      </c>
      <c r="AT10" s="144">
        <f t="shared" si="30"/>
        <v>0</v>
      </c>
      <c r="AU10" s="144">
        <f t="shared" si="30"/>
        <v>0</v>
      </c>
      <c r="AV10" s="144">
        <f t="shared" si="30"/>
        <v>0</v>
      </c>
      <c r="AW10" s="144">
        <f t="shared" si="30"/>
        <v>0</v>
      </c>
      <c r="AX10" s="144">
        <f t="shared" si="30"/>
        <v>0</v>
      </c>
      <c r="AY10" s="144">
        <f t="shared" si="30"/>
        <v>0</v>
      </c>
      <c r="AZ10" s="144">
        <f t="shared" si="30"/>
        <v>0</v>
      </c>
      <c r="BA10" s="144">
        <f t="shared" si="30"/>
        <v>-45000</v>
      </c>
      <c r="BB10" s="144">
        <f t="shared" si="30"/>
        <v>0</v>
      </c>
      <c r="BC10" s="144">
        <f t="shared" si="30"/>
        <v>0</v>
      </c>
      <c r="BD10" s="144">
        <f t="shared" si="30"/>
        <v>0</v>
      </c>
      <c r="BE10" s="144">
        <f t="shared" si="30"/>
        <v>0</v>
      </c>
      <c r="BF10" s="144">
        <f t="shared" si="30"/>
        <v>0</v>
      </c>
      <c r="BG10" s="144">
        <f t="shared" si="30"/>
        <v>0</v>
      </c>
      <c r="BH10" s="144">
        <f t="shared" si="30"/>
        <v>0</v>
      </c>
      <c r="BI10" s="144">
        <f t="shared" si="30"/>
        <v>0</v>
      </c>
      <c r="BJ10" s="144">
        <f t="shared" si="30"/>
        <v>0</v>
      </c>
      <c r="BK10" s="144">
        <f t="shared" si="30"/>
        <v>0</v>
      </c>
      <c r="BL10" s="144">
        <f t="shared" si="30"/>
        <v>0</v>
      </c>
      <c r="BM10" s="141"/>
      <c r="BN10" s="141"/>
    </row>
    <row r="11" spans="1:66">
      <c r="C11" s="123" t="s">
        <v>214</v>
      </c>
      <c r="D11" s="155">
        <v>-5000</v>
      </c>
      <c r="E11" s="141">
        <f>SUM(E17*$D$11)</f>
        <v>-20000</v>
      </c>
      <c r="F11" s="141">
        <f t="shared" ref="F11:AN11" si="31">SUM(F17*$D$11)</f>
        <v>0</v>
      </c>
      <c r="G11" s="141">
        <f t="shared" si="31"/>
        <v>0</v>
      </c>
      <c r="H11" s="141">
        <f t="shared" si="31"/>
        <v>-5000</v>
      </c>
      <c r="I11" s="141">
        <f t="shared" si="31"/>
        <v>0</v>
      </c>
      <c r="J11" s="141">
        <f t="shared" si="31"/>
        <v>0</v>
      </c>
      <c r="K11" s="141">
        <f t="shared" si="31"/>
        <v>-15000</v>
      </c>
      <c r="L11" s="141">
        <f t="shared" si="31"/>
        <v>0</v>
      </c>
      <c r="M11" s="141">
        <f t="shared" si="31"/>
        <v>0</v>
      </c>
      <c r="N11" s="141">
        <f t="shared" si="31"/>
        <v>0</v>
      </c>
      <c r="O11" s="141">
        <f t="shared" si="31"/>
        <v>0</v>
      </c>
      <c r="P11" s="141">
        <f t="shared" si="31"/>
        <v>0</v>
      </c>
      <c r="Q11" s="141">
        <f t="shared" ref="Q11:AB11" si="32">SUM(Q17*$D$11)</f>
        <v>-25000</v>
      </c>
      <c r="R11" s="141">
        <f t="shared" si="32"/>
        <v>0</v>
      </c>
      <c r="S11" s="141">
        <f t="shared" si="32"/>
        <v>0</v>
      </c>
      <c r="T11" s="141">
        <f t="shared" si="32"/>
        <v>0</v>
      </c>
      <c r="U11" s="141">
        <f t="shared" si="32"/>
        <v>0</v>
      </c>
      <c r="V11" s="141">
        <f t="shared" si="32"/>
        <v>0</v>
      </c>
      <c r="W11" s="141">
        <f t="shared" si="32"/>
        <v>0</v>
      </c>
      <c r="X11" s="141">
        <f t="shared" si="32"/>
        <v>0</v>
      </c>
      <c r="Y11" s="141">
        <f t="shared" si="32"/>
        <v>0</v>
      </c>
      <c r="Z11" s="141">
        <f t="shared" si="32"/>
        <v>0</v>
      </c>
      <c r="AA11" s="141">
        <f t="shared" si="32"/>
        <v>0</v>
      </c>
      <c r="AB11" s="141">
        <f t="shared" si="32"/>
        <v>0</v>
      </c>
      <c r="AC11" s="141">
        <f t="shared" si="31"/>
        <v>-45000</v>
      </c>
      <c r="AD11" s="141">
        <f t="shared" si="31"/>
        <v>0</v>
      </c>
      <c r="AE11" s="141">
        <f t="shared" si="31"/>
        <v>0</v>
      </c>
      <c r="AF11" s="141">
        <f t="shared" si="31"/>
        <v>0</v>
      </c>
      <c r="AG11" s="141">
        <f t="shared" si="31"/>
        <v>0</v>
      </c>
      <c r="AH11" s="141">
        <f t="shared" si="31"/>
        <v>0</v>
      </c>
      <c r="AI11" s="141">
        <f t="shared" si="31"/>
        <v>0</v>
      </c>
      <c r="AJ11" s="141">
        <f t="shared" si="31"/>
        <v>0</v>
      </c>
      <c r="AK11" s="141">
        <f t="shared" si="31"/>
        <v>0</v>
      </c>
      <c r="AL11" s="141">
        <f t="shared" si="31"/>
        <v>0</v>
      </c>
      <c r="AM11" s="141">
        <f t="shared" si="31"/>
        <v>0</v>
      </c>
      <c r="AN11" s="141">
        <f t="shared" si="31"/>
        <v>0</v>
      </c>
      <c r="AO11" s="141">
        <f t="shared" ref="AO11:BL11" si="33">SUM(AO17*$D$11)</f>
        <v>-45000</v>
      </c>
      <c r="AP11" s="141">
        <f t="shared" si="33"/>
        <v>0</v>
      </c>
      <c r="AQ11" s="141">
        <f t="shared" si="33"/>
        <v>0</v>
      </c>
      <c r="AR11" s="141">
        <f t="shared" si="33"/>
        <v>0</v>
      </c>
      <c r="AS11" s="141">
        <f t="shared" si="33"/>
        <v>0</v>
      </c>
      <c r="AT11" s="141">
        <f t="shared" si="33"/>
        <v>0</v>
      </c>
      <c r="AU11" s="141">
        <f t="shared" si="33"/>
        <v>0</v>
      </c>
      <c r="AV11" s="141">
        <f t="shared" si="33"/>
        <v>0</v>
      </c>
      <c r="AW11" s="141">
        <f t="shared" si="33"/>
        <v>0</v>
      </c>
      <c r="AX11" s="141">
        <f t="shared" si="33"/>
        <v>0</v>
      </c>
      <c r="AY11" s="141">
        <f t="shared" si="33"/>
        <v>0</v>
      </c>
      <c r="AZ11" s="141">
        <f t="shared" si="33"/>
        <v>0</v>
      </c>
      <c r="BA11" s="141">
        <f t="shared" si="33"/>
        <v>-45000</v>
      </c>
      <c r="BB11" s="141">
        <f t="shared" si="33"/>
        <v>0</v>
      </c>
      <c r="BC11" s="141">
        <f t="shared" si="33"/>
        <v>0</v>
      </c>
      <c r="BD11" s="141">
        <f t="shared" si="33"/>
        <v>0</v>
      </c>
      <c r="BE11" s="141">
        <f t="shared" si="33"/>
        <v>0</v>
      </c>
      <c r="BF11" s="141">
        <f t="shared" si="33"/>
        <v>0</v>
      </c>
      <c r="BG11" s="141">
        <f t="shared" si="33"/>
        <v>0</v>
      </c>
      <c r="BH11" s="141">
        <f t="shared" si="33"/>
        <v>0</v>
      </c>
      <c r="BI11" s="141">
        <f t="shared" si="33"/>
        <v>0</v>
      </c>
      <c r="BJ11" s="141">
        <f t="shared" si="33"/>
        <v>0</v>
      </c>
      <c r="BK11" s="141">
        <f t="shared" si="33"/>
        <v>0</v>
      </c>
      <c r="BL11" s="141">
        <f t="shared" si="33"/>
        <v>0</v>
      </c>
      <c r="BM11" s="141"/>
      <c r="BN11" s="141"/>
    </row>
    <row r="12" spans="1:66">
      <c r="C12" s="123"/>
      <c r="D12" s="155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</row>
    <row r="13" spans="1:66">
      <c r="C13" s="123"/>
      <c r="D13" s="155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</row>
    <row r="14" spans="1:66">
      <c r="C14" s="123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</row>
    <row r="15" spans="1:66">
      <c r="C15" s="123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</row>
    <row r="16" spans="1:66" ht="13.5" thickBot="1">
      <c r="A16" s="122"/>
      <c r="B16" s="122" t="s">
        <v>215</v>
      </c>
      <c r="D16" s="120" t="s">
        <v>130</v>
      </c>
      <c r="E16" s="143">
        <f t="shared" ref="E16:AJ16" si="34">SUM(E18,E70,E80,E88,E101,E110,E118,E125,E132,E147,E155)</f>
        <v>-75867.656000000003</v>
      </c>
      <c r="F16" s="143">
        <f t="shared" si="34"/>
        <v>-47427.656000000003</v>
      </c>
      <c r="G16" s="143">
        <f t="shared" si="34"/>
        <v>-50977.656000000003</v>
      </c>
      <c r="H16" s="143">
        <f t="shared" si="34"/>
        <v>-55646.573333333341</v>
      </c>
      <c r="I16" s="143">
        <f t="shared" si="34"/>
        <v>-71546.573333333334</v>
      </c>
      <c r="J16" s="143">
        <f t="shared" si="34"/>
        <v>-59421.573333333341</v>
      </c>
      <c r="K16" s="143">
        <f t="shared" si="34"/>
        <v>-82494.025333333353</v>
      </c>
      <c r="L16" s="143">
        <f t="shared" si="34"/>
        <v>-80749.025333333353</v>
      </c>
      <c r="M16" s="143">
        <f t="shared" si="34"/>
        <v>-90684.525333333353</v>
      </c>
      <c r="N16" s="143">
        <f t="shared" si="34"/>
        <v>-80876.075333333341</v>
      </c>
      <c r="O16" s="143">
        <f t="shared" si="34"/>
        <v>-80949.280333333358</v>
      </c>
      <c r="P16" s="143">
        <f t="shared" si="34"/>
        <v>-107324.80583333335</v>
      </c>
      <c r="Q16" s="143">
        <f t="shared" si="34"/>
        <v>-229698.60533333331</v>
      </c>
      <c r="R16" s="143">
        <f t="shared" si="34"/>
        <v>-142673.60533333334</v>
      </c>
      <c r="S16" s="143">
        <f t="shared" si="34"/>
        <v>-149369.60533333334</v>
      </c>
      <c r="T16" s="143">
        <f t="shared" si="34"/>
        <v>-145127.70533333335</v>
      </c>
      <c r="U16" s="143">
        <f t="shared" si="34"/>
        <v>-145274.11533333335</v>
      </c>
      <c r="V16" s="143">
        <f t="shared" si="34"/>
        <v>-149810.16633333336</v>
      </c>
      <c r="W16" s="143">
        <f t="shared" si="34"/>
        <v>-146413.60533333334</v>
      </c>
      <c r="X16" s="143">
        <f t="shared" si="34"/>
        <v>-146688.60533333334</v>
      </c>
      <c r="Y16" s="143">
        <f t="shared" si="34"/>
        <v>-151366.10533333334</v>
      </c>
      <c r="Z16" s="143">
        <f t="shared" si="34"/>
        <v>-138056.26200000002</v>
      </c>
      <c r="AA16" s="143">
        <f t="shared" si="34"/>
        <v>-138422.28700000001</v>
      </c>
      <c r="AB16" s="143">
        <f t="shared" si="34"/>
        <v>-178819.91450000001</v>
      </c>
      <c r="AC16" s="143">
        <f t="shared" si="34"/>
        <v>-361027.34800000006</v>
      </c>
      <c r="AD16" s="143">
        <f t="shared" si="34"/>
        <v>-253547.348</v>
      </c>
      <c r="AE16" s="143">
        <f t="shared" si="34"/>
        <v>-260727.348</v>
      </c>
      <c r="AF16" s="143">
        <f t="shared" si="34"/>
        <v>-257017.848</v>
      </c>
      <c r="AG16" s="143">
        <f t="shared" si="34"/>
        <v>-257749.89799999999</v>
      </c>
      <c r="AH16" s="143">
        <f t="shared" si="34"/>
        <v>-262930.15299999999</v>
      </c>
      <c r="AI16" s="143">
        <f t="shared" si="34"/>
        <v>-260697.348</v>
      </c>
      <c r="AJ16" s="143">
        <f t="shared" si="34"/>
        <v>-261797.348</v>
      </c>
      <c r="AK16" s="143">
        <f t="shared" ref="AK16:BL16" si="35">SUM(AK18,AK70,AK80,AK88,AK101,AK110,AK118,AK125,AK132,AK147,AK155)</f>
        <v>-267382.348</v>
      </c>
      <c r="AL16" s="143">
        <f t="shared" si="35"/>
        <v>-264338.348</v>
      </c>
      <c r="AM16" s="143">
        <f t="shared" si="35"/>
        <v>-265802.44799999997</v>
      </c>
      <c r="AN16" s="143">
        <f t="shared" si="35"/>
        <v>-332067.95800000004</v>
      </c>
      <c r="AO16" s="143">
        <f t="shared" si="35"/>
        <v>-548538.48399999994</v>
      </c>
      <c r="AP16" s="143">
        <f t="shared" si="35"/>
        <v>-423113.484</v>
      </c>
      <c r="AQ16" s="143">
        <f t="shared" si="35"/>
        <v>-430843.484</v>
      </c>
      <c r="AR16" s="143">
        <f t="shared" si="35"/>
        <v>-429713.484</v>
      </c>
      <c r="AS16" s="143">
        <f t="shared" si="35"/>
        <v>-431088.484</v>
      </c>
      <c r="AT16" s="143">
        <f t="shared" si="35"/>
        <v>-436907.234</v>
      </c>
      <c r="AU16" s="143">
        <f t="shared" si="35"/>
        <v>-435213.484</v>
      </c>
      <c r="AV16" s="143">
        <f t="shared" si="35"/>
        <v>-436863.484</v>
      </c>
      <c r="AW16" s="143">
        <f t="shared" si="35"/>
        <v>-442970.984</v>
      </c>
      <c r="AX16" s="143">
        <f t="shared" si="35"/>
        <v>-440713.484</v>
      </c>
      <c r="AY16" s="143">
        <f t="shared" si="35"/>
        <v>-442638.484</v>
      </c>
      <c r="AZ16" s="143">
        <f t="shared" si="35"/>
        <v>-533974.73399999994</v>
      </c>
      <c r="BA16" s="143">
        <f t="shared" si="35"/>
        <v>-750194.02666666673</v>
      </c>
      <c r="BB16" s="143">
        <f t="shared" si="35"/>
        <v>-607649.02666666673</v>
      </c>
      <c r="BC16" s="143">
        <f t="shared" si="35"/>
        <v>-616822.77666666673</v>
      </c>
      <c r="BD16" s="143">
        <f t="shared" si="35"/>
        <v>-612874.02666666673</v>
      </c>
      <c r="BE16" s="143">
        <f t="shared" si="35"/>
        <v>-615624.02666666673</v>
      </c>
      <c r="BF16" s="143">
        <f t="shared" si="35"/>
        <v>-622886.52666666673</v>
      </c>
      <c r="BG16" s="143">
        <f t="shared" si="35"/>
        <v>-634874.02666666673</v>
      </c>
      <c r="BH16" s="143">
        <f t="shared" si="35"/>
        <v>-638724.02666666673</v>
      </c>
      <c r="BI16" s="143">
        <f t="shared" si="35"/>
        <v>-647141.52666666673</v>
      </c>
      <c r="BJ16" s="143">
        <f t="shared" si="35"/>
        <v>-647011.15166666673</v>
      </c>
      <c r="BK16" s="143">
        <f t="shared" si="35"/>
        <v>-651468.00791666668</v>
      </c>
      <c r="BL16" s="143">
        <f t="shared" si="35"/>
        <v>-770122.70697916672</v>
      </c>
      <c r="BM16" s="141"/>
      <c r="BN16" s="141"/>
    </row>
    <row r="17" spans="2:66" s="167" customFormat="1">
      <c r="B17" s="168"/>
      <c r="C17" s="166" t="s">
        <v>216</v>
      </c>
      <c r="D17" s="166"/>
      <c r="E17" s="169">
        <f>SUM(COUNTIF(E$19:E$58,"&lt;0"))</f>
        <v>4</v>
      </c>
      <c r="F17" s="169">
        <f t="shared" ref="F17:G17" si="36">SUM(COUNTIF(F$19:F$58,"&lt;0"))-(COUNTIF(E$19:E$58,"&lt;0"))</f>
        <v>0</v>
      </c>
      <c r="G17" s="169">
        <f t="shared" si="36"/>
        <v>0</v>
      </c>
      <c r="H17" s="169">
        <f>SUM(COUNTIF(H$19:H$58,"&lt;0"))-(COUNTIF(G$19:G$58,"&lt;0"))</f>
        <v>1</v>
      </c>
      <c r="I17" s="169">
        <f t="shared" ref="I17:BL17" si="37">SUM(COUNTIF(I$19:I$58,"&lt;0"))-(COUNTIF(H$19:H$58,"&lt;0"))</f>
        <v>0</v>
      </c>
      <c r="J17" s="169">
        <f t="shared" si="37"/>
        <v>0</v>
      </c>
      <c r="K17" s="169">
        <f t="shared" si="37"/>
        <v>3</v>
      </c>
      <c r="L17" s="169">
        <f t="shared" si="37"/>
        <v>0</v>
      </c>
      <c r="M17" s="169">
        <f t="shared" si="37"/>
        <v>0</v>
      </c>
      <c r="N17" s="169">
        <f t="shared" si="37"/>
        <v>0</v>
      </c>
      <c r="O17" s="169">
        <f t="shared" si="37"/>
        <v>0</v>
      </c>
      <c r="P17" s="169">
        <f t="shared" si="37"/>
        <v>0</v>
      </c>
      <c r="Q17" s="169">
        <f t="shared" si="37"/>
        <v>5</v>
      </c>
      <c r="R17" s="169">
        <f t="shared" si="37"/>
        <v>0</v>
      </c>
      <c r="S17" s="169">
        <f t="shared" si="37"/>
        <v>0</v>
      </c>
      <c r="T17" s="169">
        <f t="shared" si="37"/>
        <v>0</v>
      </c>
      <c r="U17" s="169">
        <f t="shared" si="37"/>
        <v>0</v>
      </c>
      <c r="V17" s="169">
        <f t="shared" si="37"/>
        <v>0</v>
      </c>
      <c r="W17" s="169">
        <f t="shared" si="37"/>
        <v>0</v>
      </c>
      <c r="X17" s="169">
        <f t="shared" si="37"/>
        <v>0</v>
      </c>
      <c r="Y17" s="169">
        <f t="shared" si="37"/>
        <v>0</v>
      </c>
      <c r="Z17" s="169">
        <f t="shared" si="37"/>
        <v>0</v>
      </c>
      <c r="AA17" s="169">
        <f t="shared" si="37"/>
        <v>0</v>
      </c>
      <c r="AB17" s="169">
        <f t="shared" si="37"/>
        <v>0</v>
      </c>
      <c r="AC17" s="169">
        <f t="shared" si="37"/>
        <v>9</v>
      </c>
      <c r="AD17" s="169">
        <f t="shared" si="37"/>
        <v>0</v>
      </c>
      <c r="AE17" s="169">
        <f t="shared" si="37"/>
        <v>0</v>
      </c>
      <c r="AF17" s="169">
        <f t="shared" si="37"/>
        <v>0</v>
      </c>
      <c r="AG17" s="169">
        <f t="shared" si="37"/>
        <v>0</v>
      </c>
      <c r="AH17" s="169">
        <f t="shared" si="37"/>
        <v>0</v>
      </c>
      <c r="AI17" s="169">
        <f t="shared" si="37"/>
        <v>0</v>
      </c>
      <c r="AJ17" s="169">
        <f t="shared" si="37"/>
        <v>0</v>
      </c>
      <c r="AK17" s="169">
        <f t="shared" si="37"/>
        <v>0</v>
      </c>
      <c r="AL17" s="169">
        <f t="shared" si="37"/>
        <v>0</v>
      </c>
      <c r="AM17" s="169">
        <f t="shared" si="37"/>
        <v>0</v>
      </c>
      <c r="AN17" s="169">
        <f t="shared" si="37"/>
        <v>0</v>
      </c>
      <c r="AO17" s="169">
        <f t="shared" si="37"/>
        <v>9</v>
      </c>
      <c r="AP17" s="169">
        <f t="shared" si="37"/>
        <v>0</v>
      </c>
      <c r="AQ17" s="169">
        <f t="shared" si="37"/>
        <v>0</v>
      </c>
      <c r="AR17" s="169">
        <f t="shared" si="37"/>
        <v>0</v>
      </c>
      <c r="AS17" s="169">
        <f t="shared" si="37"/>
        <v>0</v>
      </c>
      <c r="AT17" s="169">
        <f t="shared" si="37"/>
        <v>0</v>
      </c>
      <c r="AU17" s="169">
        <f t="shared" si="37"/>
        <v>0</v>
      </c>
      <c r="AV17" s="169">
        <f t="shared" si="37"/>
        <v>0</v>
      </c>
      <c r="AW17" s="169">
        <f t="shared" si="37"/>
        <v>0</v>
      </c>
      <c r="AX17" s="169">
        <f t="shared" si="37"/>
        <v>0</v>
      </c>
      <c r="AY17" s="169">
        <f t="shared" si="37"/>
        <v>0</v>
      </c>
      <c r="AZ17" s="169">
        <f t="shared" si="37"/>
        <v>0</v>
      </c>
      <c r="BA17" s="169">
        <f t="shared" si="37"/>
        <v>9</v>
      </c>
      <c r="BB17" s="169">
        <f t="shared" si="37"/>
        <v>0</v>
      </c>
      <c r="BC17" s="169">
        <f t="shared" si="37"/>
        <v>0</v>
      </c>
      <c r="BD17" s="169">
        <f t="shared" si="37"/>
        <v>0</v>
      </c>
      <c r="BE17" s="169">
        <f t="shared" si="37"/>
        <v>0</v>
      </c>
      <c r="BF17" s="169">
        <f t="shared" si="37"/>
        <v>0</v>
      </c>
      <c r="BG17" s="169">
        <f t="shared" si="37"/>
        <v>0</v>
      </c>
      <c r="BH17" s="169">
        <f t="shared" si="37"/>
        <v>0</v>
      </c>
      <c r="BI17" s="169">
        <f t="shared" si="37"/>
        <v>0</v>
      </c>
      <c r="BJ17" s="169">
        <f t="shared" si="37"/>
        <v>0</v>
      </c>
      <c r="BK17" s="169">
        <f t="shared" si="37"/>
        <v>0</v>
      </c>
      <c r="BL17" s="169">
        <f t="shared" si="37"/>
        <v>0</v>
      </c>
      <c r="BM17" s="169"/>
      <c r="BN17" s="169"/>
    </row>
    <row r="18" spans="2:66">
      <c r="B18" s="129">
        <f>SUM(E18:AN18)</f>
        <v>-3196460.0000000005</v>
      </c>
      <c r="C18" s="130" t="s">
        <v>217</v>
      </c>
      <c r="D18" s="131"/>
      <c r="E18" s="144">
        <f t="shared" ref="E18:AJ18" si="38">SUM(E19:E68)</f>
        <v>-20382.133333333339</v>
      </c>
      <c r="F18" s="144">
        <f t="shared" si="38"/>
        <v>-14382.133333333333</v>
      </c>
      <c r="G18" s="144">
        <f t="shared" si="38"/>
        <v>-14382.133333333333</v>
      </c>
      <c r="H18" s="144">
        <f t="shared" si="38"/>
        <v>-20435.333333333336</v>
      </c>
      <c r="I18" s="144">
        <f t="shared" si="38"/>
        <v>-20435.333333333336</v>
      </c>
      <c r="J18" s="144">
        <f t="shared" si="38"/>
        <v>-20435.333333333336</v>
      </c>
      <c r="K18" s="144">
        <f t="shared" si="38"/>
        <v>-38594.933333333342</v>
      </c>
      <c r="L18" s="144">
        <f t="shared" si="38"/>
        <v>-38594.933333333342</v>
      </c>
      <c r="M18" s="144">
        <f t="shared" si="38"/>
        <v>-38594.933333333342</v>
      </c>
      <c r="N18" s="144">
        <f t="shared" si="38"/>
        <v>-38594.933333333342</v>
      </c>
      <c r="O18" s="144">
        <f t="shared" si="38"/>
        <v>-38594.933333333342</v>
      </c>
      <c r="P18" s="144">
        <f t="shared" si="38"/>
        <v>-54594.933333333342</v>
      </c>
      <c r="Q18" s="144">
        <f t="shared" si="38"/>
        <v>-98045.6</v>
      </c>
      <c r="R18" s="144">
        <f t="shared" si="38"/>
        <v>-78545.600000000006</v>
      </c>
      <c r="S18" s="144">
        <f t="shared" si="38"/>
        <v>-78545.600000000006</v>
      </c>
      <c r="T18" s="144">
        <f t="shared" si="38"/>
        <v>-78545.600000000006</v>
      </c>
      <c r="U18" s="144">
        <f t="shared" si="38"/>
        <v>-78545.600000000006</v>
      </c>
      <c r="V18" s="144">
        <f t="shared" si="38"/>
        <v>-78545.600000000006</v>
      </c>
      <c r="W18" s="144">
        <f t="shared" si="38"/>
        <v>-78545.600000000006</v>
      </c>
      <c r="X18" s="144">
        <f t="shared" si="38"/>
        <v>-78545.600000000006</v>
      </c>
      <c r="Y18" s="144">
        <f t="shared" si="38"/>
        <v>-78545.600000000006</v>
      </c>
      <c r="Z18" s="144">
        <f t="shared" si="38"/>
        <v>-71780.933333333349</v>
      </c>
      <c r="AA18" s="144">
        <f t="shared" si="38"/>
        <v>-71780.933333333349</v>
      </c>
      <c r="AB18" s="144">
        <f t="shared" si="38"/>
        <v>-97780.933333333349</v>
      </c>
      <c r="AC18" s="144">
        <f t="shared" si="38"/>
        <v>-182473.73333333337</v>
      </c>
      <c r="AD18" s="144">
        <f t="shared" si="38"/>
        <v>-149473.73333333334</v>
      </c>
      <c r="AE18" s="144">
        <f t="shared" si="38"/>
        <v>-149473.73333333334</v>
      </c>
      <c r="AF18" s="144">
        <f t="shared" si="38"/>
        <v>-149473.73333333334</v>
      </c>
      <c r="AG18" s="144">
        <f t="shared" si="38"/>
        <v>-149473.73333333334</v>
      </c>
      <c r="AH18" s="144">
        <f t="shared" si="38"/>
        <v>-149473.73333333334</v>
      </c>
      <c r="AI18" s="144">
        <f t="shared" si="38"/>
        <v>-149473.73333333334</v>
      </c>
      <c r="AJ18" s="144">
        <f t="shared" si="38"/>
        <v>-149473.73333333334</v>
      </c>
      <c r="AK18" s="144">
        <f t="shared" ref="AK18:BP18" si="39">SUM(AK19:AK68)</f>
        <v>-149473.73333333334</v>
      </c>
      <c r="AL18" s="144">
        <f t="shared" si="39"/>
        <v>-149473.73333333334</v>
      </c>
      <c r="AM18" s="144">
        <f t="shared" si="39"/>
        <v>-149473.73333333334</v>
      </c>
      <c r="AN18" s="144">
        <f t="shared" si="39"/>
        <v>-193473.73333333337</v>
      </c>
      <c r="AO18" s="144">
        <f t="shared" si="39"/>
        <v>-297026.53333333333</v>
      </c>
      <c r="AP18" s="144">
        <f t="shared" si="39"/>
        <v>-250526.53333333335</v>
      </c>
      <c r="AQ18" s="144">
        <f t="shared" si="39"/>
        <v>-250526.53333333335</v>
      </c>
      <c r="AR18" s="144">
        <f t="shared" si="39"/>
        <v>-250526.53333333335</v>
      </c>
      <c r="AS18" s="144">
        <f t="shared" si="39"/>
        <v>-250526.53333333335</v>
      </c>
      <c r="AT18" s="144">
        <f t="shared" si="39"/>
        <v>-250526.53333333335</v>
      </c>
      <c r="AU18" s="144">
        <f t="shared" si="39"/>
        <v>-250526.53333333335</v>
      </c>
      <c r="AV18" s="144">
        <f t="shared" si="39"/>
        <v>-250526.53333333335</v>
      </c>
      <c r="AW18" s="144">
        <f t="shared" si="39"/>
        <v>-250526.53333333335</v>
      </c>
      <c r="AX18" s="144">
        <f t="shared" si="39"/>
        <v>-250526.53333333335</v>
      </c>
      <c r="AY18" s="144">
        <f t="shared" si="39"/>
        <v>-250526.53333333335</v>
      </c>
      <c r="AZ18" s="144">
        <f t="shared" si="39"/>
        <v>-312526.53333333333</v>
      </c>
      <c r="BA18" s="144">
        <f t="shared" si="39"/>
        <v>-404814.66666666669</v>
      </c>
      <c r="BB18" s="144">
        <f t="shared" si="39"/>
        <v>-344814.66666666669</v>
      </c>
      <c r="BC18" s="144">
        <f t="shared" si="39"/>
        <v>-344814.66666666669</v>
      </c>
      <c r="BD18" s="144">
        <f t="shared" si="39"/>
        <v>-344814.66666666669</v>
      </c>
      <c r="BE18" s="144">
        <f t="shared" si="39"/>
        <v>-344814.66666666669</v>
      </c>
      <c r="BF18" s="144">
        <f t="shared" si="39"/>
        <v>-344814.66666666669</v>
      </c>
      <c r="BG18" s="144">
        <f t="shared" si="39"/>
        <v>-344814.66666666669</v>
      </c>
      <c r="BH18" s="144">
        <f t="shared" si="39"/>
        <v>-344814.66666666669</v>
      </c>
      <c r="BI18" s="144">
        <f t="shared" si="39"/>
        <v>-344814.66666666669</v>
      </c>
      <c r="BJ18" s="144">
        <f t="shared" si="39"/>
        <v>-344814.66666666669</v>
      </c>
      <c r="BK18" s="144">
        <f t="shared" si="39"/>
        <v>-344814.66666666669</v>
      </c>
      <c r="BL18" s="144">
        <f t="shared" si="39"/>
        <v>-424814.66666666669</v>
      </c>
      <c r="BM18" s="141"/>
      <c r="BN18" s="141"/>
    </row>
    <row r="19" spans="2:66">
      <c r="C19" s="8" t="s">
        <v>218</v>
      </c>
      <c r="D19" s="155">
        <v>-38000</v>
      </c>
      <c r="E19" s="141">
        <f t="shared" ref="E19:E22" si="40">SUM($D19/12)</f>
        <v>-3166.6666666666665</v>
      </c>
      <c r="F19" s="141">
        <f t="shared" ref="F19:AN32" si="41">SUM($D19/12)</f>
        <v>-3166.6666666666665</v>
      </c>
      <c r="G19" s="141">
        <f t="shared" si="41"/>
        <v>-3166.6666666666665</v>
      </c>
      <c r="H19" s="141">
        <f t="shared" si="41"/>
        <v>-3166.6666666666665</v>
      </c>
      <c r="I19" s="141">
        <f t="shared" si="41"/>
        <v>-3166.6666666666665</v>
      </c>
      <c r="J19" s="141">
        <f t="shared" si="41"/>
        <v>-3166.6666666666665</v>
      </c>
      <c r="K19" s="141">
        <f t="shared" si="41"/>
        <v>-3166.6666666666665</v>
      </c>
      <c r="L19" s="141">
        <f t="shared" si="41"/>
        <v>-3166.6666666666665</v>
      </c>
      <c r="M19" s="141">
        <f t="shared" si="41"/>
        <v>-3166.6666666666665</v>
      </c>
      <c r="N19" s="141">
        <f t="shared" si="41"/>
        <v>-3166.6666666666665</v>
      </c>
      <c r="O19" s="141">
        <f t="shared" si="41"/>
        <v>-3166.6666666666665</v>
      </c>
      <c r="P19" s="141">
        <f t="shared" si="41"/>
        <v>-3166.6666666666665</v>
      </c>
      <c r="Q19" s="141">
        <f>SUM($D19/12)*1.5</f>
        <v>-4750</v>
      </c>
      <c r="R19" s="141">
        <f t="shared" ref="R19:Y22" si="42">SUM($D19/12)*1.5</f>
        <v>-4750</v>
      </c>
      <c r="S19" s="141">
        <f t="shared" si="42"/>
        <v>-4750</v>
      </c>
      <c r="T19" s="141">
        <f t="shared" si="42"/>
        <v>-4750</v>
      </c>
      <c r="U19" s="141">
        <f t="shared" si="42"/>
        <v>-4750</v>
      </c>
      <c r="V19" s="141">
        <f t="shared" si="42"/>
        <v>-4750</v>
      </c>
      <c r="W19" s="141">
        <f t="shared" si="42"/>
        <v>-4750</v>
      </c>
      <c r="X19" s="141">
        <f t="shared" si="42"/>
        <v>-4750</v>
      </c>
      <c r="Y19" s="141">
        <f t="shared" si="42"/>
        <v>-4750</v>
      </c>
      <c r="Z19" s="141">
        <f t="shared" si="41"/>
        <v>-3166.6666666666665</v>
      </c>
      <c r="AA19" s="141">
        <f t="shared" si="41"/>
        <v>-3166.6666666666665</v>
      </c>
      <c r="AB19" s="141">
        <f t="shared" si="41"/>
        <v>-3166.6666666666665</v>
      </c>
      <c r="AC19" s="141">
        <f>SUM($D19/12)*2.5</f>
        <v>-7916.6666666666661</v>
      </c>
      <c r="AD19" s="141">
        <f t="shared" ref="AD19:AN22" si="43">SUM($D19/12)*2.5</f>
        <v>-7916.6666666666661</v>
      </c>
      <c r="AE19" s="141">
        <f t="shared" si="43"/>
        <v>-7916.6666666666661</v>
      </c>
      <c r="AF19" s="141">
        <f t="shared" si="43"/>
        <v>-7916.6666666666661</v>
      </c>
      <c r="AG19" s="141">
        <f t="shared" si="43"/>
        <v>-7916.6666666666661</v>
      </c>
      <c r="AH19" s="141">
        <f t="shared" si="43"/>
        <v>-7916.6666666666661</v>
      </c>
      <c r="AI19" s="141">
        <f t="shared" si="43"/>
        <v>-7916.6666666666661</v>
      </c>
      <c r="AJ19" s="141">
        <f t="shared" si="43"/>
        <v>-7916.6666666666661</v>
      </c>
      <c r="AK19" s="141">
        <f t="shared" si="43"/>
        <v>-7916.6666666666661</v>
      </c>
      <c r="AL19" s="141">
        <f t="shared" si="43"/>
        <v>-7916.6666666666661</v>
      </c>
      <c r="AM19" s="141">
        <f t="shared" si="43"/>
        <v>-7916.6666666666661</v>
      </c>
      <c r="AN19" s="141">
        <f t="shared" si="43"/>
        <v>-7916.6666666666661</v>
      </c>
      <c r="AO19" s="141">
        <f>SUM($D19/12)*4</f>
        <v>-12666.666666666666</v>
      </c>
      <c r="AP19" s="141">
        <f t="shared" ref="AP19:AZ22" si="44">SUM($D19/12)*4</f>
        <v>-12666.666666666666</v>
      </c>
      <c r="AQ19" s="141">
        <f t="shared" si="44"/>
        <v>-12666.666666666666</v>
      </c>
      <c r="AR19" s="141">
        <f t="shared" si="44"/>
        <v>-12666.666666666666</v>
      </c>
      <c r="AS19" s="141">
        <f t="shared" si="44"/>
        <v>-12666.666666666666</v>
      </c>
      <c r="AT19" s="141">
        <f t="shared" si="44"/>
        <v>-12666.666666666666</v>
      </c>
      <c r="AU19" s="141">
        <f t="shared" si="44"/>
        <v>-12666.666666666666</v>
      </c>
      <c r="AV19" s="141">
        <f t="shared" si="44"/>
        <v>-12666.666666666666</v>
      </c>
      <c r="AW19" s="141">
        <f t="shared" si="44"/>
        <v>-12666.666666666666</v>
      </c>
      <c r="AX19" s="141">
        <f t="shared" si="44"/>
        <v>-12666.666666666666</v>
      </c>
      <c r="AY19" s="141">
        <f t="shared" si="44"/>
        <v>-12666.666666666666</v>
      </c>
      <c r="AZ19" s="141">
        <f t="shared" si="44"/>
        <v>-12666.666666666666</v>
      </c>
      <c r="BA19" s="141">
        <f>SUM($D19/12)*5</f>
        <v>-15833.333333333332</v>
      </c>
      <c r="BB19" s="141">
        <f t="shared" ref="BB19:BL22" si="45">SUM($D19/12)*5</f>
        <v>-15833.333333333332</v>
      </c>
      <c r="BC19" s="141">
        <f t="shared" si="45"/>
        <v>-15833.333333333332</v>
      </c>
      <c r="BD19" s="141">
        <f t="shared" si="45"/>
        <v>-15833.333333333332</v>
      </c>
      <c r="BE19" s="141">
        <f t="shared" si="45"/>
        <v>-15833.333333333332</v>
      </c>
      <c r="BF19" s="141">
        <f t="shared" si="45"/>
        <v>-15833.333333333332</v>
      </c>
      <c r="BG19" s="141">
        <f t="shared" si="45"/>
        <v>-15833.333333333332</v>
      </c>
      <c r="BH19" s="141">
        <f t="shared" si="45"/>
        <v>-15833.333333333332</v>
      </c>
      <c r="BI19" s="141">
        <f t="shared" si="45"/>
        <v>-15833.333333333332</v>
      </c>
      <c r="BJ19" s="141">
        <f t="shared" si="45"/>
        <v>-15833.333333333332</v>
      </c>
      <c r="BK19" s="141">
        <f t="shared" si="45"/>
        <v>-15833.333333333332</v>
      </c>
      <c r="BL19" s="141">
        <f t="shared" si="45"/>
        <v>-15833.333333333332</v>
      </c>
      <c r="BM19" s="141"/>
      <c r="BN19" s="141"/>
    </row>
    <row r="20" spans="2:66">
      <c r="C20" s="8" t="s">
        <v>219</v>
      </c>
      <c r="D20" s="155">
        <v>-35000</v>
      </c>
      <c r="E20" s="141">
        <f t="shared" si="40"/>
        <v>-2916.6666666666665</v>
      </c>
      <c r="F20" s="141">
        <f t="shared" si="41"/>
        <v>-2916.6666666666665</v>
      </c>
      <c r="G20" s="141">
        <f t="shared" si="41"/>
        <v>-2916.6666666666665</v>
      </c>
      <c r="H20" s="141">
        <f t="shared" ref="H20:AB20" si="46">SUM($D20/12)</f>
        <v>-2916.6666666666665</v>
      </c>
      <c r="I20" s="141">
        <f t="shared" si="46"/>
        <v>-2916.6666666666665</v>
      </c>
      <c r="J20" s="141">
        <f t="shared" si="46"/>
        <v>-2916.6666666666665</v>
      </c>
      <c r="K20" s="141">
        <f t="shared" si="46"/>
        <v>-2916.6666666666665</v>
      </c>
      <c r="L20" s="141">
        <f t="shared" si="46"/>
        <v>-2916.6666666666665</v>
      </c>
      <c r="M20" s="141">
        <f t="shared" si="46"/>
        <v>-2916.6666666666665</v>
      </c>
      <c r="N20" s="141">
        <f t="shared" si="46"/>
        <v>-2916.6666666666665</v>
      </c>
      <c r="O20" s="141">
        <f t="shared" si="46"/>
        <v>-2916.6666666666665</v>
      </c>
      <c r="P20" s="141">
        <f t="shared" si="46"/>
        <v>-2916.6666666666665</v>
      </c>
      <c r="Q20" s="141">
        <f t="shared" ref="Q20:Q22" si="47">SUM($D20/12)*1.5</f>
        <v>-4375</v>
      </c>
      <c r="R20" s="141">
        <f t="shared" si="42"/>
        <v>-4375</v>
      </c>
      <c r="S20" s="141">
        <f t="shared" si="42"/>
        <v>-4375</v>
      </c>
      <c r="T20" s="141">
        <f t="shared" si="42"/>
        <v>-4375</v>
      </c>
      <c r="U20" s="141">
        <f t="shared" si="42"/>
        <v>-4375</v>
      </c>
      <c r="V20" s="141">
        <f t="shared" si="42"/>
        <v>-4375</v>
      </c>
      <c r="W20" s="141">
        <f t="shared" si="42"/>
        <v>-4375</v>
      </c>
      <c r="X20" s="141">
        <f t="shared" si="42"/>
        <v>-4375</v>
      </c>
      <c r="Y20" s="141">
        <f t="shared" si="42"/>
        <v>-4375</v>
      </c>
      <c r="Z20" s="141">
        <f t="shared" si="46"/>
        <v>-2916.6666666666665</v>
      </c>
      <c r="AA20" s="141">
        <f t="shared" si="46"/>
        <v>-2916.6666666666665</v>
      </c>
      <c r="AB20" s="141">
        <f t="shared" si="46"/>
        <v>-2916.6666666666665</v>
      </c>
      <c r="AC20" s="141">
        <f t="shared" ref="AC20:AC22" si="48">SUM($D20/12)*2.5</f>
        <v>-7291.6666666666661</v>
      </c>
      <c r="AD20" s="141">
        <f t="shared" si="43"/>
        <v>-7291.6666666666661</v>
      </c>
      <c r="AE20" s="141">
        <f t="shared" si="43"/>
        <v>-7291.6666666666661</v>
      </c>
      <c r="AF20" s="141">
        <f t="shared" si="43"/>
        <v>-7291.6666666666661</v>
      </c>
      <c r="AG20" s="141">
        <f t="shared" si="43"/>
        <v>-7291.6666666666661</v>
      </c>
      <c r="AH20" s="141">
        <f t="shared" si="43"/>
        <v>-7291.6666666666661</v>
      </c>
      <c r="AI20" s="141">
        <f t="shared" si="43"/>
        <v>-7291.6666666666661</v>
      </c>
      <c r="AJ20" s="141">
        <f t="shared" si="43"/>
        <v>-7291.6666666666661</v>
      </c>
      <c r="AK20" s="141">
        <f t="shared" si="43"/>
        <v>-7291.6666666666661</v>
      </c>
      <c r="AL20" s="141">
        <f t="shared" si="43"/>
        <v>-7291.6666666666661</v>
      </c>
      <c r="AM20" s="141">
        <f t="shared" si="43"/>
        <v>-7291.6666666666661</v>
      </c>
      <c r="AN20" s="141">
        <f t="shared" si="43"/>
        <v>-7291.6666666666661</v>
      </c>
      <c r="AO20" s="141">
        <f t="shared" ref="AO20:AO22" si="49">SUM($D20/12)*4</f>
        <v>-11666.666666666666</v>
      </c>
      <c r="AP20" s="141">
        <f t="shared" si="44"/>
        <v>-11666.666666666666</v>
      </c>
      <c r="AQ20" s="141">
        <f t="shared" si="44"/>
        <v>-11666.666666666666</v>
      </c>
      <c r="AR20" s="141">
        <f t="shared" si="44"/>
        <v>-11666.666666666666</v>
      </c>
      <c r="AS20" s="141">
        <f t="shared" si="44"/>
        <v>-11666.666666666666</v>
      </c>
      <c r="AT20" s="141">
        <f t="shared" si="44"/>
        <v>-11666.666666666666</v>
      </c>
      <c r="AU20" s="141">
        <f t="shared" si="44"/>
        <v>-11666.666666666666</v>
      </c>
      <c r="AV20" s="141">
        <f t="shared" si="44"/>
        <v>-11666.666666666666</v>
      </c>
      <c r="AW20" s="141">
        <f t="shared" si="44"/>
        <v>-11666.666666666666</v>
      </c>
      <c r="AX20" s="141">
        <f t="shared" si="44"/>
        <v>-11666.666666666666</v>
      </c>
      <c r="AY20" s="141">
        <f t="shared" si="44"/>
        <v>-11666.666666666666</v>
      </c>
      <c r="AZ20" s="141">
        <f t="shared" si="44"/>
        <v>-11666.666666666666</v>
      </c>
      <c r="BA20" s="141">
        <f t="shared" ref="BA20:BA22" si="50">SUM($D20/12)*5</f>
        <v>-14583.333333333332</v>
      </c>
      <c r="BB20" s="141">
        <f t="shared" si="45"/>
        <v>-14583.333333333332</v>
      </c>
      <c r="BC20" s="141">
        <f t="shared" si="45"/>
        <v>-14583.333333333332</v>
      </c>
      <c r="BD20" s="141">
        <f t="shared" si="45"/>
        <v>-14583.333333333332</v>
      </c>
      <c r="BE20" s="141">
        <f t="shared" si="45"/>
        <v>-14583.333333333332</v>
      </c>
      <c r="BF20" s="141">
        <f t="shared" si="45"/>
        <v>-14583.333333333332</v>
      </c>
      <c r="BG20" s="141">
        <f t="shared" si="45"/>
        <v>-14583.333333333332</v>
      </c>
      <c r="BH20" s="141">
        <f t="shared" si="45"/>
        <v>-14583.333333333332</v>
      </c>
      <c r="BI20" s="141">
        <f t="shared" si="45"/>
        <v>-14583.333333333332</v>
      </c>
      <c r="BJ20" s="141">
        <f t="shared" si="45"/>
        <v>-14583.333333333332</v>
      </c>
      <c r="BK20" s="141">
        <f t="shared" si="45"/>
        <v>-14583.333333333332</v>
      </c>
      <c r="BL20" s="141">
        <f t="shared" si="45"/>
        <v>-14583.333333333332</v>
      </c>
      <c r="BM20" s="141"/>
      <c r="BN20" s="141"/>
    </row>
    <row r="21" spans="2:66">
      <c r="C21" s="8" t="s">
        <v>220</v>
      </c>
      <c r="D21" s="155">
        <v>-32000</v>
      </c>
      <c r="E21" s="141">
        <f t="shared" si="40"/>
        <v>-2666.6666666666665</v>
      </c>
      <c r="F21" s="141">
        <f t="shared" ref="F21:AB21" si="51">SUM($D21/12)</f>
        <v>-2666.6666666666665</v>
      </c>
      <c r="G21" s="141">
        <f t="shared" si="51"/>
        <v>-2666.6666666666665</v>
      </c>
      <c r="H21" s="141">
        <f t="shared" si="51"/>
        <v>-2666.6666666666665</v>
      </c>
      <c r="I21" s="141">
        <f t="shared" si="51"/>
        <v>-2666.6666666666665</v>
      </c>
      <c r="J21" s="141">
        <f t="shared" si="51"/>
        <v>-2666.6666666666665</v>
      </c>
      <c r="K21" s="141">
        <f t="shared" si="51"/>
        <v>-2666.6666666666665</v>
      </c>
      <c r="L21" s="141">
        <f t="shared" si="51"/>
        <v>-2666.6666666666665</v>
      </c>
      <c r="M21" s="141">
        <f t="shared" si="51"/>
        <v>-2666.6666666666665</v>
      </c>
      <c r="N21" s="141">
        <f t="shared" si="51"/>
        <v>-2666.6666666666665</v>
      </c>
      <c r="O21" s="141">
        <f t="shared" si="51"/>
        <v>-2666.6666666666665</v>
      </c>
      <c r="P21" s="141">
        <f t="shared" si="51"/>
        <v>-2666.6666666666665</v>
      </c>
      <c r="Q21" s="141">
        <f t="shared" si="47"/>
        <v>-4000</v>
      </c>
      <c r="R21" s="141">
        <f t="shared" si="42"/>
        <v>-4000</v>
      </c>
      <c r="S21" s="141">
        <f t="shared" si="42"/>
        <v>-4000</v>
      </c>
      <c r="T21" s="141">
        <f t="shared" si="42"/>
        <v>-4000</v>
      </c>
      <c r="U21" s="141">
        <f t="shared" si="42"/>
        <v>-4000</v>
      </c>
      <c r="V21" s="141">
        <f t="shared" si="42"/>
        <v>-4000</v>
      </c>
      <c r="W21" s="141">
        <f t="shared" si="42"/>
        <v>-4000</v>
      </c>
      <c r="X21" s="141">
        <f t="shared" si="42"/>
        <v>-4000</v>
      </c>
      <c r="Y21" s="141">
        <f t="shared" si="42"/>
        <v>-4000</v>
      </c>
      <c r="Z21" s="141">
        <f t="shared" si="51"/>
        <v>-2666.6666666666665</v>
      </c>
      <c r="AA21" s="141">
        <f t="shared" si="51"/>
        <v>-2666.6666666666665</v>
      </c>
      <c r="AB21" s="141">
        <f t="shared" si="51"/>
        <v>-2666.6666666666665</v>
      </c>
      <c r="AC21" s="141">
        <f t="shared" si="48"/>
        <v>-6666.6666666666661</v>
      </c>
      <c r="AD21" s="141">
        <f t="shared" si="43"/>
        <v>-6666.6666666666661</v>
      </c>
      <c r="AE21" s="141">
        <f t="shared" si="43"/>
        <v>-6666.6666666666661</v>
      </c>
      <c r="AF21" s="141">
        <f t="shared" si="43"/>
        <v>-6666.6666666666661</v>
      </c>
      <c r="AG21" s="141">
        <f t="shared" si="43"/>
        <v>-6666.6666666666661</v>
      </c>
      <c r="AH21" s="141">
        <f t="shared" si="43"/>
        <v>-6666.6666666666661</v>
      </c>
      <c r="AI21" s="141">
        <f t="shared" si="43"/>
        <v>-6666.6666666666661</v>
      </c>
      <c r="AJ21" s="141">
        <f t="shared" si="43"/>
        <v>-6666.6666666666661</v>
      </c>
      <c r="AK21" s="141">
        <f t="shared" si="43"/>
        <v>-6666.6666666666661</v>
      </c>
      <c r="AL21" s="141">
        <f t="shared" si="43"/>
        <v>-6666.6666666666661</v>
      </c>
      <c r="AM21" s="141">
        <f t="shared" si="43"/>
        <v>-6666.6666666666661</v>
      </c>
      <c r="AN21" s="141">
        <f t="shared" si="43"/>
        <v>-6666.6666666666661</v>
      </c>
      <c r="AO21" s="141">
        <f t="shared" si="49"/>
        <v>-10666.666666666666</v>
      </c>
      <c r="AP21" s="141">
        <f t="shared" si="44"/>
        <v>-10666.666666666666</v>
      </c>
      <c r="AQ21" s="141">
        <f t="shared" si="44"/>
        <v>-10666.666666666666</v>
      </c>
      <c r="AR21" s="141">
        <f t="shared" si="44"/>
        <v>-10666.666666666666</v>
      </c>
      <c r="AS21" s="141">
        <f t="shared" si="44"/>
        <v>-10666.666666666666</v>
      </c>
      <c r="AT21" s="141">
        <f t="shared" si="44"/>
        <v>-10666.666666666666</v>
      </c>
      <c r="AU21" s="141">
        <f t="shared" si="44"/>
        <v>-10666.666666666666</v>
      </c>
      <c r="AV21" s="141">
        <f t="shared" si="44"/>
        <v>-10666.666666666666</v>
      </c>
      <c r="AW21" s="141">
        <f t="shared" si="44"/>
        <v>-10666.666666666666</v>
      </c>
      <c r="AX21" s="141">
        <f t="shared" si="44"/>
        <v>-10666.666666666666</v>
      </c>
      <c r="AY21" s="141">
        <f t="shared" si="44"/>
        <v>-10666.666666666666</v>
      </c>
      <c r="AZ21" s="141">
        <f t="shared" si="44"/>
        <v>-10666.666666666666</v>
      </c>
      <c r="BA21" s="141">
        <f t="shared" si="50"/>
        <v>-13333.333333333332</v>
      </c>
      <c r="BB21" s="141">
        <f t="shared" si="45"/>
        <v>-13333.333333333332</v>
      </c>
      <c r="BC21" s="141">
        <f t="shared" si="45"/>
        <v>-13333.333333333332</v>
      </c>
      <c r="BD21" s="141">
        <f t="shared" si="45"/>
        <v>-13333.333333333332</v>
      </c>
      <c r="BE21" s="141">
        <f t="shared" si="45"/>
        <v>-13333.333333333332</v>
      </c>
      <c r="BF21" s="141">
        <f t="shared" si="45"/>
        <v>-13333.333333333332</v>
      </c>
      <c r="BG21" s="141">
        <f t="shared" si="45"/>
        <v>-13333.333333333332</v>
      </c>
      <c r="BH21" s="141">
        <f t="shared" si="45"/>
        <v>-13333.333333333332</v>
      </c>
      <c r="BI21" s="141">
        <f t="shared" si="45"/>
        <v>-13333.333333333332</v>
      </c>
      <c r="BJ21" s="141">
        <f t="shared" si="45"/>
        <v>-13333.333333333332</v>
      </c>
      <c r="BK21" s="141">
        <f t="shared" si="45"/>
        <v>-13333.333333333332</v>
      </c>
      <c r="BL21" s="141">
        <f t="shared" si="45"/>
        <v>-13333.333333333332</v>
      </c>
      <c r="BM21" s="141"/>
      <c r="BN21" s="141"/>
    </row>
    <row r="22" spans="2:66">
      <c r="C22" s="8" t="s">
        <v>221</v>
      </c>
      <c r="D22" s="155">
        <v>-34000</v>
      </c>
      <c r="E22" s="141">
        <f t="shared" si="40"/>
        <v>-2833.3333333333335</v>
      </c>
      <c r="F22" s="141">
        <f t="shared" si="41"/>
        <v>-2833.3333333333335</v>
      </c>
      <c r="G22" s="141">
        <f t="shared" si="41"/>
        <v>-2833.3333333333335</v>
      </c>
      <c r="H22" s="141">
        <f t="shared" si="41"/>
        <v>-2833.3333333333335</v>
      </c>
      <c r="I22" s="141">
        <f t="shared" si="41"/>
        <v>-2833.3333333333335</v>
      </c>
      <c r="J22" s="141">
        <f t="shared" si="41"/>
        <v>-2833.3333333333335</v>
      </c>
      <c r="K22" s="141">
        <f t="shared" si="41"/>
        <v>-2833.3333333333335</v>
      </c>
      <c r="L22" s="141">
        <f t="shared" si="41"/>
        <v>-2833.3333333333335</v>
      </c>
      <c r="M22" s="141">
        <f t="shared" si="41"/>
        <v>-2833.3333333333335</v>
      </c>
      <c r="N22" s="141">
        <f t="shared" si="41"/>
        <v>-2833.3333333333335</v>
      </c>
      <c r="O22" s="141">
        <f t="shared" si="41"/>
        <v>-2833.3333333333335</v>
      </c>
      <c r="P22" s="141">
        <f t="shared" si="41"/>
        <v>-2833.3333333333335</v>
      </c>
      <c r="Q22" s="141">
        <f t="shared" si="47"/>
        <v>-4250</v>
      </c>
      <c r="R22" s="141">
        <f t="shared" si="42"/>
        <v>-4250</v>
      </c>
      <c r="S22" s="141">
        <f t="shared" si="42"/>
        <v>-4250</v>
      </c>
      <c r="T22" s="141">
        <f t="shared" si="42"/>
        <v>-4250</v>
      </c>
      <c r="U22" s="141">
        <f t="shared" si="42"/>
        <v>-4250</v>
      </c>
      <c r="V22" s="141">
        <f t="shared" si="42"/>
        <v>-4250</v>
      </c>
      <c r="W22" s="141">
        <f t="shared" si="42"/>
        <v>-4250</v>
      </c>
      <c r="X22" s="141">
        <f t="shared" si="42"/>
        <v>-4250</v>
      </c>
      <c r="Y22" s="141">
        <f t="shared" si="42"/>
        <v>-4250</v>
      </c>
      <c r="Z22" s="141">
        <f t="shared" si="41"/>
        <v>-2833.3333333333335</v>
      </c>
      <c r="AA22" s="141">
        <f t="shared" si="41"/>
        <v>-2833.3333333333335</v>
      </c>
      <c r="AB22" s="141">
        <f t="shared" si="41"/>
        <v>-2833.3333333333335</v>
      </c>
      <c r="AC22" s="141">
        <f t="shared" si="48"/>
        <v>-7083.3333333333339</v>
      </c>
      <c r="AD22" s="141">
        <f t="shared" si="43"/>
        <v>-7083.3333333333339</v>
      </c>
      <c r="AE22" s="141">
        <f t="shared" si="43"/>
        <v>-7083.3333333333339</v>
      </c>
      <c r="AF22" s="141">
        <f t="shared" si="43"/>
        <v>-7083.3333333333339</v>
      </c>
      <c r="AG22" s="141">
        <f t="shared" si="43"/>
        <v>-7083.3333333333339</v>
      </c>
      <c r="AH22" s="141">
        <f t="shared" si="43"/>
        <v>-7083.3333333333339</v>
      </c>
      <c r="AI22" s="141">
        <f t="shared" si="43"/>
        <v>-7083.3333333333339</v>
      </c>
      <c r="AJ22" s="141">
        <f t="shared" si="43"/>
        <v>-7083.3333333333339</v>
      </c>
      <c r="AK22" s="141">
        <f t="shared" si="43"/>
        <v>-7083.3333333333339</v>
      </c>
      <c r="AL22" s="141">
        <f t="shared" si="43"/>
        <v>-7083.3333333333339</v>
      </c>
      <c r="AM22" s="141">
        <f t="shared" si="43"/>
        <v>-7083.3333333333339</v>
      </c>
      <c r="AN22" s="141">
        <f t="shared" si="43"/>
        <v>-7083.3333333333339</v>
      </c>
      <c r="AO22" s="141">
        <f t="shared" si="49"/>
        <v>-11333.333333333334</v>
      </c>
      <c r="AP22" s="141">
        <f t="shared" si="44"/>
        <v>-11333.333333333334</v>
      </c>
      <c r="AQ22" s="141">
        <f t="shared" si="44"/>
        <v>-11333.333333333334</v>
      </c>
      <c r="AR22" s="141">
        <f t="shared" si="44"/>
        <v>-11333.333333333334</v>
      </c>
      <c r="AS22" s="141">
        <f t="shared" si="44"/>
        <v>-11333.333333333334</v>
      </c>
      <c r="AT22" s="141">
        <f t="shared" si="44"/>
        <v>-11333.333333333334</v>
      </c>
      <c r="AU22" s="141">
        <f t="shared" si="44"/>
        <v>-11333.333333333334</v>
      </c>
      <c r="AV22" s="141">
        <f t="shared" si="44"/>
        <v>-11333.333333333334</v>
      </c>
      <c r="AW22" s="141">
        <f t="shared" si="44"/>
        <v>-11333.333333333334</v>
      </c>
      <c r="AX22" s="141">
        <f t="shared" si="44"/>
        <v>-11333.333333333334</v>
      </c>
      <c r="AY22" s="141">
        <f t="shared" si="44"/>
        <v>-11333.333333333334</v>
      </c>
      <c r="AZ22" s="141">
        <f t="shared" si="44"/>
        <v>-11333.333333333334</v>
      </c>
      <c r="BA22" s="141">
        <f t="shared" si="50"/>
        <v>-14166.666666666668</v>
      </c>
      <c r="BB22" s="141">
        <f t="shared" si="45"/>
        <v>-14166.666666666668</v>
      </c>
      <c r="BC22" s="141">
        <f t="shared" si="45"/>
        <v>-14166.666666666668</v>
      </c>
      <c r="BD22" s="141">
        <f t="shared" si="45"/>
        <v>-14166.666666666668</v>
      </c>
      <c r="BE22" s="141">
        <f t="shared" si="45"/>
        <v>-14166.666666666668</v>
      </c>
      <c r="BF22" s="141">
        <f t="shared" si="45"/>
        <v>-14166.666666666668</v>
      </c>
      <c r="BG22" s="141">
        <f t="shared" si="45"/>
        <v>-14166.666666666668</v>
      </c>
      <c r="BH22" s="141">
        <f t="shared" si="45"/>
        <v>-14166.666666666668</v>
      </c>
      <c r="BI22" s="141">
        <f t="shared" si="45"/>
        <v>-14166.666666666668</v>
      </c>
      <c r="BJ22" s="141">
        <f t="shared" si="45"/>
        <v>-14166.666666666668</v>
      </c>
      <c r="BK22" s="141">
        <f t="shared" si="45"/>
        <v>-14166.666666666668</v>
      </c>
      <c r="BL22" s="141">
        <f t="shared" si="45"/>
        <v>-14166.666666666668</v>
      </c>
      <c r="BM22" s="141"/>
      <c r="BN22" s="141"/>
    </row>
    <row r="23" spans="2:66">
      <c r="C23" s="8" t="s">
        <v>222</v>
      </c>
      <c r="D23" s="155">
        <v>-60000</v>
      </c>
      <c r="E23" s="141"/>
      <c r="F23" s="141"/>
      <c r="G23" s="141"/>
      <c r="H23" s="141">
        <f t="shared" si="41"/>
        <v>-5000</v>
      </c>
      <c r="I23" s="141">
        <f t="shared" si="41"/>
        <v>-5000</v>
      </c>
      <c r="J23" s="141">
        <f t="shared" si="41"/>
        <v>-5000</v>
      </c>
      <c r="K23" s="141">
        <f t="shared" si="41"/>
        <v>-5000</v>
      </c>
      <c r="L23" s="141">
        <f t="shared" si="41"/>
        <v>-5000</v>
      </c>
      <c r="M23" s="141">
        <f t="shared" si="41"/>
        <v>-5000</v>
      </c>
      <c r="N23" s="141">
        <f t="shared" si="41"/>
        <v>-5000</v>
      </c>
      <c r="O23" s="141">
        <f t="shared" si="41"/>
        <v>-5000</v>
      </c>
      <c r="P23" s="141">
        <f t="shared" si="41"/>
        <v>-5000</v>
      </c>
      <c r="Q23" s="141">
        <f t="shared" si="41"/>
        <v>-5000</v>
      </c>
      <c r="R23" s="141">
        <f t="shared" si="41"/>
        <v>-5000</v>
      </c>
      <c r="S23" s="141">
        <f t="shared" si="41"/>
        <v>-5000</v>
      </c>
      <c r="T23" s="141">
        <f t="shared" si="41"/>
        <v>-5000</v>
      </c>
      <c r="U23" s="141">
        <f t="shared" si="41"/>
        <v>-5000</v>
      </c>
      <c r="V23" s="141">
        <f t="shared" si="41"/>
        <v>-5000</v>
      </c>
      <c r="W23" s="141">
        <f t="shared" si="41"/>
        <v>-5000</v>
      </c>
      <c r="X23" s="141">
        <f t="shared" si="41"/>
        <v>-5000</v>
      </c>
      <c r="Y23" s="141">
        <f t="shared" si="41"/>
        <v>-5000</v>
      </c>
      <c r="Z23" s="141">
        <f t="shared" si="41"/>
        <v>-5000</v>
      </c>
      <c r="AA23" s="141">
        <f t="shared" si="41"/>
        <v>-5000</v>
      </c>
      <c r="AB23" s="141">
        <f t="shared" si="41"/>
        <v>-5000</v>
      </c>
      <c r="AC23" s="141">
        <f t="shared" si="41"/>
        <v>-5000</v>
      </c>
      <c r="AD23" s="141">
        <f t="shared" si="41"/>
        <v>-5000</v>
      </c>
      <c r="AE23" s="141">
        <f t="shared" si="41"/>
        <v>-5000</v>
      </c>
      <c r="AF23" s="141">
        <f t="shared" si="41"/>
        <v>-5000</v>
      </c>
      <c r="AG23" s="141">
        <f t="shared" si="41"/>
        <v>-5000</v>
      </c>
      <c r="AH23" s="141">
        <f t="shared" si="41"/>
        <v>-5000</v>
      </c>
      <c r="AI23" s="141">
        <f t="shared" si="41"/>
        <v>-5000</v>
      </c>
      <c r="AJ23" s="141">
        <f t="shared" si="41"/>
        <v>-5000</v>
      </c>
      <c r="AK23" s="141">
        <f t="shared" si="41"/>
        <v>-5000</v>
      </c>
      <c r="AL23" s="141">
        <f t="shared" si="41"/>
        <v>-5000</v>
      </c>
      <c r="AM23" s="141">
        <f t="shared" si="41"/>
        <v>-5000</v>
      </c>
      <c r="AN23" s="141">
        <f t="shared" si="41"/>
        <v>-5000</v>
      </c>
      <c r="AO23" s="141">
        <f t="shared" ref="AO23:AZ35" si="52">SUM($D23/12)</f>
        <v>-5000</v>
      </c>
      <c r="AP23" s="141">
        <f t="shared" si="52"/>
        <v>-5000</v>
      </c>
      <c r="AQ23" s="141">
        <f t="shared" si="52"/>
        <v>-5000</v>
      </c>
      <c r="AR23" s="141">
        <f t="shared" si="52"/>
        <v>-5000</v>
      </c>
      <c r="AS23" s="141">
        <f t="shared" si="52"/>
        <v>-5000</v>
      </c>
      <c r="AT23" s="141">
        <f t="shared" si="52"/>
        <v>-5000</v>
      </c>
      <c r="AU23" s="141">
        <f t="shared" si="52"/>
        <v>-5000</v>
      </c>
      <c r="AV23" s="141">
        <f t="shared" si="52"/>
        <v>-5000</v>
      </c>
      <c r="AW23" s="141">
        <f t="shared" si="52"/>
        <v>-5000</v>
      </c>
      <c r="AX23" s="141">
        <f t="shared" si="52"/>
        <v>-5000</v>
      </c>
      <c r="AY23" s="141">
        <f t="shared" si="52"/>
        <v>-5000</v>
      </c>
      <c r="AZ23" s="141">
        <f t="shared" si="52"/>
        <v>-5000</v>
      </c>
      <c r="BA23" s="141">
        <f t="shared" ref="BA23:BL35" si="53">SUM($D23/12)</f>
        <v>-5000</v>
      </c>
      <c r="BB23" s="141">
        <f t="shared" si="53"/>
        <v>-5000</v>
      </c>
      <c r="BC23" s="141">
        <f t="shared" si="53"/>
        <v>-5000</v>
      </c>
      <c r="BD23" s="141">
        <f t="shared" si="53"/>
        <v>-5000</v>
      </c>
      <c r="BE23" s="141">
        <f t="shared" si="53"/>
        <v>-5000</v>
      </c>
      <c r="BF23" s="141">
        <f t="shared" si="53"/>
        <v>-5000</v>
      </c>
      <c r="BG23" s="141">
        <f t="shared" si="53"/>
        <v>-5000</v>
      </c>
      <c r="BH23" s="141">
        <f t="shared" si="53"/>
        <v>-5000</v>
      </c>
      <c r="BI23" s="141">
        <f t="shared" si="53"/>
        <v>-5000</v>
      </c>
      <c r="BJ23" s="141">
        <f t="shared" si="53"/>
        <v>-5000</v>
      </c>
      <c r="BK23" s="141">
        <f t="shared" si="53"/>
        <v>-5000</v>
      </c>
      <c r="BL23" s="141">
        <f t="shared" si="53"/>
        <v>-5000</v>
      </c>
      <c r="BM23" s="141"/>
      <c r="BN23" s="141"/>
    </row>
    <row r="24" spans="2:66">
      <c r="C24" s="8" t="s">
        <v>223</v>
      </c>
      <c r="D24" s="155">
        <v>-60000</v>
      </c>
      <c r="E24" s="141"/>
      <c r="F24" s="141"/>
      <c r="G24" s="141"/>
      <c r="H24" s="141"/>
      <c r="I24" s="141"/>
      <c r="J24" s="141"/>
      <c r="K24" s="141">
        <f t="shared" si="41"/>
        <v>-5000</v>
      </c>
      <c r="L24" s="141">
        <f t="shared" si="41"/>
        <v>-5000</v>
      </c>
      <c r="M24" s="141">
        <f t="shared" si="41"/>
        <v>-5000</v>
      </c>
      <c r="N24" s="141">
        <f t="shared" si="41"/>
        <v>-5000</v>
      </c>
      <c r="O24" s="141">
        <f t="shared" si="41"/>
        <v>-5000</v>
      </c>
      <c r="P24" s="141">
        <f t="shared" si="41"/>
        <v>-5000</v>
      </c>
      <c r="Q24" s="141">
        <f t="shared" si="41"/>
        <v>-5000</v>
      </c>
      <c r="R24" s="141">
        <f t="shared" si="41"/>
        <v>-5000</v>
      </c>
      <c r="S24" s="141">
        <f t="shared" si="41"/>
        <v>-5000</v>
      </c>
      <c r="T24" s="141">
        <f t="shared" si="41"/>
        <v>-5000</v>
      </c>
      <c r="U24" s="141">
        <f t="shared" si="41"/>
        <v>-5000</v>
      </c>
      <c r="V24" s="141">
        <f t="shared" si="41"/>
        <v>-5000</v>
      </c>
      <c r="W24" s="141">
        <f t="shared" si="41"/>
        <v>-5000</v>
      </c>
      <c r="X24" s="141">
        <f t="shared" si="41"/>
        <v>-5000</v>
      </c>
      <c r="Y24" s="141">
        <f t="shared" si="41"/>
        <v>-5000</v>
      </c>
      <c r="Z24" s="141">
        <f t="shared" ref="Q24:AB31" si="54">SUM($D24/12)</f>
        <v>-5000</v>
      </c>
      <c r="AA24" s="141">
        <f t="shared" si="54"/>
        <v>-5000</v>
      </c>
      <c r="AB24" s="141">
        <f t="shared" si="54"/>
        <v>-5000</v>
      </c>
      <c r="AC24" s="141">
        <f t="shared" si="41"/>
        <v>-5000</v>
      </c>
      <c r="AD24" s="141">
        <f t="shared" si="41"/>
        <v>-5000</v>
      </c>
      <c r="AE24" s="141">
        <f t="shared" si="41"/>
        <v>-5000</v>
      </c>
      <c r="AF24" s="141">
        <f t="shared" si="41"/>
        <v>-5000</v>
      </c>
      <c r="AG24" s="141">
        <f t="shared" si="41"/>
        <v>-5000</v>
      </c>
      <c r="AH24" s="141">
        <f t="shared" si="41"/>
        <v>-5000</v>
      </c>
      <c r="AI24" s="141">
        <f t="shared" si="41"/>
        <v>-5000</v>
      </c>
      <c r="AJ24" s="141">
        <f t="shared" si="41"/>
        <v>-5000</v>
      </c>
      <c r="AK24" s="141">
        <f t="shared" si="41"/>
        <v>-5000</v>
      </c>
      <c r="AL24" s="141">
        <f t="shared" si="41"/>
        <v>-5000</v>
      </c>
      <c r="AM24" s="141">
        <f t="shared" si="41"/>
        <v>-5000</v>
      </c>
      <c r="AN24" s="141">
        <f t="shared" si="41"/>
        <v>-5000</v>
      </c>
      <c r="AO24" s="141">
        <f t="shared" si="52"/>
        <v>-5000</v>
      </c>
      <c r="AP24" s="141">
        <f t="shared" si="52"/>
        <v>-5000</v>
      </c>
      <c r="AQ24" s="141">
        <f t="shared" si="52"/>
        <v>-5000</v>
      </c>
      <c r="AR24" s="141">
        <f t="shared" si="52"/>
        <v>-5000</v>
      </c>
      <c r="AS24" s="141">
        <f t="shared" si="52"/>
        <v>-5000</v>
      </c>
      <c r="AT24" s="141">
        <f t="shared" si="52"/>
        <v>-5000</v>
      </c>
      <c r="AU24" s="141">
        <f t="shared" si="52"/>
        <v>-5000</v>
      </c>
      <c r="AV24" s="141">
        <f t="shared" si="52"/>
        <v>-5000</v>
      </c>
      <c r="AW24" s="141">
        <f t="shared" si="52"/>
        <v>-5000</v>
      </c>
      <c r="AX24" s="141">
        <f t="shared" si="52"/>
        <v>-5000</v>
      </c>
      <c r="AY24" s="141">
        <f t="shared" si="52"/>
        <v>-5000</v>
      </c>
      <c r="AZ24" s="141">
        <f t="shared" si="52"/>
        <v>-5000</v>
      </c>
      <c r="BA24" s="141">
        <f t="shared" si="53"/>
        <v>-5000</v>
      </c>
      <c r="BB24" s="141">
        <f t="shared" si="53"/>
        <v>-5000</v>
      </c>
      <c r="BC24" s="141">
        <f t="shared" si="53"/>
        <v>-5000</v>
      </c>
      <c r="BD24" s="141">
        <f t="shared" si="53"/>
        <v>-5000</v>
      </c>
      <c r="BE24" s="141">
        <f t="shared" si="53"/>
        <v>-5000</v>
      </c>
      <c r="BF24" s="141">
        <f t="shared" si="53"/>
        <v>-5000</v>
      </c>
      <c r="BG24" s="141">
        <f t="shared" si="53"/>
        <v>-5000</v>
      </c>
      <c r="BH24" s="141">
        <f t="shared" si="53"/>
        <v>-5000</v>
      </c>
      <c r="BI24" s="141">
        <f t="shared" si="53"/>
        <v>-5000</v>
      </c>
      <c r="BJ24" s="141">
        <f t="shared" si="53"/>
        <v>-5000</v>
      </c>
      <c r="BK24" s="141">
        <f t="shared" si="53"/>
        <v>-5000</v>
      </c>
      <c r="BL24" s="141">
        <f t="shared" si="53"/>
        <v>-5000</v>
      </c>
      <c r="BM24" s="141"/>
      <c r="BN24" s="141"/>
    </row>
    <row r="25" spans="2:66">
      <c r="C25" s="8" t="s">
        <v>224</v>
      </c>
      <c r="D25" s="155">
        <v>-60000</v>
      </c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>
        <f t="shared" si="54"/>
        <v>-5000</v>
      </c>
      <c r="R25" s="141">
        <f t="shared" si="54"/>
        <v>-5000</v>
      </c>
      <c r="S25" s="141">
        <f t="shared" si="54"/>
        <v>-5000</v>
      </c>
      <c r="T25" s="141">
        <f t="shared" si="54"/>
        <v>-5000</v>
      </c>
      <c r="U25" s="141">
        <f t="shared" si="54"/>
        <v>-5000</v>
      </c>
      <c r="V25" s="141">
        <f t="shared" si="54"/>
        <v>-5000</v>
      </c>
      <c r="W25" s="141">
        <f t="shared" si="54"/>
        <v>-5000</v>
      </c>
      <c r="X25" s="141">
        <f t="shared" si="54"/>
        <v>-5000</v>
      </c>
      <c r="Y25" s="141">
        <f t="shared" si="54"/>
        <v>-5000</v>
      </c>
      <c r="Z25" s="141">
        <f t="shared" si="54"/>
        <v>-5000</v>
      </c>
      <c r="AA25" s="141">
        <f t="shared" si="54"/>
        <v>-5000</v>
      </c>
      <c r="AB25" s="141">
        <f t="shared" si="54"/>
        <v>-5000</v>
      </c>
      <c r="AC25" s="141">
        <f t="shared" si="41"/>
        <v>-5000</v>
      </c>
      <c r="AD25" s="141">
        <f t="shared" si="41"/>
        <v>-5000</v>
      </c>
      <c r="AE25" s="141">
        <f t="shared" si="41"/>
        <v>-5000</v>
      </c>
      <c r="AF25" s="141">
        <f t="shared" si="41"/>
        <v>-5000</v>
      </c>
      <c r="AG25" s="141">
        <f t="shared" si="41"/>
        <v>-5000</v>
      </c>
      <c r="AH25" s="141">
        <f t="shared" si="41"/>
        <v>-5000</v>
      </c>
      <c r="AI25" s="141">
        <f t="shared" si="41"/>
        <v>-5000</v>
      </c>
      <c r="AJ25" s="141">
        <f t="shared" si="41"/>
        <v>-5000</v>
      </c>
      <c r="AK25" s="141">
        <f t="shared" si="41"/>
        <v>-5000</v>
      </c>
      <c r="AL25" s="141">
        <f t="shared" si="41"/>
        <v>-5000</v>
      </c>
      <c r="AM25" s="141">
        <f t="shared" si="41"/>
        <v>-5000</v>
      </c>
      <c r="AN25" s="141">
        <f t="shared" si="41"/>
        <v>-5000</v>
      </c>
      <c r="AO25" s="141">
        <f t="shared" si="52"/>
        <v>-5000</v>
      </c>
      <c r="AP25" s="141">
        <f t="shared" si="52"/>
        <v>-5000</v>
      </c>
      <c r="AQ25" s="141">
        <f t="shared" si="52"/>
        <v>-5000</v>
      </c>
      <c r="AR25" s="141">
        <f t="shared" si="52"/>
        <v>-5000</v>
      </c>
      <c r="AS25" s="141">
        <f t="shared" si="52"/>
        <v>-5000</v>
      </c>
      <c r="AT25" s="141">
        <f t="shared" si="52"/>
        <v>-5000</v>
      </c>
      <c r="AU25" s="141">
        <f t="shared" si="52"/>
        <v>-5000</v>
      </c>
      <c r="AV25" s="141">
        <f t="shared" si="52"/>
        <v>-5000</v>
      </c>
      <c r="AW25" s="141">
        <f t="shared" si="52"/>
        <v>-5000</v>
      </c>
      <c r="AX25" s="141">
        <f t="shared" si="52"/>
        <v>-5000</v>
      </c>
      <c r="AY25" s="141">
        <f t="shared" si="52"/>
        <v>-5000</v>
      </c>
      <c r="AZ25" s="141">
        <f t="shared" si="52"/>
        <v>-5000</v>
      </c>
      <c r="BA25" s="141">
        <f t="shared" si="53"/>
        <v>-5000</v>
      </c>
      <c r="BB25" s="141">
        <f t="shared" si="53"/>
        <v>-5000</v>
      </c>
      <c r="BC25" s="141">
        <f t="shared" si="53"/>
        <v>-5000</v>
      </c>
      <c r="BD25" s="141">
        <f t="shared" si="53"/>
        <v>-5000</v>
      </c>
      <c r="BE25" s="141">
        <f t="shared" si="53"/>
        <v>-5000</v>
      </c>
      <c r="BF25" s="141">
        <f t="shared" si="53"/>
        <v>-5000</v>
      </c>
      <c r="BG25" s="141">
        <f t="shared" si="53"/>
        <v>-5000</v>
      </c>
      <c r="BH25" s="141">
        <f t="shared" si="53"/>
        <v>-5000</v>
      </c>
      <c r="BI25" s="141">
        <f t="shared" si="53"/>
        <v>-5000</v>
      </c>
      <c r="BJ25" s="141">
        <f t="shared" si="53"/>
        <v>-5000</v>
      </c>
      <c r="BK25" s="141">
        <f t="shared" si="53"/>
        <v>-5000</v>
      </c>
      <c r="BL25" s="141">
        <f t="shared" si="53"/>
        <v>-5000</v>
      </c>
      <c r="BM25" s="141"/>
      <c r="BN25" s="141"/>
    </row>
    <row r="26" spans="2:66">
      <c r="C26" s="8" t="s">
        <v>225</v>
      </c>
      <c r="D26" s="155">
        <v>-60000</v>
      </c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>
        <f t="shared" si="54"/>
        <v>-5000</v>
      </c>
      <c r="R26" s="141">
        <f t="shared" si="54"/>
        <v>-5000</v>
      </c>
      <c r="S26" s="141">
        <f t="shared" si="54"/>
        <v>-5000</v>
      </c>
      <c r="T26" s="141">
        <f t="shared" si="54"/>
        <v>-5000</v>
      </c>
      <c r="U26" s="141">
        <f t="shared" si="54"/>
        <v>-5000</v>
      </c>
      <c r="V26" s="141">
        <f t="shared" si="54"/>
        <v>-5000</v>
      </c>
      <c r="W26" s="141">
        <f t="shared" si="54"/>
        <v>-5000</v>
      </c>
      <c r="X26" s="141">
        <f t="shared" si="54"/>
        <v>-5000</v>
      </c>
      <c r="Y26" s="141">
        <f t="shared" si="54"/>
        <v>-5000</v>
      </c>
      <c r="Z26" s="141">
        <f t="shared" si="54"/>
        <v>-5000</v>
      </c>
      <c r="AA26" s="141">
        <f t="shared" si="54"/>
        <v>-5000</v>
      </c>
      <c r="AB26" s="141">
        <f t="shared" si="54"/>
        <v>-5000</v>
      </c>
      <c r="AC26" s="141">
        <f t="shared" si="41"/>
        <v>-5000</v>
      </c>
      <c r="AD26" s="141">
        <f t="shared" si="41"/>
        <v>-5000</v>
      </c>
      <c r="AE26" s="141">
        <f t="shared" si="41"/>
        <v>-5000</v>
      </c>
      <c r="AF26" s="141">
        <f t="shared" si="41"/>
        <v>-5000</v>
      </c>
      <c r="AG26" s="141">
        <f t="shared" si="41"/>
        <v>-5000</v>
      </c>
      <c r="AH26" s="141">
        <f t="shared" si="41"/>
        <v>-5000</v>
      </c>
      <c r="AI26" s="141">
        <f t="shared" si="41"/>
        <v>-5000</v>
      </c>
      <c r="AJ26" s="141">
        <f t="shared" si="41"/>
        <v>-5000</v>
      </c>
      <c r="AK26" s="141">
        <f t="shared" si="41"/>
        <v>-5000</v>
      </c>
      <c r="AL26" s="141">
        <f t="shared" si="41"/>
        <v>-5000</v>
      </c>
      <c r="AM26" s="141">
        <f t="shared" si="41"/>
        <v>-5000</v>
      </c>
      <c r="AN26" s="141">
        <f t="shared" si="41"/>
        <v>-5000</v>
      </c>
      <c r="AO26" s="141">
        <f t="shared" si="52"/>
        <v>-5000</v>
      </c>
      <c r="AP26" s="141">
        <f t="shared" si="52"/>
        <v>-5000</v>
      </c>
      <c r="AQ26" s="141">
        <f t="shared" si="52"/>
        <v>-5000</v>
      </c>
      <c r="AR26" s="141">
        <f t="shared" si="52"/>
        <v>-5000</v>
      </c>
      <c r="AS26" s="141">
        <f t="shared" si="52"/>
        <v>-5000</v>
      </c>
      <c r="AT26" s="141">
        <f t="shared" si="52"/>
        <v>-5000</v>
      </c>
      <c r="AU26" s="141">
        <f t="shared" si="52"/>
        <v>-5000</v>
      </c>
      <c r="AV26" s="141">
        <f t="shared" si="52"/>
        <v>-5000</v>
      </c>
      <c r="AW26" s="141">
        <f t="shared" si="52"/>
        <v>-5000</v>
      </c>
      <c r="AX26" s="141">
        <f t="shared" si="52"/>
        <v>-5000</v>
      </c>
      <c r="AY26" s="141">
        <f t="shared" si="52"/>
        <v>-5000</v>
      </c>
      <c r="AZ26" s="141">
        <f t="shared" si="52"/>
        <v>-5000</v>
      </c>
      <c r="BA26" s="141">
        <f t="shared" si="53"/>
        <v>-5000</v>
      </c>
      <c r="BB26" s="141">
        <f t="shared" si="53"/>
        <v>-5000</v>
      </c>
      <c r="BC26" s="141">
        <f t="shared" si="53"/>
        <v>-5000</v>
      </c>
      <c r="BD26" s="141">
        <f t="shared" si="53"/>
        <v>-5000</v>
      </c>
      <c r="BE26" s="141">
        <f t="shared" si="53"/>
        <v>-5000</v>
      </c>
      <c r="BF26" s="141">
        <f t="shared" si="53"/>
        <v>-5000</v>
      </c>
      <c r="BG26" s="141">
        <f t="shared" si="53"/>
        <v>-5000</v>
      </c>
      <c r="BH26" s="141">
        <f t="shared" si="53"/>
        <v>-5000</v>
      </c>
      <c r="BI26" s="141">
        <f t="shared" si="53"/>
        <v>-5000</v>
      </c>
      <c r="BJ26" s="141">
        <f t="shared" si="53"/>
        <v>-5000</v>
      </c>
      <c r="BK26" s="141">
        <f t="shared" si="53"/>
        <v>-5000</v>
      </c>
      <c r="BL26" s="141">
        <f t="shared" si="53"/>
        <v>-5000</v>
      </c>
      <c r="BM26" s="141"/>
      <c r="BN26" s="141"/>
    </row>
    <row r="27" spans="2:66">
      <c r="C27" s="8" t="s">
        <v>226</v>
      </c>
      <c r="D27" s="155">
        <v>-60000</v>
      </c>
      <c r="E27" s="141"/>
      <c r="F27" s="141"/>
      <c r="G27" s="141"/>
      <c r="H27" s="141"/>
      <c r="I27" s="141"/>
      <c r="J27" s="141"/>
      <c r="K27" s="141">
        <f t="shared" si="41"/>
        <v>-5000</v>
      </c>
      <c r="L27" s="141">
        <f t="shared" si="41"/>
        <v>-5000</v>
      </c>
      <c r="M27" s="141">
        <f t="shared" si="41"/>
        <v>-5000</v>
      </c>
      <c r="N27" s="141">
        <f t="shared" si="41"/>
        <v>-5000</v>
      </c>
      <c r="O27" s="141">
        <f t="shared" si="41"/>
        <v>-5000</v>
      </c>
      <c r="P27" s="141">
        <f t="shared" si="41"/>
        <v>-5000</v>
      </c>
      <c r="Q27" s="141">
        <f t="shared" si="54"/>
        <v>-5000</v>
      </c>
      <c r="R27" s="141">
        <f t="shared" si="54"/>
        <v>-5000</v>
      </c>
      <c r="S27" s="141">
        <f t="shared" si="54"/>
        <v>-5000</v>
      </c>
      <c r="T27" s="141">
        <f t="shared" si="54"/>
        <v>-5000</v>
      </c>
      <c r="U27" s="141">
        <f t="shared" si="54"/>
        <v>-5000</v>
      </c>
      <c r="V27" s="141">
        <f t="shared" si="54"/>
        <v>-5000</v>
      </c>
      <c r="W27" s="141">
        <f t="shared" si="54"/>
        <v>-5000</v>
      </c>
      <c r="X27" s="141">
        <f t="shared" si="54"/>
        <v>-5000</v>
      </c>
      <c r="Y27" s="141">
        <f t="shared" si="54"/>
        <v>-5000</v>
      </c>
      <c r="Z27" s="141">
        <f t="shared" si="54"/>
        <v>-5000</v>
      </c>
      <c r="AA27" s="141">
        <f t="shared" si="54"/>
        <v>-5000</v>
      </c>
      <c r="AB27" s="141">
        <f t="shared" si="54"/>
        <v>-5000</v>
      </c>
      <c r="AC27" s="141">
        <f t="shared" si="41"/>
        <v>-5000</v>
      </c>
      <c r="AD27" s="141">
        <f t="shared" si="41"/>
        <v>-5000</v>
      </c>
      <c r="AE27" s="141">
        <f t="shared" si="41"/>
        <v>-5000</v>
      </c>
      <c r="AF27" s="141">
        <f t="shared" si="41"/>
        <v>-5000</v>
      </c>
      <c r="AG27" s="141">
        <f t="shared" si="41"/>
        <v>-5000</v>
      </c>
      <c r="AH27" s="141">
        <f t="shared" si="41"/>
        <v>-5000</v>
      </c>
      <c r="AI27" s="141">
        <f t="shared" si="41"/>
        <v>-5000</v>
      </c>
      <c r="AJ27" s="141">
        <f t="shared" si="41"/>
        <v>-5000</v>
      </c>
      <c r="AK27" s="141">
        <f t="shared" si="41"/>
        <v>-5000</v>
      </c>
      <c r="AL27" s="141">
        <f t="shared" si="41"/>
        <v>-5000</v>
      </c>
      <c r="AM27" s="141">
        <f t="shared" si="41"/>
        <v>-5000</v>
      </c>
      <c r="AN27" s="141">
        <f t="shared" si="41"/>
        <v>-5000</v>
      </c>
      <c r="AO27" s="141">
        <f t="shared" si="52"/>
        <v>-5000</v>
      </c>
      <c r="AP27" s="141">
        <f t="shared" si="52"/>
        <v>-5000</v>
      </c>
      <c r="AQ27" s="141">
        <f t="shared" si="52"/>
        <v>-5000</v>
      </c>
      <c r="AR27" s="141">
        <f t="shared" si="52"/>
        <v>-5000</v>
      </c>
      <c r="AS27" s="141">
        <f t="shared" si="52"/>
        <v>-5000</v>
      </c>
      <c r="AT27" s="141">
        <f t="shared" si="52"/>
        <v>-5000</v>
      </c>
      <c r="AU27" s="141">
        <f t="shared" si="52"/>
        <v>-5000</v>
      </c>
      <c r="AV27" s="141">
        <f t="shared" si="52"/>
        <v>-5000</v>
      </c>
      <c r="AW27" s="141">
        <f t="shared" si="52"/>
        <v>-5000</v>
      </c>
      <c r="AX27" s="141">
        <f t="shared" si="52"/>
        <v>-5000</v>
      </c>
      <c r="AY27" s="141">
        <f t="shared" si="52"/>
        <v>-5000</v>
      </c>
      <c r="AZ27" s="141">
        <f t="shared" si="52"/>
        <v>-5000</v>
      </c>
      <c r="BA27" s="141">
        <f t="shared" si="53"/>
        <v>-5000</v>
      </c>
      <c r="BB27" s="141">
        <f t="shared" si="53"/>
        <v>-5000</v>
      </c>
      <c r="BC27" s="141">
        <f t="shared" si="53"/>
        <v>-5000</v>
      </c>
      <c r="BD27" s="141">
        <f t="shared" si="53"/>
        <v>-5000</v>
      </c>
      <c r="BE27" s="141">
        <f t="shared" si="53"/>
        <v>-5000</v>
      </c>
      <c r="BF27" s="141">
        <f t="shared" si="53"/>
        <v>-5000</v>
      </c>
      <c r="BG27" s="141">
        <f t="shared" si="53"/>
        <v>-5000</v>
      </c>
      <c r="BH27" s="141">
        <f t="shared" si="53"/>
        <v>-5000</v>
      </c>
      <c r="BI27" s="141">
        <f t="shared" si="53"/>
        <v>-5000</v>
      </c>
      <c r="BJ27" s="141">
        <f t="shared" si="53"/>
        <v>-5000</v>
      </c>
      <c r="BK27" s="141">
        <f t="shared" si="53"/>
        <v>-5000</v>
      </c>
      <c r="BL27" s="141">
        <f t="shared" si="53"/>
        <v>-5000</v>
      </c>
      <c r="BM27" s="141"/>
      <c r="BN27" s="141"/>
    </row>
    <row r="28" spans="2:66">
      <c r="C28" s="8" t="s">
        <v>227</v>
      </c>
      <c r="D28" s="155">
        <v>-60000</v>
      </c>
      <c r="E28" s="141"/>
      <c r="F28" s="141"/>
      <c r="G28" s="141"/>
      <c r="H28" s="141"/>
      <c r="I28" s="141"/>
      <c r="J28" s="141"/>
      <c r="Q28" s="141">
        <f t="shared" si="54"/>
        <v>-5000</v>
      </c>
      <c r="R28" s="141">
        <f t="shared" si="54"/>
        <v>-5000</v>
      </c>
      <c r="S28" s="141">
        <f t="shared" si="54"/>
        <v>-5000</v>
      </c>
      <c r="T28" s="141">
        <f t="shared" si="54"/>
        <v>-5000</v>
      </c>
      <c r="U28" s="141">
        <f t="shared" si="54"/>
        <v>-5000</v>
      </c>
      <c r="V28" s="141">
        <f t="shared" si="54"/>
        <v>-5000</v>
      </c>
      <c r="W28" s="141">
        <f t="shared" si="54"/>
        <v>-5000</v>
      </c>
      <c r="X28" s="141">
        <f t="shared" si="54"/>
        <v>-5000</v>
      </c>
      <c r="Y28" s="141">
        <f t="shared" si="54"/>
        <v>-5000</v>
      </c>
      <c r="Z28" s="141">
        <f t="shared" si="54"/>
        <v>-5000</v>
      </c>
      <c r="AA28" s="141">
        <f t="shared" si="54"/>
        <v>-5000</v>
      </c>
      <c r="AB28" s="141">
        <f t="shared" si="54"/>
        <v>-5000</v>
      </c>
      <c r="AC28" s="141">
        <f t="shared" si="41"/>
        <v>-5000</v>
      </c>
      <c r="AD28" s="141">
        <f t="shared" si="41"/>
        <v>-5000</v>
      </c>
      <c r="AE28" s="141">
        <f t="shared" si="41"/>
        <v>-5000</v>
      </c>
      <c r="AF28" s="141">
        <f t="shared" si="41"/>
        <v>-5000</v>
      </c>
      <c r="AG28" s="141">
        <f t="shared" si="41"/>
        <v>-5000</v>
      </c>
      <c r="AH28" s="141">
        <f t="shared" si="41"/>
        <v>-5000</v>
      </c>
      <c r="AI28" s="141">
        <f t="shared" si="41"/>
        <v>-5000</v>
      </c>
      <c r="AJ28" s="141">
        <f t="shared" si="41"/>
        <v>-5000</v>
      </c>
      <c r="AK28" s="141">
        <f t="shared" si="41"/>
        <v>-5000</v>
      </c>
      <c r="AL28" s="141">
        <f t="shared" si="41"/>
        <v>-5000</v>
      </c>
      <c r="AM28" s="141">
        <f t="shared" si="41"/>
        <v>-5000</v>
      </c>
      <c r="AN28" s="141">
        <f t="shared" si="41"/>
        <v>-5000</v>
      </c>
      <c r="AO28" s="141">
        <f t="shared" si="52"/>
        <v>-5000</v>
      </c>
      <c r="AP28" s="141">
        <f t="shared" si="52"/>
        <v>-5000</v>
      </c>
      <c r="AQ28" s="141">
        <f t="shared" si="52"/>
        <v>-5000</v>
      </c>
      <c r="AR28" s="141">
        <f t="shared" si="52"/>
        <v>-5000</v>
      </c>
      <c r="AS28" s="141">
        <f t="shared" si="52"/>
        <v>-5000</v>
      </c>
      <c r="AT28" s="141">
        <f t="shared" si="52"/>
        <v>-5000</v>
      </c>
      <c r="AU28" s="141">
        <f t="shared" si="52"/>
        <v>-5000</v>
      </c>
      <c r="AV28" s="141">
        <f t="shared" si="52"/>
        <v>-5000</v>
      </c>
      <c r="AW28" s="141">
        <f t="shared" si="52"/>
        <v>-5000</v>
      </c>
      <c r="AX28" s="141">
        <f t="shared" si="52"/>
        <v>-5000</v>
      </c>
      <c r="AY28" s="141">
        <f t="shared" si="52"/>
        <v>-5000</v>
      </c>
      <c r="AZ28" s="141">
        <f t="shared" si="52"/>
        <v>-5000</v>
      </c>
      <c r="BA28" s="141">
        <f t="shared" si="53"/>
        <v>-5000</v>
      </c>
      <c r="BB28" s="141">
        <f t="shared" si="53"/>
        <v>-5000</v>
      </c>
      <c r="BC28" s="141">
        <f t="shared" si="53"/>
        <v>-5000</v>
      </c>
      <c r="BD28" s="141">
        <f t="shared" si="53"/>
        <v>-5000</v>
      </c>
      <c r="BE28" s="141">
        <f t="shared" si="53"/>
        <v>-5000</v>
      </c>
      <c r="BF28" s="141">
        <f t="shared" si="53"/>
        <v>-5000</v>
      </c>
      <c r="BG28" s="141">
        <f t="shared" si="53"/>
        <v>-5000</v>
      </c>
      <c r="BH28" s="141">
        <f t="shared" si="53"/>
        <v>-5000</v>
      </c>
      <c r="BI28" s="141">
        <f t="shared" si="53"/>
        <v>-5000</v>
      </c>
      <c r="BJ28" s="141">
        <f t="shared" si="53"/>
        <v>-5000</v>
      </c>
      <c r="BK28" s="141">
        <f t="shared" si="53"/>
        <v>-5000</v>
      </c>
      <c r="BL28" s="141">
        <f t="shared" si="53"/>
        <v>-5000</v>
      </c>
      <c r="BM28" s="141"/>
      <c r="BN28" s="141"/>
    </row>
    <row r="29" spans="2:66">
      <c r="C29" s="8" t="s">
        <v>228</v>
      </c>
      <c r="D29" s="155">
        <v>-60000</v>
      </c>
      <c r="E29" s="141"/>
      <c r="F29" s="141"/>
      <c r="G29" s="141"/>
      <c r="H29" s="141"/>
      <c r="I29" s="141"/>
      <c r="J29" s="141"/>
      <c r="K29" s="141">
        <f t="shared" ref="K29:P29" si="55">SUM($D28/12)</f>
        <v>-5000</v>
      </c>
      <c r="L29" s="141">
        <f t="shared" si="55"/>
        <v>-5000</v>
      </c>
      <c r="M29" s="141">
        <f t="shared" si="55"/>
        <v>-5000</v>
      </c>
      <c r="N29" s="141">
        <f t="shared" si="55"/>
        <v>-5000</v>
      </c>
      <c r="O29" s="141">
        <f t="shared" si="55"/>
        <v>-5000</v>
      </c>
      <c r="P29" s="141">
        <f t="shared" si="55"/>
        <v>-5000</v>
      </c>
      <c r="Q29" s="141">
        <f t="shared" si="54"/>
        <v>-5000</v>
      </c>
      <c r="R29" s="141">
        <f t="shared" si="54"/>
        <v>-5000</v>
      </c>
      <c r="S29" s="141">
        <f t="shared" si="54"/>
        <v>-5000</v>
      </c>
      <c r="T29" s="141">
        <f t="shared" si="54"/>
        <v>-5000</v>
      </c>
      <c r="U29" s="141">
        <f t="shared" si="54"/>
        <v>-5000</v>
      </c>
      <c r="V29" s="141">
        <f t="shared" si="54"/>
        <v>-5000</v>
      </c>
      <c r="W29" s="141">
        <f t="shared" si="54"/>
        <v>-5000</v>
      </c>
      <c r="X29" s="141">
        <f t="shared" si="54"/>
        <v>-5000</v>
      </c>
      <c r="Y29" s="141">
        <f t="shared" si="54"/>
        <v>-5000</v>
      </c>
      <c r="Z29" s="141">
        <f t="shared" si="54"/>
        <v>-5000</v>
      </c>
      <c r="AA29" s="141">
        <f t="shared" si="54"/>
        <v>-5000</v>
      </c>
      <c r="AB29" s="141">
        <f t="shared" si="54"/>
        <v>-5000</v>
      </c>
      <c r="AC29" s="141">
        <f t="shared" si="41"/>
        <v>-5000</v>
      </c>
      <c r="AD29" s="141">
        <f t="shared" si="41"/>
        <v>-5000</v>
      </c>
      <c r="AE29" s="141">
        <f t="shared" si="41"/>
        <v>-5000</v>
      </c>
      <c r="AF29" s="141">
        <f t="shared" si="41"/>
        <v>-5000</v>
      </c>
      <c r="AG29" s="141">
        <f t="shared" si="41"/>
        <v>-5000</v>
      </c>
      <c r="AH29" s="141">
        <f t="shared" si="41"/>
        <v>-5000</v>
      </c>
      <c r="AI29" s="141">
        <f t="shared" si="41"/>
        <v>-5000</v>
      </c>
      <c r="AJ29" s="141">
        <f t="shared" si="41"/>
        <v>-5000</v>
      </c>
      <c r="AK29" s="141">
        <f t="shared" si="41"/>
        <v>-5000</v>
      </c>
      <c r="AL29" s="141">
        <f t="shared" si="41"/>
        <v>-5000</v>
      </c>
      <c r="AM29" s="141">
        <f t="shared" si="41"/>
        <v>-5000</v>
      </c>
      <c r="AN29" s="141">
        <f t="shared" si="41"/>
        <v>-5000</v>
      </c>
      <c r="AO29" s="141">
        <f t="shared" si="52"/>
        <v>-5000</v>
      </c>
      <c r="AP29" s="141">
        <f t="shared" si="52"/>
        <v>-5000</v>
      </c>
      <c r="AQ29" s="141">
        <f t="shared" si="52"/>
        <v>-5000</v>
      </c>
      <c r="AR29" s="141">
        <f t="shared" si="52"/>
        <v>-5000</v>
      </c>
      <c r="AS29" s="141">
        <f t="shared" si="52"/>
        <v>-5000</v>
      </c>
      <c r="AT29" s="141">
        <f t="shared" si="52"/>
        <v>-5000</v>
      </c>
      <c r="AU29" s="141">
        <f t="shared" si="52"/>
        <v>-5000</v>
      </c>
      <c r="AV29" s="141">
        <f t="shared" si="52"/>
        <v>-5000</v>
      </c>
      <c r="AW29" s="141">
        <f t="shared" si="52"/>
        <v>-5000</v>
      </c>
      <c r="AX29" s="141">
        <f t="shared" si="52"/>
        <v>-5000</v>
      </c>
      <c r="AY29" s="141">
        <f t="shared" si="52"/>
        <v>-5000</v>
      </c>
      <c r="AZ29" s="141">
        <f t="shared" si="52"/>
        <v>-5000</v>
      </c>
      <c r="BA29" s="141">
        <f t="shared" si="53"/>
        <v>-5000</v>
      </c>
      <c r="BB29" s="141">
        <f t="shared" si="53"/>
        <v>-5000</v>
      </c>
      <c r="BC29" s="141">
        <f t="shared" si="53"/>
        <v>-5000</v>
      </c>
      <c r="BD29" s="141">
        <f t="shared" si="53"/>
        <v>-5000</v>
      </c>
      <c r="BE29" s="141">
        <f t="shared" si="53"/>
        <v>-5000</v>
      </c>
      <c r="BF29" s="141">
        <f t="shared" si="53"/>
        <v>-5000</v>
      </c>
      <c r="BG29" s="141">
        <f t="shared" si="53"/>
        <v>-5000</v>
      </c>
      <c r="BH29" s="141">
        <f t="shared" si="53"/>
        <v>-5000</v>
      </c>
      <c r="BI29" s="141">
        <f t="shared" si="53"/>
        <v>-5000</v>
      </c>
      <c r="BJ29" s="141">
        <f t="shared" si="53"/>
        <v>-5000</v>
      </c>
      <c r="BK29" s="141">
        <f t="shared" si="53"/>
        <v>-5000</v>
      </c>
      <c r="BL29" s="141">
        <f t="shared" si="53"/>
        <v>-5000</v>
      </c>
      <c r="BM29" s="141"/>
      <c r="BN29" s="141"/>
    </row>
    <row r="30" spans="2:66">
      <c r="C30" s="8" t="s">
        <v>229</v>
      </c>
      <c r="D30" s="155">
        <v>-120000</v>
      </c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>
        <f t="shared" si="54"/>
        <v>-10000</v>
      </c>
      <c r="R30" s="141">
        <f t="shared" si="54"/>
        <v>-10000</v>
      </c>
      <c r="S30" s="141">
        <f t="shared" si="54"/>
        <v>-10000</v>
      </c>
      <c r="T30" s="141">
        <f t="shared" si="54"/>
        <v>-10000</v>
      </c>
      <c r="U30" s="141">
        <f t="shared" si="54"/>
        <v>-10000</v>
      </c>
      <c r="V30" s="141">
        <f t="shared" si="54"/>
        <v>-10000</v>
      </c>
      <c r="W30" s="141">
        <f t="shared" si="54"/>
        <v>-10000</v>
      </c>
      <c r="X30" s="141">
        <f t="shared" si="54"/>
        <v>-10000</v>
      </c>
      <c r="Y30" s="141">
        <f t="shared" si="54"/>
        <v>-10000</v>
      </c>
      <c r="Z30" s="141">
        <f t="shared" si="54"/>
        <v>-10000</v>
      </c>
      <c r="AA30" s="141">
        <f t="shared" si="54"/>
        <v>-10000</v>
      </c>
      <c r="AB30" s="141">
        <f t="shared" si="54"/>
        <v>-10000</v>
      </c>
      <c r="AC30" s="141">
        <f t="shared" si="41"/>
        <v>-10000</v>
      </c>
      <c r="AD30" s="141">
        <f t="shared" si="41"/>
        <v>-10000</v>
      </c>
      <c r="AE30" s="141">
        <f t="shared" si="41"/>
        <v>-10000</v>
      </c>
      <c r="AF30" s="141">
        <f t="shared" si="41"/>
        <v>-10000</v>
      </c>
      <c r="AG30" s="141">
        <f t="shared" si="41"/>
        <v>-10000</v>
      </c>
      <c r="AH30" s="141">
        <f t="shared" si="41"/>
        <v>-10000</v>
      </c>
      <c r="AI30" s="141">
        <f t="shared" si="41"/>
        <v>-10000</v>
      </c>
      <c r="AJ30" s="141">
        <f t="shared" si="41"/>
        <v>-10000</v>
      </c>
      <c r="AK30" s="141">
        <f t="shared" si="41"/>
        <v>-10000</v>
      </c>
      <c r="AL30" s="141">
        <f t="shared" si="41"/>
        <v>-10000</v>
      </c>
      <c r="AM30" s="141">
        <f t="shared" si="41"/>
        <v>-10000</v>
      </c>
      <c r="AN30" s="141">
        <f t="shared" si="41"/>
        <v>-10000</v>
      </c>
      <c r="AO30" s="141">
        <f t="shared" si="52"/>
        <v>-10000</v>
      </c>
      <c r="AP30" s="141">
        <f t="shared" si="52"/>
        <v>-10000</v>
      </c>
      <c r="AQ30" s="141">
        <f t="shared" si="52"/>
        <v>-10000</v>
      </c>
      <c r="AR30" s="141">
        <f t="shared" si="52"/>
        <v>-10000</v>
      </c>
      <c r="AS30" s="141">
        <f t="shared" si="52"/>
        <v>-10000</v>
      </c>
      <c r="AT30" s="141">
        <f t="shared" si="52"/>
        <v>-10000</v>
      </c>
      <c r="AU30" s="141">
        <f t="shared" si="52"/>
        <v>-10000</v>
      </c>
      <c r="AV30" s="141">
        <f t="shared" si="52"/>
        <v>-10000</v>
      </c>
      <c r="AW30" s="141">
        <f t="shared" si="52"/>
        <v>-10000</v>
      </c>
      <c r="AX30" s="141">
        <f t="shared" si="52"/>
        <v>-10000</v>
      </c>
      <c r="AY30" s="141">
        <f t="shared" si="52"/>
        <v>-10000</v>
      </c>
      <c r="AZ30" s="141">
        <f t="shared" si="52"/>
        <v>-10000</v>
      </c>
      <c r="BA30" s="141">
        <f t="shared" si="53"/>
        <v>-10000</v>
      </c>
      <c r="BB30" s="141">
        <f t="shared" si="53"/>
        <v>-10000</v>
      </c>
      <c r="BC30" s="141">
        <f t="shared" si="53"/>
        <v>-10000</v>
      </c>
      <c r="BD30" s="141">
        <f t="shared" si="53"/>
        <v>-10000</v>
      </c>
      <c r="BE30" s="141">
        <f t="shared" si="53"/>
        <v>-10000</v>
      </c>
      <c r="BF30" s="141">
        <f t="shared" si="53"/>
        <v>-10000</v>
      </c>
      <c r="BG30" s="141">
        <f t="shared" si="53"/>
        <v>-10000</v>
      </c>
      <c r="BH30" s="141">
        <f t="shared" si="53"/>
        <v>-10000</v>
      </c>
      <c r="BI30" s="141">
        <f t="shared" si="53"/>
        <v>-10000</v>
      </c>
      <c r="BJ30" s="141">
        <f t="shared" si="53"/>
        <v>-10000</v>
      </c>
      <c r="BK30" s="141">
        <f t="shared" si="53"/>
        <v>-10000</v>
      </c>
      <c r="BL30" s="141">
        <f t="shared" si="53"/>
        <v>-10000</v>
      </c>
      <c r="BM30" s="141"/>
      <c r="BN30" s="141"/>
    </row>
    <row r="31" spans="2:66">
      <c r="C31" s="8" t="s">
        <v>230</v>
      </c>
      <c r="D31" s="155">
        <v>-30000</v>
      </c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>
        <f t="shared" si="54"/>
        <v>-2500</v>
      </c>
      <c r="R31" s="141">
        <f t="shared" si="54"/>
        <v>-2500</v>
      </c>
      <c r="S31" s="141">
        <f t="shared" si="54"/>
        <v>-2500</v>
      </c>
      <c r="T31" s="141">
        <f t="shared" si="54"/>
        <v>-2500</v>
      </c>
      <c r="U31" s="141">
        <f t="shared" si="54"/>
        <v>-2500</v>
      </c>
      <c r="V31" s="141">
        <f t="shared" si="54"/>
        <v>-2500</v>
      </c>
      <c r="W31" s="141">
        <f t="shared" si="54"/>
        <v>-2500</v>
      </c>
      <c r="X31" s="141">
        <f t="shared" si="54"/>
        <v>-2500</v>
      </c>
      <c r="Y31" s="141">
        <f t="shared" si="54"/>
        <v>-2500</v>
      </c>
      <c r="Z31" s="141">
        <f t="shared" si="54"/>
        <v>-2500</v>
      </c>
      <c r="AA31" s="141">
        <f t="shared" si="54"/>
        <v>-2500</v>
      </c>
      <c r="AB31" s="141">
        <f t="shared" si="54"/>
        <v>-2500</v>
      </c>
      <c r="AC31" s="141">
        <f t="shared" si="41"/>
        <v>-2500</v>
      </c>
      <c r="AD31" s="141">
        <f t="shared" si="41"/>
        <v>-2500</v>
      </c>
      <c r="AE31" s="141">
        <f t="shared" si="41"/>
        <v>-2500</v>
      </c>
      <c r="AF31" s="141">
        <f t="shared" si="41"/>
        <v>-2500</v>
      </c>
      <c r="AG31" s="141">
        <f t="shared" si="41"/>
        <v>-2500</v>
      </c>
      <c r="AH31" s="141">
        <f t="shared" si="41"/>
        <v>-2500</v>
      </c>
      <c r="AI31" s="141">
        <f t="shared" si="41"/>
        <v>-2500</v>
      </c>
      <c r="AJ31" s="141">
        <f t="shared" si="41"/>
        <v>-2500</v>
      </c>
      <c r="AK31" s="141">
        <f t="shared" si="41"/>
        <v>-2500</v>
      </c>
      <c r="AL31" s="141">
        <f t="shared" si="41"/>
        <v>-2500</v>
      </c>
      <c r="AM31" s="141">
        <f t="shared" si="41"/>
        <v>-2500</v>
      </c>
      <c r="AN31" s="141">
        <f t="shared" si="41"/>
        <v>-2500</v>
      </c>
      <c r="AO31" s="141">
        <f t="shared" si="52"/>
        <v>-2500</v>
      </c>
      <c r="AP31" s="141">
        <f t="shared" si="52"/>
        <v>-2500</v>
      </c>
      <c r="AQ31" s="141">
        <f t="shared" si="52"/>
        <v>-2500</v>
      </c>
      <c r="AR31" s="141">
        <f t="shared" si="52"/>
        <v>-2500</v>
      </c>
      <c r="AS31" s="141">
        <f t="shared" si="52"/>
        <v>-2500</v>
      </c>
      <c r="AT31" s="141">
        <f t="shared" si="52"/>
        <v>-2500</v>
      </c>
      <c r="AU31" s="141">
        <f t="shared" si="52"/>
        <v>-2500</v>
      </c>
      <c r="AV31" s="141">
        <f t="shared" si="52"/>
        <v>-2500</v>
      </c>
      <c r="AW31" s="141">
        <f t="shared" si="52"/>
        <v>-2500</v>
      </c>
      <c r="AX31" s="141">
        <f t="shared" si="52"/>
        <v>-2500</v>
      </c>
      <c r="AY31" s="141">
        <f t="shared" si="52"/>
        <v>-2500</v>
      </c>
      <c r="AZ31" s="141">
        <f t="shared" si="52"/>
        <v>-2500</v>
      </c>
      <c r="BA31" s="141">
        <f t="shared" si="53"/>
        <v>-2500</v>
      </c>
      <c r="BB31" s="141">
        <f t="shared" si="53"/>
        <v>-2500</v>
      </c>
      <c r="BC31" s="141">
        <f t="shared" si="53"/>
        <v>-2500</v>
      </c>
      <c r="BD31" s="141">
        <f t="shared" si="53"/>
        <v>-2500</v>
      </c>
      <c r="BE31" s="141">
        <f t="shared" si="53"/>
        <v>-2500</v>
      </c>
      <c r="BF31" s="141">
        <f t="shared" si="53"/>
        <v>-2500</v>
      </c>
      <c r="BG31" s="141">
        <f t="shared" si="53"/>
        <v>-2500</v>
      </c>
      <c r="BH31" s="141">
        <f t="shared" si="53"/>
        <v>-2500</v>
      </c>
      <c r="BI31" s="141">
        <f t="shared" si="53"/>
        <v>-2500</v>
      </c>
      <c r="BJ31" s="141">
        <f t="shared" si="53"/>
        <v>-2500</v>
      </c>
      <c r="BK31" s="141">
        <f t="shared" si="53"/>
        <v>-2500</v>
      </c>
      <c r="BL31" s="141">
        <f t="shared" si="53"/>
        <v>-2500</v>
      </c>
      <c r="BM31" s="141"/>
      <c r="BN31" s="141"/>
    </row>
    <row r="32" spans="2:66">
      <c r="C32" s="8" t="s">
        <v>231</v>
      </c>
      <c r="D32" s="155">
        <v>-60000</v>
      </c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>
        <f t="shared" si="41"/>
        <v>-5000</v>
      </c>
      <c r="AD32" s="141">
        <f t="shared" si="41"/>
        <v>-5000</v>
      </c>
      <c r="AE32" s="141">
        <f t="shared" si="41"/>
        <v>-5000</v>
      </c>
      <c r="AF32" s="141">
        <f t="shared" si="41"/>
        <v>-5000</v>
      </c>
      <c r="AG32" s="141">
        <f t="shared" si="41"/>
        <v>-5000</v>
      </c>
      <c r="AH32" s="141">
        <f t="shared" si="41"/>
        <v>-5000</v>
      </c>
      <c r="AI32" s="141">
        <f t="shared" si="41"/>
        <v>-5000</v>
      </c>
      <c r="AJ32" s="141">
        <f t="shared" si="41"/>
        <v>-5000</v>
      </c>
      <c r="AK32" s="141">
        <f t="shared" si="41"/>
        <v>-5000</v>
      </c>
      <c r="AL32" s="141">
        <f t="shared" si="41"/>
        <v>-5000</v>
      </c>
      <c r="AM32" s="141">
        <f t="shared" si="41"/>
        <v>-5000</v>
      </c>
      <c r="AN32" s="141">
        <f t="shared" si="41"/>
        <v>-5000</v>
      </c>
      <c r="AO32" s="141">
        <f t="shared" si="52"/>
        <v>-5000</v>
      </c>
      <c r="AP32" s="141">
        <f t="shared" si="52"/>
        <v>-5000</v>
      </c>
      <c r="AQ32" s="141">
        <f t="shared" si="52"/>
        <v>-5000</v>
      </c>
      <c r="AR32" s="141">
        <f t="shared" si="52"/>
        <v>-5000</v>
      </c>
      <c r="AS32" s="141">
        <f t="shared" si="52"/>
        <v>-5000</v>
      </c>
      <c r="AT32" s="141">
        <f t="shared" si="52"/>
        <v>-5000</v>
      </c>
      <c r="AU32" s="141">
        <f t="shared" si="52"/>
        <v>-5000</v>
      </c>
      <c r="AV32" s="141">
        <f t="shared" si="52"/>
        <v>-5000</v>
      </c>
      <c r="AW32" s="141">
        <f t="shared" si="52"/>
        <v>-5000</v>
      </c>
      <c r="AX32" s="141">
        <f t="shared" si="52"/>
        <v>-5000</v>
      </c>
      <c r="AY32" s="141">
        <f t="shared" si="52"/>
        <v>-5000</v>
      </c>
      <c r="AZ32" s="141">
        <f t="shared" si="52"/>
        <v>-5000</v>
      </c>
      <c r="BA32" s="141">
        <f t="shared" si="53"/>
        <v>-5000</v>
      </c>
      <c r="BB32" s="141">
        <f t="shared" si="53"/>
        <v>-5000</v>
      </c>
      <c r="BC32" s="141">
        <f t="shared" si="53"/>
        <v>-5000</v>
      </c>
      <c r="BD32" s="141">
        <f t="shared" si="53"/>
        <v>-5000</v>
      </c>
      <c r="BE32" s="141">
        <f t="shared" si="53"/>
        <v>-5000</v>
      </c>
      <c r="BF32" s="141">
        <f t="shared" si="53"/>
        <v>-5000</v>
      </c>
      <c r="BG32" s="141">
        <f t="shared" si="53"/>
        <v>-5000</v>
      </c>
      <c r="BH32" s="141">
        <f t="shared" si="53"/>
        <v>-5000</v>
      </c>
      <c r="BI32" s="141">
        <f t="shared" si="53"/>
        <v>-5000</v>
      </c>
      <c r="BJ32" s="141">
        <f t="shared" si="53"/>
        <v>-5000</v>
      </c>
      <c r="BK32" s="141">
        <f t="shared" si="53"/>
        <v>-5000</v>
      </c>
      <c r="BL32" s="141">
        <f t="shared" si="53"/>
        <v>-5000</v>
      </c>
      <c r="BM32" s="141"/>
      <c r="BN32" s="141"/>
    </row>
    <row r="33" spans="3:66">
      <c r="C33" s="8" t="s">
        <v>232</v>
      </c>
      <c r="D33" s="155">
        <v>-60000</v>
      </c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>
        <f t="shared" ref="AC33:AN35" si="56">SUM($D33/12)</f>
        <v>-5000</v>
      </c>
      <c r="AD33" s="141">
        <f t="shared" si="56"/>
        <v>-5000</v>
      </c>
      <c r="AE33" s="141">
        <f t="shared" si="56"/>
        <v>-5000</v>
      </c>
      <c r="AF33" s="141">
        <f t="shared" si="56"/>
        <v>-5000</v>
      </c>
      <c r="AG33" s="141">
        <f t="shared" si="56"/>
        <v>-5000</v>
      </c>
      <c r="AH33" s="141">
        <f t="shared" si="56"/>
        <v>-5000</v>
      </c>
      <c r="AI33" s="141">
        <f t="shared" si="56"/>
        <v>-5000</v>
      </c>
      <c r="AJ33" s="141">
        <f t="shared" si="56"/>
        <v>-5000</v>
      </c>
      <c r="AK33" s="141">
        <f t="shared" si="56"/>
        <v>-5000</v>
      </c>
      <c r="AL33" s="141">
        <f t="shared" si="56"/>
        <v>-5000</v>
      </c>
      <c r="AM33" s="141">
        <f t="shared" si="56"/>
        <v>-5000</v>
      </c>
      <c r="AN33" s="141">
        <f t="shared" si="56"/>
        <v>-5000</v>
      </c>
      <c r="AO33" s="141">
        <f t="shared" si="52"/>
        <v>-5000</v>
      </c>
      <c r="AP33" s="141">
        <f t="shared" si="52"/>
        <v>-5000</v>
      </c>
      <c r="AQ33" s="141">
        <f t="shared" si="52"/>
        <v>-5000</v>
      </c>
      <c r="AR33" s="141">
        <f t="shared" si="52"/>
        <v>-5000</v>
      </c>
      <c r="AS33" s="141">
        <f t="shared" si="52"/>
        <v>-5000</v>
      </c>
      <c r="AT33" s="141">
        <f t="shared" si="52"/>
        <v>-5000</v>
      </c>
      <c r="AU33" s="141">
        <f t="shared" si="52"/>
        <v>-5000</v>
      </c>
      <c r="AV33" s="141">
        <f t="shared" si="52"/>
        <v>-5000</v>
      </c>
      <c r="AW33" s="141">
        <f t="shared" si="52"/>
        <v>-5000</v>
      </c>
      <c r="AX33" s="141">
        <f t="shared" si="52"/>
        <v>-5000</v>
      </c>
      <c r="AY33" s="141">
        <f t="shared" si="52"/>
        <v>-5000</v>
      </c>
      <c r="AZ33" s="141">
        <f t="shared" si="52"/>
        <v>-5000</v>
      </c>
      <c r="BA33" s="141">
        <f t="shared" si="53"/>
        <v>-5000</v>
      </c>
      <c r="BB33" s="141">
        <f t="shared" si="53"/>
        <v>-5000</v>
      </c>
      <c r="BC33" s="141">
        <f t="shared" si="53"/>
        <v>-5000</v>
      </c>
      <c r="BD33" s="141">
        <f t="shared" si="53"/>
        <v>-5000</v>
      </c>
      <c r="BE33" s="141">
        <f t="shared" si="53"/>
        <v>-5000</v>
      </c>
      <c r="BF33" s="141">
        <f t="shared" si="53"/>
        <v>-5000</v>
      </c>
      <c r="BG33" s="141">
        <f t="shared" si="53"/>
        <v>-5000</v>
      </c>
      <c r="BH33" s="141">
        <f t="shared" si="53"/>
        <v>-5000</v>
      </c>
      <c r="BI33" s="141">
        <f t="shared" si="53"/>
        <v>-5000</v>
      </c>
      <c r="BJ33" s="141">
        <f t="shared" si="53"/>
        <v>-5000</v>
      </c>
      <c r="BK33" s="141">
        <f t="shared" si="53"/>
        <v>-5000</v>
      </c>
      <c r="BL33" s="141">
        <f t="shared" si="53"/>
        <v>-5000</v>
      </c>
      <c r="BM33" s="141"/>
      <c r="BN33" s="141"/>
    </row>
    <row r="34" spans="3:66">
      <c r="C34" s="8" t="s">
        <v>233</v>
      </c>
      <c r="D34" s="155">
        <v>-60000</v>
      </c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>
        <f t="shared" si="56"/>
        <v>-5000</v>
      </c>
      <c r="AD34" s="141">
        <f t="shared" si="56"/>
        <v>-5000</v>
      </c>
      <c r="AE34" s="141">
        <f t="shared" si="56"/>
        <v>-5000</v>
      </c>
      <c r="AF34" s="141">
        <f t="shared" si="56"/>
        <v>-5000</v>
      </c>
      <c r="AG34" s="141">
        <f t="shared" si="56"/>
        <v>-5000</v>
      </c>
      <c r="AH34" s="141">
        <f t="shared" si="56"/>
        <v>-5000</v>
      </c>
      <c r="AI34" s="141">
        <f t="shared" si="56"/>
        <v>-5000</v>
      </c>
      <c r="AJ34" s="141">
        <f t="shared" si="56"/>
        <v>-5000</v>
      </c>
      <c r="AK34" s="141">
        <f t="shared" si="56"/>
        <v>-5000</v>
      </c>
      <c r="AL34" s="141">
        <f t="shared" si="56"/>
        <v>-5000</v>
      </c>
      <c r="AM34" s="141">
        <f t="shared" si="56"/>
        <v>-5000</v>
      </c>
      <c r="AN34" s="141">
        <f t="shared" si="56"/>
        <v>-5000</v>
      </c>
      <c r="AO34" s="141">
        <f t="shared" si="52"/>
        <v>-5000</v>
      </c>
      <c r="AP34" s="141">
        <f t="shared" si="52"/>
        <v>-5000</v>
      </c>
      <c r="AQ34" s="141">
        <f t="shared" si="52"/>
        <v>-5000</v>
      </c>
      <c r="AR34" s="141">
        <f t="shared" si="52"/>
        <v>-5000</v>
      </c>
      <c r="AS34" s="141">
        <f t="shared" si="52"/>
        <v>-5000</v>
      </c>
      <c r="AT34" s="141">
        <f t="shared" si="52"/>
        <v>-5000</v>
      </c>
      <c r="AU34" s="141">
        <f t="shared" si="52"/>
        <v>-5000</v>
      </c>
      <c r="AV34" s="141">
        <f t="shared" si="52"/>
        <v>-5000</v>
      </c>
      <c r="AW34" s="141">
        <f t="shared" si="52"/>
        <v>-5000</v>
      </c>
      <c r="AX34" s="141">
        <f t="shared" si="52"/>
        <v>-5000</v>
      </c>
      <c r="AY34" s="141">
        <f t="shared" si="52"/>
        <v>-5000</v>
      </c>
      <c r="AZ34" s="141">
        <f t="shared" si="52"/>
        <v>-5000</v>
      </c>
      <c r="BA34" s="141">
        <f t="shared" si="53"/>
        <v>-5000</v>
      </c>
      <c r="BB34" s="141">
        <f t="shared" si="53"/>
        <v>-5000</v>
      </c>
      <c r="BC34" s="141">
        <f t="shared" si="53"/>
        <v>-5000</v>
      </c>
      <c r="BD34" s="141">
        <f t="shared" si="53"/>
        <v>-5000</v>
      </c>
      <c r="BE34" s="141">
        <f t="shared" si="53"/>
        <v>-5000</v>
      </c>
      <c r="BF34" s="141">
        <f t="shared" si="53"/>
        <v>-5000</v>
      </c>
      <c r="BG34" s="141">
        <f t="shared" si="53"/>
        <v>-5000</v>
      </c>
      <c r="BH34" s="141">
        <f t="shared" si="53"/>
        <v>-5000</v>
      </c>
      <c r="BI34" s="141">
        <f t="shared" si="53"/>
        <v>-5000</v>
      </c>
      <c r="BJ34" s="141">
        <f t="shared" si="53"/>
        <v>-5000</v>
      </c>
      <c r="BK34" s="141">
        <f t="shared" si="53"/>
        <v>-5000</v>
      </c>
      <c r="BL34" s="141">
        <f t="shared" si="53"/>
        <v>-5000</v>
      </c>
      <c r="BM34" s="141"/>
      <c r="BN34" s="141"/>
    </row>
    <row r="35" spans="3:66">
      <c r="C35" s="8" t="s">
        <v>234</v>
      </c>
      <c r="D35" s="155">
        <v>-60000</v>
      </c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>
        <f t="shared" si="56"/>
        <v>-5000</v>
      </c>
      <c r="AD35" s="141">
        <f t="shared" si="56"/>
        <v>-5000</v>
      </c>
      <c r="AE35" s="141">
        <f t="shared" si="56"/>
        <v>-5000</v>
      </c>
      <c r="AF35" s="141">
        <f t="shared" si="56"/>
        <v>-5000</v>
      </c>
      <c r="AG35" s="141">
        <f t="shared" si="56"/>
        <v>-5000</v>
      </c>
      <c r="AH35" s="141">
        <f t="shared" si="56"/>
        <v>-5000</v>
      </c>
      <c r="AI35" s="141">
        <f t="shared" si="56"/>
        <v>-5000</v>
      </c>
      <c r="AJ35" s="141">
        <f t="shared" si="56"/>
        <v>-5000</v>
      </c>
      <c r="AK35" s="141">
        <f t="shared" si="56"/>
        <v>-5000</v>
      </c>
      <c r="AL35" s="141">
        <f t="shared" si="56"/>
        <v>-5000</v>
      </c>
      <c r="AM35" s="141">
        <f t="shared" si="56"/>
        <v>-5000</v>
      </c>
      <c r="AN35" s="141">
        <f t="shared" si="56"/>
        <v>-5000</v>
      </c>
      <c r="AO35" s="141">
        <f t="shared" si="52"/>
        <v>-5000</v>
      </c>
      <c r="AP35" s="141">
        <f t="shared" si="52"/>
        <v>-5000</v>
      </c>
      <c r="AQ35" s="141">
        <f t="shared" si="52"/>
        <v>-5000</v>
      </c>
      <c r="AR35" s="141">
        <f t="shared" si="52"/>
        <v>-5000</v>
      </c>
      <c r="AS35" s="141">
        <f t="shared" si="52"/>
        <v>-5000</v>
      </c>
      <c r="AT35" s="141">
        <f t="shared" si="52"/>
        <v>-5000</v>
      </c>
      <c r="AU35" s="141">
        <f t="shared" si="52"/>
        <v>-5000</v>
      </c>
      <c r="AV35" s="141">
        <f t="shared" si="52"/>
        <v>-5000</v>
      </c>
      <c r="AW35" s="141">
        <f t="shared" si="52"/>
        <v>-5000</v>
      </c>
      <c r="AX35" s="141">
        <f t="shared" si="52"/>
        <v>-5000</v>
      </c>
      <c r="AY35" s="141">
        <f t="shared" si="52"/>
        <v>-5000</v>
      </c>
      <c r="AZ35" s="141">
        <f t="shared" si="52"/>
        <v>-5000</v>
      </c>
      <c r="BA35" s="141">
        <f t="shared" si="53"/>
        <v>-5000</v>
      </c>
      <c r="BB35" s="141">
        <f t="shared" si="53"/>
        <v>-5000</v>
      </c>
      <c r="BC35" s="141">
        <f t="shared" si="53"/>
        <v>-5000</v>
      </c>
      <c r="BD35" s="141">
        <f t="shared" si="53"/>
        <v>-5000</v>
      </c>
      <c r="BE35" s="141">
        <f t="shared" si="53"/>
        <v>-5000</v>
      </c>
      <c r="BF35" s="141">
        <f t="shared" si="53"/>
        <v>-5000</v>
      </c>
      <c r="BG35" s="141">
        <f t="shared" si="53"/>
        <v>-5000</v>
      </c>
      <c r="BH35" s="141">
        <f t="shared" si="53"/>
        <v>-5000</v>
      </c>
      <c r="BI35" s="141">
        <f t="shared" si="53"/>
        <v>-5000</v>
      </c>
      <c r="BJ35" s="141">
        <f t="shared" si="53"/>
        <v>-5000</v>
      </c>
      <c r="BK35" s="141">
        <f t="shared" si="53"/>
        <v>-5000</v>
      </c>
      <c r="BL35" s="141">
        <f t="shared" si="53"/>
        <v>-5000</v>
      </c>
      <c r="BM35" s="141"/>
      <c r="BN35" s="141"/>
    </row>
    <row r="36" spans="3:66">
      <c r="C36" s="8" t="s">
        <v>235</v>
      </c>
      <c r="D36" s="155">
        <v>-60000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>
        <f t="shared" ref="AC36:AT49" si="57">SUM($D36/12)</f>
        <v>-5000</v>
      </c>
      <c r="AD36" s="141">
        <f t="shared" si="57"/>
        <v>-5000</v>
      </c>
      <c r="AE36" s="141">
        <f t="shared" si="57"/>
        <v>-5000</v>
      </c>
      <c r="AF36" s="141">
        <f t="shared" si="57"/>
        <v>-5000</v>
      </c>
      <c r="AG36" s="141">
        <f t="shared" si="57"/>
        <v>-5000</v>
      </c>
      <c r="AH36" s="141">
        <f t="shared" si="57"/>
        <v>-5000</v>
      </c>
      <c r="AI36" s="141">
        <f t="shared" si="57"/>
        <v>-5000</v>
      </c>
      <c r="AJ36" s="141">
        <f t="shared" si="57"/>
        <v>-5000</v>
      </c>
      <c r="AK36" s="141">
        <f t="shared" si="57"/>
        <v>-5000</v>
      </c>
      <c r="AL36" s="141">
        <f t="shared" si="57"/>
        <v>-5000</v>
      </c>
      <c r="AM36" s="141">
        <f t="shared" si="57"/>
        <v>-5000</v>
      </c>
      <c r="AN36" s="141">
        <f t="shared" si="57"/>
        <v>-5000</v>
      </c>
      <c r="AO36" s="141">
        <f t="shared" si="57"/>
        <v>-5000</v>
      </c>
      <c r="AP36" s="141">
        <f t="shared" si="57"/>
        <v>-5000</v>
      </c>
      <c r="AQ36" s="141">
        <f t="shared" si="57"/>
        <v>-5000</v>
      </c>
      <c r="AR36" s="141">
        <f t="shared" si="57"/>
        <v>-5000</v>
      </c>
      <c r="AS36" s="141">
        <f t="shared" si="57"/>
        <v>-5000</v>
      </c>
      <c r="AT36" s="141">
        <f t="shared" si="57"/>
        <v>-5000</v>
      </c>
      <c r="AU36" s="141">
        <f t="shared" ref="AU36:BJ53" si="58">SUM($D36/12)</f>
        <v>-5000</v>
      </c>
      <c r="AV36" s="141">
        <f t="shared" si="58"/>
        <v>-5000</v>
      </c>
      <c r="AW36" s="141">
        <f t="shared" si="58"/>
        <v>-5000</v>
      </c>
      <c r="AX36" s="141">
        <f t="shared" si="58"/>
        <v>-5000</v>
      </c>
      <c r="AY36" s="141">
        <f t="shared" si="58"/>
        <v>-5000</v>
      </c>
      <c r="AZ36" s="141">
        <f t="shared" si="58"/>
        <v>-5000</v>
      </c>
      <c r="BA36" s="141">
        <f t="shared" si="58"/>
        <v>-5000</v>
      </c>
      <c r="BB36" s="141">
        <f t="shared" si="58"/>
        <v>-5000</v>
      </c>
      <c r="BC36" s="141">
        <f t="shared" si="58"/>
        <v>-5000</v>
      </c>
      <c r="BD36" s="141">
        <f t="shared" si="58"/>
        <v>-5000</v>
      </c>
      <c r="BE36" s="141">
        <f t="shared" si="58"/>
        <v>-5000</v>
      </c>
      <c r="BF36" s="141">
        <f t="shared" si="58"/>
        <v>-5000</v>
      </c>
      <c r="BG36" s="141">
        <f t="shared" si="58"/>
        <v>-5000</v>
      </c>
      <c r="BH36" s="141">
        <f t="shared" si="58"/>
        <v>-5000</v>
      </c>
      <c r="BI36" s="141">
        <f t="shared" si="58"/>
        <v>-5000</v>
      </c>
      <c r="BJ36" s="141">
        <f t="shared" si="58"/>
        <v>-5000</v>
      </c>
      <c r="BK36" s="141">
        <f t="shared" ref="BK36:BL53" si="59">SUM($D36/12)</f>
        <v>-5000</v>
      </c>
      <c r="BL36" s="141">
        <f t="shared" si="59"/>
        <v>-5000</v>
      </c>
      <c r="BM36" s="141"/>
      <c r="BN36" s="141"/>
    </row>
    <row r="37" spans="3:66">
      <c r="C37" s="8" t="s">
        <v>236</v>
      </c>
      <c r="D37" s="155">
        <v>-60000</v>
      </c>
      <c r="E37" s="141"/>
      <c r="F37" s="141"/>
      <c r="G37" s="141"/>
      <c r="H37" s="141"/>
      <c r="I37" s="141"/>
      <c r="J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>
        <f t="shared" si="57"/>
        <v>-5000</v>
      </c>
      <c r="AD37" s="141">
        <f t="shared" si="57"/>
        <v>-5000</v>
      </c>
      <c r="AE37" s="141">
        <f t="shared" si="57"/>
        <v>-5000</v>
      </c>
      <c r="AF37" s="141">
        <f t="shared" si="57"/>
        <v>-5000</v>
      </c>
      <c r="AG37" s="141">
        <f t="shared" si="57"/>
        <v>-5000</v>
      </c>
      <c r="AH37" s="141">
        <f t="shared" si="57"/>
        <v>-5000</v>
      </c>
      <c r="AI37" s="141">
        <f t="shared" si="57"/>
        <v>-5000</v>
      </c>
      <c r="AJ37" s="141">
        <f t="shared" si="57"/>
        <v>-5000</v>
      </c>
      <c r="AK37" s="141">
        <f t="shared" si="57"/>
        <v>-5000</v>
      </c>
      <c r="AL37" s="141">
        <f t="shared" si="57"/>
        <v>-5000</v>
      </c>
      <c r="AM37" s="141">
        <f t="shared" si="57"/>
        <v>-5000</v>
      </c>
      <c r="AN37" s="141">
        <f t="shared" si="57"/>
        <v>-5000</v>
      </c>
      <c r="AO37" s="141">
        <f t="shared" si="57"/>
        <v>-5000</v>
      </c>
      <c r="AP37" s="141">
        <f t="shared" si="57"/>
        <v>-5000</v>
      </c>
      <c r="AQ37" s="141">
        <f t="shared" si="57"/>
        <v>-5000</v>
      </c>
      <c r="AR37" s="141">
        <f t="shared" si="57"/>
        <v>-5000</v>
      </c>
      <c r="AS37" s="141">
        <f t="shared" si="57"/>
        <v>-5000</v>
      </c>
      <c r="AT37" s="141">
        <f t="shared" si="57"/>
        <v>-5000</v>
      </c>
      <c r="AU37" s="141">
        <f t="shared" si="58"/>
        <v>-5000</v>
      </c>
      <c r="AV37" s="141">
        <f t="shared" si="58"/>
        <v>-5000</v>
      </c>
      <c r="AW37" s="141">
        <f t="shared" si="58"/>
        <v>-5000</v>
      </c>
      <c r="AX37" s="141">
        <f t="shared" si="58"/>
        <v>-5000</v>
      </c>
      <c r="AY37" s="141">
        <f t="shared" si="58"/>
        <v>-5000</v>
      </c>
      <c r="AZ37" s="141">
        <f t="shared" si="58"/>
        <v>-5000</v>
      </c>
      <c r="BA37" s="141">
        <f t="shared" si="58"/>
        <v>-5000</v>
      </c>
      <c r="BB37" s="141">
        <f t="shared" si="58"/>
        <v>-5000</v>
      </c>
      <c r="BC37" s="141">
        <f t="shared" si="58"/>
        <v>-5000</v>
      </c>
      <c r="BD37" s="141">
        <f t="shared" si="58"/>
        <v>-5000</v>
      </c>
      <c r="BE37" s="141">
        <f t="shared" si="58"/>
        <v>-5000</v>
      </c>
      <c r="BF37" s="141">
        <f t="shared" si="58"/>
        <v>-5000</v>
      </c>
      <c r="BG37" s="141">
        <f t="shared" si="58"/>
        <v>-5000</v>
      </c>
      <c r="BH37" s="141">
        <f t="shared" si="58"/>
        <v>-5000</v>
      </c>
      <c r="BI37" s="141">
        <f t="shared" si="58"/>
        <v>-5000</v>
      </c>
      <c r="BJ37" s="141">
        <f t="shared" si="58"/>
        <v>-5000</v>
      </c>
      <c r="BK37" s="141">
        <f t="shared" si="59"/>
        <v>-5000</v>
      </c>
      <c r="BL37" s="141">
        <f t="shared" si="59"/>
        <v>-5000</v>
      </c>
      <c r="BM37" s="141"/>
      <c r="BN37" s="141"/>
    </row>
    <row r="38" spans="3:66">
      <c r="C38" s="8" t="s">
        <v>237</v>
      </c>
      <c r="D38" s="155">
        <v>-60000</v>
      </c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>
        <f t="shared" si="57"/>
        <v>-5000</v>
      </c>
      <c r="AD38" s="141">
        <f t="shared" si="57"/>
        <v>-5000</v>
      </c>
      <c r="AE38" s="141">
        <f t="shared" si="57"/>
        <v>-5000</v>
      </c>
      <c r="AF38" s="141">
        <f t="shared" si="57"/>
        <v>-5000</v>
      </c>
      <c r="AG38" s="141">
        <f t="shared" si="57"/>
        <v>-5000</v>
      </c>
      <c r="AH38" s="141">
        <f t="shared" si="57"/>
        <v>-5000</v>
      </c>
      <c r="AI38" s="141">
        <f t="shared" si="57"/>
        <v>-5000</v>
      </c>
      <c r="AJ38" s="141">
        <f t="shared" si="57"/>
        <v>-5000</v>
      </c>
      <c r="AK38" s="141">
        <f t="shared" si="57"/>
        <v>-5000</v>
      </c>
      <c r="AL38" s="141">
        <f t="shared" si="57"/>
        <v>-5000</v>
      </c>
      <c r="AM38" s="141">
        <f t="shared" si="57"/>
        <v>-5000</v>
      </c>
      <c r="AN38" s="141">
        <f t="shared" si="57"/>
        <v>-5000</v>
      </c>
      <c r="AO38" s="141">
        <f t="shared" si="57"/>
        <v>-5000</v>
      </c>
      <c r="AP38" s="141">
        <f t="shared" si="57"/>
        <v>-5000</v>
      </c>
      <c r="AQ38" s="141">
        <f t="shared" si="57"/>
        <v>-5000</v>
      </c>
      <c r="AR38" s="141">
        <f t="shared" si="57"/>
        <v>-5000</v>
      </c>
      <c r="AS38" s="141">
        <f t="shared" si="57"/>
        <v>-5000</v>
      </c>
      <c r="AT38" s="141">
        <f t="shared" si="57"/>
        <v>-5000</v>
      </c>
      <c r="AU38" s="141">
        <f t="shared" si="58"/>
        <v>-5000</v>
      </c>
      <c r="AV38" s="141">
        <f t="shared" si="58"/>
        <v>-5000</v>
      </c>
      <c r="AW38" s="141">
        <f t="shared" si="58"/>
        <v>-5000</v>
      </c>
      <c r="AX38" s="141">
        <f t="shared" si="58"/>
        <v>-5000</v>
      </c>
      <c r="AY38" s="141">
        <f t="shared" si="58"/>
        <v>-5000</v>
      </c>
      <c r="AZ38" s="141">
        <f t="shared" si="58"/>
        <v>-5000</v>
      </c>
      <c r="BA38" s="141">
        <f t="shared" si="58"/>
        <v>-5000</v>
      </c>
      <c r="BB38" s="141">
        <f t="shared" si="58"/>
        <v>-5000</v>
      </c>
      <c r="BC38" s="141">
        <f t="shared" si="58"/>
        <v>-5000</v>
      </c>
      <c r="BD38" s="141">
        <f t="shared" si="58"/>
        <v>-5000</v>
      </c>
      <c r="BE38" s="141">
        <f t="shared" si="58"/>
        <v>-5000</v>
      </c>
      <c r="BF38" s="141">
        <f t="shared" si="58"/>
        <v>-5000</v>
      </c>
      <c r="BG38" s="141">
        <f t="shared" si="58"/>
        <v>-5000</v>
      </c>
      <c r="BH38" s="141">
        <f t="shared" si="58"/>
        <v>-5000</v>
      </c>
      <c r="BI38" s="141">
        <f t="shared" si="58"/>
        <v>-5000</v>
      </c>
      <c r="BJ38" s="141">
        <f t="shared" si="58"/>
        <v>-5000</v>
      </c>
      <c r="BK38" s="141">
        <f t="shared" si="59"/>
        <v>-5000</v>
      </c>
      <c r="BL38" s="141">
        <f t="shared" si="59"/>
        <v>-5000</v>
      </c>
      <c r="BM38" s="141"/>
      <c r="BN38" s="141"/>
    </row>
    <row r="39" spans="3:66">
      <c r="C39" s="8" t="s">
        <v>238</v>
      </c>
      <c r="D39" s="155">
        <v>-120000</v>
      </c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>
        <f t="shared" si="57"/>
        <v>-10000</v>
      </c>
      <c r="AD39" s="141">
        <f t="shared" si="57"/>
        <v>-10000</v>
      </c>
      <c r="AE39" s="141">
        <f t="shared" si="57"/>
        <v>-10000</v>
      </c>
      <c r="AF39" s="141">
        <f t="shared" si="57"/>
        <v>-10000</v>
      </c>
      <c r="AG39" s="141">
        <f t="shared" si="57"/>
        <v>-10000</v>
      </c>
      <c r="AH39" s="141">
        <f t="shared" si="57"/>
        <v>-10000</v>
      </c>
      <c r="AI39" s="141">
        <f t="shared" si="57"/>
        <v>-10000</v>
      </c>
      <c r="AJ39" s="141">
        <f t="shared" si="57"/>
        <v>-10000</v>
      </c>
      <c r="AK39" s="141">
        <f t="shared" si="57"/>
        <v>-10000</v>
      </c>
      <c r="AL39" s="141">
        <f t="shared" si="57"/>
        <v>-10000</v>
      </c>
      <c r="AM39" s="141">
        <f t="shared" si="57"/>
        <v>-10000</v>
      </c>
      <c r="AN39" s="141">
        <f t="shared" si="57"/>
        <v>-10000</v>
      </c>
      <c r="AO39" s="141">
        <f t="shared" si="57"/>
        <v>-10000</v>
      </c>
      <c r="AP39" s="141">
        <f t="shared" si="57"/>
        <v>-10000</v>
      </c>
      <c r="AQ39" s="141">
        <f t="shared" si="57"/>
        <v>-10000</v>
      </c>
      <c r="AR39" s="141">
        <f t="shared" si="57"/>
        <v>-10000</v>
      </c>
      <c r="AS39" s="141">
        <f t="shared" si="57"/>
        <v>-10000</v>
      </c>
      <c r="AT39" s="141">
        <f t="shared" si="57"/>
        <v>-10000</v>
      </c>
      <c r="AU39" s="141">
        <f t="shared" si="58"/>
        <v>-10000</v>
      </c>
      <c r="AV39" s="141">
        <f t="shared" si="58"/>
        <v>-10000</v>
      </c>
      <c r="AW39" s="141">
        <f t="shared" si="58"/>
        <v>-10000</v>
      </c>
      <c r="AX39" s="141">
        <f t="shared" si="58"/>
        <v>-10000</v>
      </c>
      <c r="AY39" s="141">
        <f t="shared" si="58"/>
        <v>-10000</v>
      </c>
      <c r="AZ39" s="141">
        <f t="shared" si="58"/>
        <v>-10000</v>
      </c>
      <c r="BA39" s="141">
        <f t="shared" si="58"/>
        <v>-10000</v>
      </c>
      <c r="BB39" s="141">
        <f t="shared" si="58"/>
        <v>-10000</v>
      </c>
      <c r="BC39" s="141">
        <f t="shared" si="58"/>
        <v>-10000</v>
      </c>
      <c r="BD39" s="141">
        <f t="shared" si="58"/>
        <v>-10000</v>
      </c>
      <c r="BE39" s="141">
        <f t="shared" si="58"/>
        <v>-10000</v>
      </c>
      <c r="BF39" s="141">
        <f t="shared" si="58"/>
        <v>-10000</v>
      </c>
      <c r="BG39" s="141">
        <f t="shared" si="58"/>
        <v>-10000</v>
      </c>
      <c r="BH39" s="141">
        <f t="shared" si="58"/>
        <v>-10000</v>
      </c>
      <c r="BI39" s="141">
        <f t="shared" si="58"/>
        <v>-10000</v>
      </c>
      <c r="BJ39" s="141">
        <f t="shared" si="58"/>
        <v>-10000</v>
      </c>
      <c r="BK39" s="141">
        <f t="shared" si="59"/>
        <v>-10000</v>
      </c>
      <c r="BL39" s="141">
        <f t="shared" si="59"/>
        <v>-10000</v>
      </c>
      <c r="BM39" s="141"/>
      <c r="BN39" s="141"/>
    </row>
    <row r="40" spans="3:66">
      <c r="C40" s="8" t="s">
        <v>239</v>
      </c>
      <c r="D40" s="155">
        <v>-30000</v>
      </c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>
        <f t="shared" si="57"/>
        <v>-2500</v>
      </c>
      <c r="AD40" s="141">
        <f t="shared" si="57"/>
        <v>-2500</v>
      </c>
      <c r="AE40" s="141">
        <f t="shared" si="57"/>
        <v>-2500</v>
      </c>
      <c r="AF40" s="141">
        <f t="shared" si="57"/>
        <v>-2500</v>
      </c>
      <c r="AG40" s="141">
        <f t="shared" si="57"/>
        <v>-2500</v>
      </c>
      <c r="AH40" s="141">
        <f t="shared" si="57"/>
        <v>-2500</v>
      </c>
      <c r="AI40" s="141">
        <f t="shared" si="57"/>
        <v>-2500</v>
      </c>
      <c r="AJ40" s="141">
        <f t="shared" si="57"/>
        <v>-2500</v>
      </c>
      <c r="AK40" s="141">
        <f t="shared" si="57"/>
        <v>-2500</v>
      </c>
      <c r="AL40" s="141">
        <f t="shared" si="57"/>
        <v>-2500</v>
      </c>
      <c r="AM40" s="141">
        <f t="shared" si="57"/>
        <v>-2500</v>
      </c>
      <c r="AN40" s="141">
        <f t="shared" si="57"/>
        <v>-2500</v>
      </c>
      <c r="AO40" s="141">
        <f t="shared" si="57"/>
        <v>-2500</v>
      </c>
      <c r="AP40" s="141">
        <f t="shared" si="57"/>
        <v>-2500</v>
      </c>
      <c r="AQ40" s="141">
        <f t="shared" si="57"/>
        <v>-2500</v>
      </c>
      <c r="AR40" s="141">
        <f t="shared" si="57"/>
        <v>-2500</v>
      </c>
      <c r="AS40" s="141">
        <f t="shared" si="57"/>
        <v>-2500</v>
      </c>
      <c r="AT40" s="141">
        <f t="shared" si="57"/>
        <v>-2500</v>
      </c>
      <c r="AU40" s="141">
        <f t="shared" si="58"/>
        <v>-2500</v>
      </c>
      <c r="AV40" s="141">
        <f t="shared" si="58"/>
        <v>-2500</v>
      </c>
      <c r="AW40" s="141">
        <f t="shared" si="58"/>
        <v>-2500</v>
      </c>
      <c r="AX40" s="141">
        <f t="shared" si="58"/>
        <v>-2500</v>
      </c>
      <c r="AY40" s="141">
        <f t="shared" si="58"/>
        <v>-2500</v>
      </c>
      <c r="AZ40" s="141">
        <f t="shared" si="58"/>
        <v>-2500</v>
      </c>
      <c r="BA40" s="141">
        <f t="shared" si="58"/>
        <v>-2500</v>
      </c>
      <c r="BB40" s="141">
        <f t="shared" si="58"/>
        <v>-2500</v>
      </c>
      <c r="BC40" s="141">
        <f t="shared" si="58"/>
        <v>-2500</v>
      </c>
      <c r="BD40" s="141">
        <f t="shared" si="58"/>
        <v>-2500</v>
      </c>
      <c r="BE40" s="141">
        <f t="shared" si="58"/>
        <v>-2500</v>
      </c>
      <c r="BF40" s="141">
        <f t="shared" si="58"/>
        <v>-2500</v>
      </c>
      <c r="BG40" s="141">
        <f t="shared" si="58"/>
        <v>-2500</v>
      </c>
      <c r="BH40" s="141">
        <f t="shared" si="58"/>
        <v>-2500</v>
      </c>
      <c r="BI40" s="141">
        <f t="shared" si="58"/>
        <v>-2500</v>
      </c>
      <c r="BJ40" s="141">
        <f t="shared" si="58"/>
        <v>-2500</v>
      </c>
      <c r="BK40" s="141">
        <f t="shared" si="59"/>
        <v>-2500</v>
      </c>
      <c r="BL40" s="141">
        <f t="shared" si="59"/>
        <v>-2500</v>
      </c>
      <c r="BM40" s="141"/>
      <c r="BN40" s="141"/>
    </row>
    <row r="41" spans="3:66">
      <c r="C41" s="8" t="s">
        <v>240</v>
      </c>
      <c r="D41" s="155">
        <v>-60000</v>
      </c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>
        <f t="shared" si="57"/>
        <v>-5000</v>
      </c>
      <c r="AP41" s="141">
        <f t="shared" si="57"/>
        <v>-5000</v>
      </c>
      <c r="AQ41" s="141">
        <f t="shared" si="57"/>
        <v>-5000</v>
      </c>
      <c r="AR41" s="141">
        <f t="shared" si="57"/>
        <v>-5000</v>
      </c>
      <c r="AS41" s="141">
        <f t="shared" si="57"/>
        <v>-5000</v>
      </c>
      <c r="AT41" s="141">
        <f t="shared" si="57"/>
        <v>-5000</v>
      </c>
      <c r="AU41" s="141">
        <f t="shared" si="58"/>
        <v>-5000</v>
      </c>
      <c r="AV41" s="141">
        <f t="shared" si="58"/>
        <v>-5000</v>
      </c>
      <c r="AW41" s="141">
        <f t="shared" si="58"/>
        <v>-5000</v>
      </c>
      <c r="AX41" s="141">
        <f t="shared" si="58"/>
        <v>-5000</v>
      </c>
      <c r="AY41" s="141">
        <f t="shared" si="58"/>
        <v>-5000</v>
      </c>
      <c r="AZ41" s="141">
        <f t="shared" si="58"/>
        <v>-5000</v>
      </c>
      <c r="BA41" s="141">
        <f t="shared" si="58"/>
        <v>-5000</v>
      </c>
      <c r="BB41" s="141">
        <f t="shared" si="58"/>
        <v>-5000</v>
      </c>
      <c r="BC41" s="141">
        <f t="shared" si="58"/>
        <v>-5000</v>
      </c>
      <c r="BD41" s="141">
        <f t="shared" si="58"/>
        <v>-5000</v>
      </c>
      <c r="BE41" s="141">
        <f t="shared" si="58"/>
        <v>-5000</v>
      </c>
      <c r="BF41" s="141">
        <f t="shared" si="58"/>
        <v>-5000</v>
      </c>
      <c r="BG41" s="141">
        <f t="shared" si="58"/>
        <v>-5000</v>
      </c>
      <c r="BH41" s="141">
        <f t="shared" si="58"/>
        <v>-5000</v>
      </c>
      <c r="BI41" s="141">
        <f t="shared" si="58"/>
        <v>-5000</v>
      </c>
      <c r="BJ41" s="141">
        <f t="shared" si="58"/>
        <v>-5000</v>
      </c>
      <c r="BK41" s="141">
        <f t="shared" si="59"/>
        <v>-5000</v>
      </c>
      <c r="BL41" s="141">
        <f t="shared" si="59"/>
        <v>-5000</v>
      </c>
      <c r="BM41" s="141"/>
      <c r="BN41" s="141"/>
    </row>
    <row r="42" spans="3:66">
      <c r="C42" s="8" t="s">
        <v>241</v>
      </c>
      <c r="D42" s="155">
        <v>-60000</v>
      </c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>
        <f t="shared" si="57"/>
        <v>-5000</v>
      </c>
      <c r="AP42" s="141">
        <f t="shared" si="57"/>
        <v>-5000</v>
      </c>
      <c r="AQ42" s="141">
        <f t="shared" si="57"/>
        <v>-5000</v>
      </c>
      <c r="AR42" s="141">
        <f t="shared" si="57"/>
        <v>-5000</v>
      </c>
      <c r="AS42" s="141">
        <f t="shared" si="57"/>
        <v>-5000</v>
      </c>
      <c r="AT42" s="141">
        <f t="shared" si="57"/>
        <v>-5000</v>
      </c>
      <c r="AU42" s="141">
        <f t="shared" si="58"/>
        <v>-5000</v>
      </c>
      <c r="AV42" s="141">
        <f t="shared" si="58"/>
        <v>-5000</v>
      </c>
      <c r="AW42" s="141">
        <f t="shared" si="58"/>
        <v>-5000</v>
      </c>
      <c r="AX42" s="141">
        <f t="shared" si="58"/>
        <v>-5000</v>
      </c>
      <c r="AY42" s="141">
        <f t="shared" si="58"/>
        <v>-5000</v>
      </c>
      <c r="AZ42" s="141">
        <f t="shared" si="58"/>
        <v>-5000</v>
      </c>
      <c r="BA42" s="141">
        <f t="shared" si="58"/>
        <v>-5000</v>
      </c>
      <c r="BB42" s="141">
        <f t="shared" si="58"/>
        <v>-5000</v>
      </c>
      <c r="BC42" s="141">
        <f t="shared" si="58"/>
        <v>-5000</v>
      </c>
      <c r="BD42" s="141">
        <f t="shared" si="58"/>
        <v>-5000</v>
      </c>
      <c r="BE42" s="141">
        <f t="shared" si="58"/>
        <v>-5000</v>
      </c>
      <c r="BF42" s="141">
        <f t="shared" si="58"/>
        <v>-5000</v>
      </c>
      <c r="BG42" s="141">
        <f t="shared" si="58"/>
        <v>-5000</v>
      </c>
      <c r="BH42" s="141">
        <f t="shared" si="58"/>
        <v>-5000</v>
      </c>
      <c r="BI42" s="141">
        <f t="shared" si="58"/>
        <v>-5000</v>
      </c>
      <c r="BJ42" s="141">
        <f t="shared" si="58"/>
        <v>-5000</v>
      </c>
      <c r="BK42" s="141">
        <f t="shared" si="59"/>
        <v>-5000</v>
      </c>
      <c r="BL42" s="141">
        <f t="shared" si="59"/>
        <v>-5000</v>
      </c>
      <c r="BM42" s="141"/>
      <c r="BN42" s="141"/>
    </row>
    <row r="43" spans="3:66">
      <c r="C43" s="8" t="s">
        <v>242</v>
      </c>
      <c r="D43" s="155">
        <v>-120000</v>
      </c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>
        <f t="shared" si="57"/>
        <v>-10000</v>
      </c>
      <c r="AP43" s="141">
        <f t="shared" si="57"/>
        <v>-10000</v>
      </c>
      <c r="AQ43" s="141">
        <f t="shared" si="57"/>
        <v>-10000</v>
      </c>
      <c r="AR43" s="141">
        <f t="shared" si="57"/>
        <v>-10000</v>
      </c>
      <c r="AS43" s="141">
        <f t="shared" si="57"/>
        <v>-10000</v>
      </c>
      <c r="AT43" s="141">
        <f t="shared" si="57"/>
        <v>-10000</v>
      </c>
      <c r="AU43" s="141">
        <f t="shared" si="58"/>
        <v>-10000</v>
      </c>
      <c r="AV43" s="141">
        <f t="shared" si="58"/>
        <v>-10000</v>
      </c>
      <c r="AW43" s="141">
        <f t="shared" si="58"/>
        <v>-10000</v>
      </c>
      <c r="AX43" s="141">
        <f t="shared" si="58"/>
        <v>-10000</v>
      </c>
      <c r="AY43" s="141">
        <f t="shared" si="58"/>
        <v>-10000</v>
      </c>
      <c r="AZ43" s="141">
        <f t="shared" si="58"/>
        <v>-10000</v>
      </c>
      <c r="BA43" s="141">
        <f t="shared" si="58"/>
        <v>-10000</v>
      </c>
      <c r="BB43" s="141">
        <f t="shared" si="58"/>
        <v>-10000</v>
      </c>
      <c r="BC43" s="141">
        <f t="shared" si="58"/>
        <v>-10000</v>
      </c>
      <c r="BD43" s="141">
        <f t="shared" si="58"/>
        <v>-10000</v>
      </c>
      <c r="BE43" s="141">
        <f t="shared" si="58"/>
        <v>-10000</v>
      </c>
      <c r="BF43" s="141">
        <f t="shared" si="58"/>
        <v>-10000</v>
      </c>
      <c r="BG43" s="141">
        <f t="shared" si="58"/>
        <v>-10000</v>
      </c>
      <c r="BH43" s="141">
        <f t="shared" si="58"/>
        <v>-10000</v>
      </c>
      <c r="BI43" s="141">
        <f t="shared" si="58"/>
        <v>-10000</v>
      </c>
      <c r="BJ43" s="141">
        <f t="shared" si="58"/>
        <v>-10000</v>
      </c>
      <c r="BK43" s="141">
        <f t="shared" si="59"/>
        <v>-10000</v>
      </c>
      <c r="BL43" s="141">
        <f t="shared" si="59"/>
        <v>-10000</v>
      </c>
      <c r="BM43" s="141"/>
      <c r="BN43" s="141"/>
    </row>
    <row r="44" spans="3:66">
      <c r="C44" s="8" t="s">
        <v>243</v>
      </c>
      <c r="D44" s="155">
        <v>-120000</v>
      </c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>
        <f t="shared" si="57"/>
        <v>-10000</v>
      </c>
      <c r="AP44" s="141">
        <f t="shared" si="57"/>
        <v>-10000</v>
      </c>
      <c r="AQ44" s="141">
        <f t="shared" si="57"/>
        <v>-10000</v>
      </c>
      <c r="AR44" s="141">
        <f t="shared" si="57"/>
        <v>-10000</v>
      </c>
      <c r="AS44" s="141">
        <f t="shared" si="57"/>
        <v>-10000</v>
      </c>
      <c r="AT44" s="141">
        <f t="shared" si="57"/>
        <v>-10000</v>
      </c>
      <c r="AU44" s="141">
        <f t="shared" si="58"/>
        <v>-10000</v>
      </c>
      <c r="AV44" s="141">
        <f t="shared" si="58"/>
        <v>-10000</v>
      </c>
      <c r="AW44" s="141">
        <f t="shared" si="58"/>
        <v>-10000</v>
      </c>
      <c r="AX44" s="141">
        <f t="shared" si="58"/>
        <v>-10000</v>
      </c>
      <c r="AY44" s="141">
        <f t="shared" si="58"/>
        <v>-10000</v>
      </c>
      <c r="AZ44" s="141">
        <f t="shared" si="58"/>
        <v>-10000</v>
      </c>
      <c r="BA44" s="141">
        <f t="shared" si="58"/>
        <v>-10000</v>
      </c>
      <c r="BB44" s="141">
        <f t="shared" si="58"/>
        <v>-10000</v>
      </c>
      <c r="BC44" s="141">
        <f t="shared" si="58"/>
        <v>-10000</v>
      </c>
      <c r="BD44" s="141">
        <f t="shared" si="58"/>
        <v>-10000</v>
      </c>
      <c r="BE44" s="141">
        <f t="shared" si="58"/>
        <v>-10000</v>
      </c>
      <c r="BF44" s="141">
        <f t="shared" si="58"/>
        <v>-10000</v>
      </c>
      <c r="BG44" s="141">
        <f t="shared" si="58"/>
        <v>-10000</v>
      </c>
      <c r="BH44" s="141">
        <f t="shared" si="58"/>
        <v>-10000</v>
      </c>
      <c r="BI44" s="141">
        <f t="shared" si="58"/>
        <v>-10000</v>
      </c>
      <c r="BJ44" s="141">
        <f t="shared" si="58"/>
        <v>-10000</v>
      </c>
      <c r="BK44" s="141">
        <f t="shared" si="59"/>
        <v>-10000</v>
      </c>
      <c r="BL44" s="141">
        <f t="shared" si="59"/>
        <v>-10000</v>
      </c>
      <c r="BM44" s="141"/>
      <c r="BN44" s="141"/>
    </row>
    <row r="45" spans="3:66">
      <c r="C45" s="8" t="s">
        <v>244</v>
      </c>
      <c r="D45" s="155">
        <v>-120000</v>
      </c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>
        <f t="shared" si="57"/>
        <v>-10000</v>
      </c>
      <c r="AP45" s="141">
        <f t="shared" si="57"/>
        <v>-10000</v>
      </c>
      <c r="AQ45" s="141">
        <f t="shared" si="57"/>
        <v>-10000</v>
      </c>
      <c r="AR45" s="141">
        <f t="shared" si="57"/>
        <v>-10000</v>
      </c>
      <c r="AS45" s="141">
        <f t="shared" si="57"/>
        <v>-10000</v>
      </c>
      <c r="AT45" s="141">
        <f t="shared" si="57"/>
        <v>-10000</v>
      </c>
      <c r="AU45" s="141">
        <f t="shared" si="58"/>
        <v>-10000</v>
      </c>
      <c r="AV45" s="141">
        <f t="shared" si="58"/>
        <v>-10000</v>
      </c>
      <c r="AW45" s="141">
        <f t="shared" si="58"/>
        <v>-10000</v>
      </c>
      <c r="AX45" s="141">
        <f t="shared" si="58"/>
        <v>-10000</v>
      </c>
      <c r="AY45" s="141">
        <f t="shared" si="58"/>
        <v>-10000</v>
      </c>
      <c r="AZ45" s="141">
        <f t="shared" si="58"/>
        <v>-10000</v>
      </c>
      <c r="BA45" s="141">
        <f t="shared" si="58"/>
        <v>-10000</v>
      </c>
      <c r="BB45" s="141">
        <f t="shared" si="58"/>
        <v>-10000</v>
      </c>
      <c r="BC45" s="141">
        <f t="shared" si="58"/>
        <v>-10000</v>
      </c>
      <c r="BD45" s="141">
        <f t="shared" si="58"/>
        <v>-10000</v>
      </c>
      <c r="BE45" s="141">
        <f t="shared" si="58"/>
        <v>-10000</v>
      </c>
      <c r="BF45" s="141">
        <f t="shared" si="58"/>
        <v>-10000</v>
      </c>
      <c r="BG45" s="141">
        <f t="shared" si="58"/>
        <v>-10000</v>
      </c>
      <c r="BH45" s="141">
        <f t="shared" si="58"/>
        <v>-10000</v>
      </c>
      <c r="BI45" s="141">
        <f t="shared" si="58"/>
        <v>-10000</v>
      </c>
      <c r="BJ45" s="141">
        <f t="shared" si="58"/>
        <v>-10000</v>
      </c>
      <c r="BK45" s="141">
        <f t="shared" si="59"/>
        <v>-10000</v>
      </c>
      <c r="BL45" s="141">
        <f t="shared" si="59"/>
        <v>-10000</v>
      </c>
      <c r="BM45" s="141"/>
      <c r="BN45" s="141"/>
    </row>
    <row r="46" spans="3:66">
      <c r="C46" s="8" t="s">
        <v>245</v>
      </c>
      <c r="D46" s="155">
        <v>-120000</v>
      </c>
      <c r="E46" s="141"/>
      <c r="F46" s="141"/>
      <c r="G46" s="141"/>
      <c r="H46" s="141"/>
      <c r="I46" s="141"/>
      <c r="J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>
        <f t="shared" si="57"/>
        <v>-10000</v>
      </c>
      <c r="AP46" s="141">
        <f t="shared" si="57"/>
        <v>-10000</v>
      </c>
      <c r="AQ46" s="141">
        <f t="shared" si="57"/>
        <v>-10000</v>
      </c>
      <c r="AR46" s="141">
        <f t="shared" si="57"/>
        <v>-10000</v>
      </c>
      <c r="AS46" s="141">
        <f t="shared" si="57"/>
        <v>-10000</v>
      </c>
      <c r="AT46" s="141">
        <f t="shared" si="57"/>
        <v>-10000</v>
      </c>
      <c r="AU46" s="141">
        <f t="shared" si="58"/>
        <v>-10000</v>
      </c>
      <c r="AV46" s="141">
        <f t="shared" si="58"/>
        <v>-10000</v>
      </c>
      <c r="AW46" s="141">
        <f t="shared" si="58"/>
        <v>-10000</v>
      </c>
      <c r="AX46" s="141">
        <f t="shared" si="58"/>
        <v>-10000</v>
      </c>
      <c r="AY46" s="141">
        <f t="shared" si="58"/>
        <v>-10000</v>
      </c>
      <c r="AZ46" s="141">
        <f t="shared" si="58"/>
        <v>-10000</v>
      </c>
      <c r="BA46" s="141">
        <f t="shared" si="58"/>
        <v>-10000</v>
      </c>
      <c r="BB46" s="141">
        <f t="shared" si="58"/>
        <v>-10000</v>
      </c>
      <c r="BC46" s="141">
        <f t="shared" si="58"/>
        <v>-10000</v>
      </c>
      <c r="BD46" s="141">
        <f t="shared" si="58"/>
        <v>-10000</v>
      </c>
      <c r="BE46" s="141">
        <f t="shared" si="58"/>
        <v>-10000</v>
      </c>
      <c r="BF46" s="141">
        <f t="shared" si="58"/>
        <v>-10000</v>
      </c>
      <c r="BG46" s="141">
        <f t="shared" si="58"/>
        <v>-10000</v>
      </c>
      <c r="BH46" s="141">
        <f t="shared" si="58"/>
        <v>-10000</v>
      </c>
      <c r="BI46" s="141">
        <f t="shared" si="58"/>
        <v>-10000</v>
      </c>
      <c r="BJ46" s="141">
        <f t="shared" si="58"/>
        <v>-10000</v>
      </c>
      <c r="BK46" s="141">
        <f t="shared" si="59"/>
        <v>-10000</v>
      </c>
      <c r="BL46" s="141">
        <f t="shared" si="59"/>
        <v>-10000</v>
      </c>
      <c r="BM46" s="141"/>
      <c r="BN46" s="141"/>
    </row>
    <row r="47" spans="3:66">
      <c r="C47" s="8" t="s">
        <v>246</v>
      </c>
      <c r="D47" s="155">
        <v>-60000</v>
      </c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>
        <f t="shared" si="57"/>
        <v>-5000</v>
      </c>
      <c r="AP47" s="141">
        <f t="shared" si="57"/>
        <v>-5000</v>
      </c>
      <c r="AQ47" s="141">
        <f t="shared" si="57"/>
        <v>-5000</v>
      </c>
      <c r="AR47" s="141">
        <f t="shared" si="57"/>
        <v>-5000</v>
      </c>
      <c r="AS47" s="141">
        <f t="shared" si="57"/>
        <v>-5000</v>
      </c>
      <c r="AT47" s="141">
        <f t="shared" si="57"/>
        <v>-5000</v>
      </c>
      <c r="AU47" s="141">
        <f t="shared" si="58"/>
        <v>-5000</v>
      </c>
      <c r="AV47" s="141">
        <f t="shared" si="58"/>
        <v>-5000</v>
      </c>
      <c r="AW47" s="141">
        <f t="shared" si="58"/>
        <v>-5000</v>
      </c>
      <c r="AX47" s="141">
        <f t="shared" si="58"/>
        <v>-5000</v>
      </c>
      <c r="AY47" s="141">
        <f t="shared" si="58"/>
        <v>-5000</v>
      </c>
      <c r="AZ47" s="141">
        <f t="shared" si="58"/>
        <v>-5000</v>
      </c>
      <c r="BA47" s="141">
        <f t="shared" si="58"/>
        <v>-5000</v>
      </c>
      <c r="BB47" s="141">
        <f t="shared" si="58"/>
        <v>-5000</v>
      </c>
      <c r="BC47" s="141">
        <f t="shared" si="58"/>
        <v>-5000</v>
      </c>
      <c r="BD47" s="141">
        <f t="shared" si="58"/>
        <v>-5000</v>
      </c>
      <c r="BE47" s="141">
        <f t="shared" si="58"/>
        <v>-5000</v>
      </c>
      <c r="BF47" s="141">
        <f t="shared" si="58"/>
        <v>-5000</v>
      </c>
      <c r="BG47" s="141">
        <f t="shared" si="58"/>
        <v>-5000</v>
      </c>
      <c r="BH47" s="141">
        <f t="shared" si="58"/>
        <v>-5000</v>
      </c>
      <c r="BI47" s="141">
        <f t="shared" si="58"/>
        <v>-5000</v>
      </c>
      <c r="BJ47" s="141">
        <f t="shared" si="58"/>
        <v>-5000</v>
      </c>
      <c r="BK47" s="141">
        <f t="shared" si="59"/>
        <v>-5000</v>
      </c>
      <c r="BL47" s="141">
        <f t="shared" si="59"/>
        <v>-5000</v>
      </c>
      <c r="BM47" s="141"/>
      <c r="BN47" s="141"/>
    </row>
    <row r="48" spans="3:66">
      <c r="C48" s="8" t="s">
        <v>247</v>
      </c>
      <c r="D48" s="155">
        <v>-120000</v>
      </c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>
        <f t="shared" si="57"/>
        <v>-10000</v>
      </c>
      <c r="AP48" s="141">
        <f t="shared" si="57"/>
        <v>-10000</v>
      </c>
      <c r="AQ48" s="141">
        <f t="shared" si="57"/>
        <v>-10000</v>
      </c>
      <c r="AR48" s="141">
        <f t="shared" si="57"/>
        <v>-10000</v>
      </c>
      <c r="AS48" s="141">
        <f t="shared" si="57"/>
        <v>-10000</v>
      </c>
      <c r="AT48" s="141">
        <f t="shared" si="57"/>
        <v>-10000</v>
      </c>
      <c r="AU48" s="141">
        <f t="shared" si="58"/>
        <v>-10000</v>
      </c>
      <c r="AV48" s="141">
        <f t="shared" si="58"/>
        <v>-10000</v>
      </c>
      <c r="AW48" s="141">
        <f t="shared" si="58"/>
        <v>-10000</v>
      </c>
      <c r="AX48" s="141">
        <f t="shared" si="58"/>
        <v>-10000</v>
      </c>
      <c r="AY48" s="141">
        <f t="shared" si="58"/>
        <v>-10000</v>
      </c>
      <c r="AZ48" s="141">
        <f t="shared" si="58"/>
        <v>-10000</v>
      </c>
      <c r="BA48" s="141">
        <f t="shared" si="58"/>
        <v>-10000</v>
      </c>
      <c r="BB48" s="141">
        <f t="shared" si="58"/>
        <v>-10000</v>
      </c>
      <c r="BC48" s="141">
        <f t="shared" si="58"/>
        <v>-10000</v>
      </c>
      <c r="BD48" s="141">
        <f t="shared" si="58"/>
        <v>-10000</v>
      </c>
      <c r="BE48" s="141">
        <f t="shared" si="58"/>
        <v>-10000</v>
      </c>
      <c r="BF48" s="141">
        <f t="shared" si="58"/>
        <v>-10000</v>
      </c>
      <c r="BG48" s="141">
        <f t="shared" si="58"/>
        <v>-10000</v>
      </c>
      <c r="BH48" s="141">
        <f t="shared" si="58"/>
        <v>-10000</v>
      </c>
      <c r="BI48" s="141">
        <f t="shared" si="58"/>
        <v>-10000</v>
      </c>
      <c r="BJ48" s="141">
        <f t="shared" si="58"/>
        <v>-10000</v>
      </c>
      <c r="BK48" s="141">
        <f t="shared" si="59"/>
        <v>-10000</v>
      </c>
      <c r="BL48" s="141">
        <f t="shared" si="59"/>
        <v>-10000</v>
      </c>
      <c r="BM48" s="141"/>
      <c r="BN48" s="141"/>
    </row>
    <row r="49" spans="3:66">
      <c r="C49" s="8" t="s">
        <v>248</v>
      </c>
      <c r="D49" s="155">
        <v>-30000</v>
      </c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>
        <f t="shared" si="57"/>
        <v>-2500</v>
      </c>
      <c r="AP49" s="141">
        <f t="shared" si="57"/>
        <v>-2500</v>
      </c>
      <c r="AQ49" s="141">
        <f t="shared" si="57"/>
        <v>-2500</v>
      </c>
      <c r="AR49" s="141">
        <f t="shared" si="57"/>
        <v>-2500</v>
      </c>
      <c r="AS49" s="141">
        <f t="shared" si="57"/>
        <v>-2500</v>
      </c>
      <c r="AT49" s="141">
        <f t="shared" si="57"/>
        <v>-2500</v>
      </c>
      <c r="AU49" s="141">
        <f t="shared" si="58"/>
        <v>-2500</v>
      </c>
      <c r="AV49" s="141">
        <f t="shared" si="58"/>
        <v>-2500</v>
      </c>
      <c r="AW49" s="141">
        <f t="shared" si="58"/>
        <v>-2500</v>
      </c>
      <c r="AX49" s="141">
        <f t="shared" si="58"/>
        <v>-2500</v>
      </c>
      <c r="AY49" s="141">
        <f t="shared" si="58"/>
        <v>-2500</v>
      </c>
      <c r="AZ49" s="141">
        <f t="shared" si="58"/>
        <v>-2500</v>
      </c>
      <c r="BA49" s="141">
        <f t="shared" si="58"/>
        <v>-2500</v>
      </c>
      <c r="BB49" s="141">
        <f t="shared" si="58"/>
        <v>-2500</v>
      </c>
      <c r="BC49" s="141">
        <f t="shared" ref="BC49:BJ49" si="60">SUM($D49/12)</f>
        <v>-2500</v>
      </c>
      <c r="BD49" s="141">
        <f t="shared" si="60"/>
        <v>-2500</v>
      </c>
      <c r="BE49" s="141">
        <f t="shared" si="60"/>
        <v>-2500</v>
      </c>
      <c r="BF49" s="141">
        <f t="shared" si="60"/>
        <v>-2500</v>
      </c>
      <c r="BG49" s="141">
        <f t="shared" si="60"/>
        <v>-2500</v>
      </c>
      <c r="BH49" s="141">
        <f t="shared" si="60"/>
        <v>-2500</v>
      </c>
      <c r="BI49" s="141">
        <f t="shared" si="60"/>
        <v>-2500</v>
      </c>
      <c r="BJ49" s="141">
        <f t="shared" si="60"/>
        <v>-2500</v>
      </c>
      <c r="BK49" s="141">
        <f t="shared" si="59"/>
        <v>-2500</v>
      </c>
      <c r="BL49" s="141">
        <f t="shared" si="59"/>
        <v>-2500</v>
      </c>
      <c r="BM49" s="141"/>
      <c r="BN49" s="141"/>
    </row>
    <row r="50" spans="3:66">
      <c r="C50" s="8" t="s">
        <v>240</v>
      </c>
      <c r="D50" s="155">
        <v>-60000</v>
      </c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>
        <f t="shared" si="58"/>
        <v>-5000</v>
      </c>
      <c r="BB50" s="141">
        <f t="shared" si="58"/>
        <v>-5000</v>
      </c>
      <c r="BC50" s="141">
        <f t="shared" si="58"/>
        <v>-5000</v>
      </c>
      <c r="BD50" s="141">
        <f t="shared" si="58"/>
        <v>-5000</v>
      </c>
      <c r="BE50" s="141">
        <f t="shared" si="58"/>
        <v>-5000</v>
      </c>
      <c r="BF50" s="141">
        <f t="shared" si="58"/>
        <v>-5000</v>
      </c>
      <c r="BG50" s="141">
        <f t="shared" si="58"/>
        <v>-5000</v>
      </c>
      <c r="BH50" s="141">
        <f t="shared" si="58"/>
        <v>-5000</v>
      </c>
      <c r="BI50" s="141">
        <f t="shared" si="58"/>
        <v>-5000</v>
      </c>
      <c r="BJ50" s="141">
        <f t="shared" si="58"/>
        <v>-5000</v>
      </c>
      <c r="BK50" s="141">
        <f t="shared" si="59"/>
        <v>-5000</v>
      </c>
      <c r="BL50" s="141">
        <f t="shared" si="59"/>
        <v>-5000</v>
      </c>
      <c r="BM50" s="141"/>
      <c r="BN50" s="141"/>
    </row>
    <row r="51" spans="3:66">
      <c r="C51" s="8" t="s">
        <v>241</v>
      </c>
      <c r="D51" s="155">
        <v>-60000</v>
      </c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>
        <f t="shared" si="58"/>
        <v>-5000</v>
      </c>
      <c r="BB51" s="141">
        <f t="shared" si="58"/>
        <v>-5000</v>
      </c>
      <c r="BC51" s="141">
        <f t="shared" si="58"/>
        <v>-5000</v>
      </c>
      <c r="BD51" s="141">
        <f t="shared" si="58"/>
        <v>-5000</v>
      </c>
      <c r="BE51" s="141">
        <f t="shared" si="58"/>
        <v>-5000</v>
      </c>
      <c r="BF51" s="141">
        <f t="shared" si="58"/>
        <v>-5000</v>
      </c>
      <c r="BG51" s="141">
        <f t="shared" si="58"/>
        <v>-5000</v>
      </c>
      <c r="BH51" s="141">
        <f t="shared" si="58"/>
        <v>-5000</v>
      </c>
      <c r="BI51" s="141">
        <f t="shared" si="58"/>
        <v>-5000</v>
      </c>
      <c r="BJ51" s="141">
        <f t="shared" si="58"/>
        <v>-5000</v>
      </c>
      <c r="BK51" s="141">
        <f t="shared" si="59"/>
        <v>-5000</v>
      </c>
      <c r="BL51" s="141">
        <f t="shared" si="59"/>
        <v>-5000</v>
      </c>
      <c r="BM51" s="141"/>
      <c r="BN51" s="141"/>
    </row>
    <row r="52" spans="3:66">
      <c r="C52" s="8" t="s">
        <v>249</v>
      </c>
      <c r="D52" s="155">
        <v>-120000</v>
      </c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>
        <f t="shared" si="58"/>
        <v>-10000</v>
      </c>
      <c r="BB52" s="141">
        <f t="shared" si="58"/>
        <v>-10000</v>
      </c>
      <c r="BC52" s="141">
        <f t="shared" si="58"/>
        <v>-10000</v>
      </c>
      <c r="BD52" s="141">
        <f t="shared" si="58"/>
        <v>-10000</v>
      </c>
      <c r="BE52" s="141">
        <f t="shared" si="58"/>
        <v>-10000</v>
      </c>
      <c r="BF52" s="141">
        <f t="shared" si="58"/>
        <v>-10000</v>
      </c>
      <c r="BG52" s="141">
        <f t="shared" si="58"/>
        <v>-10000</v>
      </c>
      <c r="BH52" s="141">
        <f t="shared" si="58"/>
        <v>-10000</v>
      </c>
      <c r="BI52" s="141">
        <f t="shared" si="58"/>
        <v>-10000</v>
      </c>
      <c r="BJ52" s="141">
        <f t="shared" si="58"/>
        <v>-10000</v>
      </c>
      <c r="BK52" s="141">
        <f t="shared" si="59"/>
        <v>-10000</v>
      </c>
      <c r="BL52" s="141">
        <f t="shared" si="59"/>
        <v>-10000</v>
      </c>
      <c r="BM52" s="141"/>
      <c r="BN52" s="141"/>
    </row>
    <row r="53" spans="3:66">
      <c r="C53" s="8" t="s">
        <v>250</v>
      </c>
      <c r="D53" s="155">
        <v>-120000</v>
      </c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>
        <f t="shared" si="58"/>
        <v>-10000</v>
      </c>
      <c r="BB53" s="141">
        <f t="shared" si="58"/>
        <v>-10000</v>
      </c>
      <c r="BC53" s="141">
        <f t="shared" si="58"/>
        <v>-10000</v>
      </c>
      <c r="BD53" s="141">
        <f t="shared" si="58"/>
        <v>-10000</v>
      </c>
      <c r="BE53" s="141">
        <f t="shared" si="58"/>
        <v>-10000</v>
      </c>
      <c r="BF53" s="141">
        <f t="shared" si="58"/>
        <v>-10000</v>
      </c>
      <c r="BG53" s="141">
        <f t="shared" si="58"/>
        <v>-10000</v>
      </c>
      <c r="BH53" s="141">
        <f t="shared" si="58"/>
        <v>-10000</v>
      </c>
      <c r="BI53" s="141">
        <f t="shared" si="58"/>
        <v>-10000</v>
      </c>
      <c r="BJ53" s="141">
        <f t="shared" ref="BJ53" si="61">SUM($D53/12)</f>
        <v>-10000</v>
      </c>
      <c r="BK53" s="141">
        <f t="shared" si="59"/>
        <v>-10000</v>
      </c>
      <c r="BL53" s="141">
        <f t="shared" si="59"/>
        <v>-10000</v>
      </c>
      <c r="BM53" s="141"/>
      <c r="BN53" s="141"/>
    </row>
    <row r="54" spans="3:66">
      <c r="C54" s="8" t="s">
        <v>251</v>
      </c>
      <c r="D54" s="155">
        <v>-120000</v>
      </c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>
        <f t="shared" ref="BA54:BJ58" si="62">SUM($D54/12)</f>
        <v>-10000</v>
      </c>
      <c r="BB54" s="141">
        <f t="shared" si="62"/>
        <v>-10000</v>
      </c>
      <c r="BC54" s="141">
        <f t="shared" si="62"/>
        <v>-10000</v>
      </c>
      <c r="BD54" s="141">
        <f t="shared" si="62"/>
        <v>-10000</v>
      </c>
      <c r="BE54" s="141">
        <f t="shared" si="62"/>
        <v>-10000</v>
      </c>
      <c r="BF54" s="141">
        <f t="shared" si="62"/>
        <v>-10000</v>
      </c>
      <c r="BG54" s="141">
        <f t="shared" ref="BG54:BL58" si="63">SUM($D54/12)</f>
        <v>-10000</v>
      </c>
      <c r="BH54" s="141">
        <f t="shared" si="63"/>
        <v>-10000</v>
      </c>
      <c r="BI54" s="141">
        <f t="shared" si="63"/>
        <v>-10000</v>
      </c>
      <c r="BJ54" s="141">
        <f t="shared" si="63"/>
        <v>-10000</v>
      </c>
      <c r="BK54" s="141">
        <f t="shared" si="63"/>
        <v>-10000</v>
      </c>
      <c r="BL54" s="141">
        <f t="shared" si="63"/>
        <v>-10000</v>
      </c>
      <c r="BM54" s="141"/>
      <c r="BN54" s="141"/>
    </row>
    <row r="55" spans="3:66">
      <c r="C55" s="8" t="s">
        <v>252</v>
      </c>
      <c r="D55" s="155">
        <v>-120000</v>
      </c>
      <c r="E55" s="141"/>
      <c r="F55" s="141"/>
      <c r="G55" s="141"/>
      <c r="H55" s="141"/>
      <c r="I55" s="141"/>
      <c r="J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>
        <f t="shared" si="62"/>
        <v>-10000</v>
      </c>
      <c r="BB55" s="141">
        <f t="shared" si="62"/>
        <v>-10000</v>
      </c>
      <c r="BC55" s="141">
        <f t="shared" si="62"/>
        <v>-10000</v>
      </c>
      <c r="BD55" s="141">
        <f t="shared" si="62"/>
        <v>-10000</v>
      </c>
      <c r="BE55" s="141">
        <f t="shared" si="62"/>
        <v>-10000</v>
      </c>
      <c r="BF55" s="141">
        <f t="shared" si="62"/>
        <v>-10000</v>
      </c>
      <c r="BG55" s="141">
        <f t="shared" si="63"/>
        <v>-10000</v>
      </c>
      <c r="BH55" s="141">
        <f t="shared" si="63"/>
        <v>-10000</v>
      </c>
      <c r="BI55" s="141">
        <f t="shared" si="63"/>
        <v>-10000</v>
      </c>
      <c r="BJ55" s="141">
        <f t="shared" si="63"/>
        <v>-10000</v>
      </c>
      <c r="BK55" s="141">
        <f t="shared" si="63"/>
        <v>-10000</v>
      </c>
      <c r="BL55" s="141">
        <f t="shared" si="63"/>
        <v>-10000</v>
      </c>
      <c r="BM55" s="141"/>
      <c r="BN55" s="141"/>
    </row>
    <row r="56" spans="3:66">
      <c r="C56" s="8" t="s">
        <v>253</v>
      </c>
      <c r="D56" s="155">
        <v>-60000</v>
      </c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>
        <f t="shared" si="62"/>
        <v>-5000</v>
      </c>
      <c r="BB56" s="141">
        <f t="shared" si="62"/>
        <v>-5000</v>
      </c>
      <c r="BC56" s="141">
        <f t="shared" si="62"/>
        <v>-5000</v>
      </c>
      <c r="BD56" s="141">
        <f t="shared" si="62"/>
        <v>-5000</v>
      </c>
      <c r="BE56" s="141">
        <f t="shared" si="62"/>
        <v>-5000</v>
      </c>
      <c r="BF56" s="141">
        <f t="shared" si="62"/>
        <v>-5000</v>
      </c>
      <c r="BG56" s="141">
        <f t="shared" si="63"/>
        <v>-5000</v>
      </c>
      <c r="BH56" s="141">
        <f t="shared" si="63"/>
        <v>-5000</v>
      </c>
      <c r="BI56" s="141">
        <f t="shared" si="63"/>
        <v>-5000</v>
      </c>
      <c r="BJ56" s="141">
        <f t="shared" si="63"/>
        <v>-5000</v>
      </c>
      <c r="BK56" s="141">
        <f t="shared" si="63"/>
        <v>-5000</v>
      </c>
      <c r="BL56" s="141">
        <f t="shared" si="63"/>
        <v>-5000</v>
      </c>
      <c r="BM56" s="141"/>
      <c r="BN56" s="141"/>
    </row>
    <row r="57" spans="3:66">
      <c r="C57" s="8" t="s">
        <v>254</v>
      </c>
      <c r="D57" s="155">
        <v>-120000</v>
      </c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>
        <f t="shared" si="62"/>
        <v>-10000</v>
      </c>
      <c r="BB57" s="141">
        <f t="shared" si="62"/>
        <v>-10000</v>
      </c>
      <c r="BC57" s="141">
        <f t="shared" si="62"/>
        <v>-10000</v>
      </c>
      <c r="BD57" s="141">
        <f t="shared" si="62"/>
        <v>-10000</v>
      </c>
      <c r="BE57" s="141">
        <f t="shared" si="62"/>
        <v>-10000</v>
      </c>
      <c r="BF57" s="141">
        <f t="shared" si="62"/>
        <v>-10000</v>
      </c>
      <c r="BG57" s="141">
        <f t="shared" si="63"/>
        <v>-10000</v>
      </c>
      <c r="BH57" s="141">
        <f t="shared" si="63"/>
        <v>-10000</v>
      </c>
      <c r="BI57" s="141">
        <f t="shared" si="63"/>
        <v>-10000</v>
      </c>
      <c r="BJ57" s="141">
        <f t="shared" si="63"/>
        <v>-10000</v>
      </c>
      <c r="BK57" s="141">
        <f t="shared" si="63"/>
        <v>-10000</v>
      </c>
      <c r="BL57" s="141">
        <f t="shared" si="63"/>
        <v>-10000</v>
      </c>
      <c r="BM57" s="141"/>
      <c r="BN57" s="141"/>
    </row>
    <row r="58" spans="3:66">
      <c r="C58" s="8" t="s">
        <v>255</v>
      </c>
      <c r="D58" s="155">
        <v>-30000</v>
      </c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>
        <f t="shared" ref="BA58:BB58" si="64">SUM($D58/12)</f>
        <v>-2500</v>
      </c>
      <c r="BB58" s="141">
        <f t="shared" si="64"/>
        <v>-2500</v>
      </c>
      <c r="BC58" s="141">
        <f t="shared" si="62"/>
        <v>-2500</v>
      </c>
      <c r="BD58" s="141">
        <f t="shared" si="62"/>
        <v>-2500</v>
      </c>
      <c r="BE58" s="141">
        <f t="shared" si="62"/>
        <v>-2500</v>
      </c>
      <c r="BF58" s="141">
        <f t="shared" si="62"/>
        <v>-2500</v>
      </c>
      <c r="BG58" s="141">
        <f t="shared" si="62"/>
        <v>-2500</v>
      </c>
      <c r="BH58" s="141">
        <f t="shared" si="62"/>
        <v>-2500</v>
      </c>
      <c r="BI58" s="141">
        <f t="shared" si="62"/>
        <v>-2500</v>
      </c>
      <c r="BJ58" s="141">
        <f t="shared" si="62"/>
        <v>-2500</v>
      </c>
      <c r="BK58" s="141">
        <f t="shared" si="63"/>
        <v>-2500</v>
      </c>
      <c r="BL58" s="141">
        <f t="shared" si="63"/>
        <v>-2500</v>
      </c>
      <c r="BM58" s="141"/>
      <c r="BN58" s="141"/>
    </row>
    <row r="59" spans="3:66">
      <c r="C59" s="124" t="s">
        <v>256</v>
      </c>
      <c r="D59" s="155">
        <v>-100</v>
      </c>
      <c r="E59" s="141">
        <f>SUM($D59*COUNTIF(E19:E58,"&lt;0"))</f>
        <v>-400</v>
      </c>
      <c r="F59" s="141">
        <f>SUM($D59*COUNTIF(F19:F58,"&lt;0"))</f>
        <v>-400</v>
      </c>
      <c r="G59" s="141">
        <f t="shared" ref="G59:BL59" si="65">SUM($D59*COUNTIF(G19:G58,"&lt;0"))</f>
        <v>-400</v>
      </c>
      <c r="H59" s="141">
        <f t="shared" si="65"/>
        <v>-500</v>
      </c>
      <c r="I59" s="141">
        <f t="shared" si="65"/>
        <v>-500</v>
      </c>
      <c r="J59" s="141">
        <f t="shared" si="65"/>
        <v>-500</v>
      </c>
      <c r="K59" s="141">
        <f t="shared" si="65"/>
        <v>-800</v>
      </c>
      <c r="L59" s="141">
        <f t="shared" si="65"/>
        <v>-800</v>
      </c>
      <c r="M59" s="141">
        <f t="shared" si="65"/>
        <v>-800</v>
      </c>
      <c r="N59" s="141">
        <f t="shared" si="65"/>
        <v>-800</v>
      </c>
      <c r="O59" s="141">
        <f t="shared" si="65"/>
        <v>-800</v>
      </c>
      <c r="P59" s="141">
        <f t="shared" si="65"/>
        <v>-800</v>
      </c>
      <c r="Q59" s="141">
        <f t="shared" si="65"/>
        <v>-1300</v>
      </c>
      <c r="R59" s="141">
        <f t="shared" si="65"/>
        <v>-1300</v>
      </c>
      <c r="S59" s="141">
        <f t="shared" si="65"/>
        <v>-1300</v>
      </c>
      <c r="T59" s="141">
        <f t="shared" si="65"/>
        <v>-1300</v>
      </c>
      <c r="U59" s="141">
        <f t="shared" si="65"/>
        <v>-1300</v>
      </c>
      <c r="V59" s="141">
        <f t="shared" si="65"/>
        <v>-1300</v>
      </c>
      <c r="W59" s="141">
        <f t="shared" si="65"/>
        <v>-1300</v>
      </c>
      <c r="X59" s="141">
        <f t="shared" si="65"/>
        <v>-1300</v>
      </c>
      <c r="Y59" s="141">
        <f t="shared" si="65"/>
        <v>-1300</v>
      </c>
      <c r="Z59" s="141">
        <f t="shared" si="65"/>
        <v>-1300</v>
      </c>
      <c r="AA59" s="141">
        <f t="shared" si="65"/>
        <v>-1300</v>
      </c>
      <c r="AB59" s="141">
        <f t="shared" si="65"/>
        <v>-1300</v>
      </c>
      <c r="AC59" s="141">
        <f t="shared" si="65"/>
        <v>-2200</v>
      </c>
      <c r="AD59" s="141">
        <f t="shared" si="65"/>
        <v>-2200</v>
      </c>
      <c r="AE59" s="141">
        <f t="shared" si="65"/>
        <v>-2200</v>
      </c>
      <c r="AF59" s="141">
        <f t="shared" si="65"/>
        <v>-2200</v>
      </c>
      <c r="AG59" s="141">
        <f t="shared" si="65"/>
        <v>-2200</v>
      </c>
      <c r="AH59" s="141">
        <f t="shared" si="65"/>
        <v>-2200</v>
      </c>
      <c r="AI59" s="141">
        <f t="shared" si="65"/>
        <v>-2200</v>
      </c>
      <c r="AJ59" s="141">
        <f t="shared" si="65"/>
        <v>-2200</v>
      </c>
      <c r="AK59" s="141">
        <f t="shared" si="65"/>
        <v>-2200</v>
      </c>
      <c r="AL59" s="141">
        <f t="shared" si="65"/>
        <v>-2200</v>
      </c>
      <c r="AM59" s="141">
        <f t="shared" si="65"/>
        <v>-2200</v>
      </c>
      <c r="AN59" s="141">
        <f t="shared" si="65"/>
        <v>-2200</v>
      </c>
      <c r="AO59" s="141">
        <f t="shared" si="65"/>
        <v>-3100</v>
      </c>
      <c r="AP59" s="141">
        <f t="shared" si="65"/>
        <v>-3100</v>
      </c>
      <c r="AQ59" s="141">
        <f t="shared" si="65"/>
        <v>-3100</v>
      </c>
      <c r="AR59" s="141">
        <f t="shared" si="65"/>
        <v>-3100</v>
      </c>
      <c r="AS59" s="141">
        <f t="shared" si="65"/>
        <v>-3100</v>
      </c>
      <c r="AT59" s="141">
        <f t="shared" si="65"/>
        <v>-3100</v>
      </c>
      <c r="AU59" s="141">
        <f t="shared" si="65"/>
        <v>-3100</v>
      </c>
      <c r="AV59" s="141">
        <f t="shared" si="65"/>
        <v>-3100</v>
      </c>
      <c r="AW59" s="141">
        <f t="shared" si="65"/>
        <v>-3100</v>
      </c>
      <c r="AX59" s="141">
        <f t="shared" si="65"/>
        <v>-3100</v>
      </c>
      <c r="AY59" s="141">
        <f t="shared" si="65"/>
        <v>-3100</v>
      </c>
      <c r="AZ59" s="141">
        <f t="shared" si="65"/>
        <v>-3100</v>
      </c>
      <c r="BA59" s="141">
        <f t="shared" si="65"/>
        <v>-4000</v>
      </c>
      <c r="BB59" s="141">
        <f t="shared" si="65"/>
        <v>-4000</v>
      </c>
      <c r="BC59" s="141">
        <f t="shared" si="65"/>
        <v>-4000</v>
      </c>
      <c r="BD59" s="141">
        <f t="shared" si="65"/>
        <v>-4000</v>
      </c>
      <c r="BE59" s="141">
        <f t="shared" si="65"/>
        <v>-4000</v>
      </c>
      <c r="BF59" s="141">
        <f t="shared" si="65"/>
        <v>-4000</v>
      </c>
      <c r="BG59" s="141">
        <f t="shared" si="65"/>
        <v>-4000</v>
      </c>
      <c r="BH59" s="141">
        <f t="shared" si="65"/>
        <v>-4000</v>
      </c>
      <c r="BI59" s="141">
        <f t="shared" si="65"/>
        <v>-4000</v>
      </c>
      <c r="BJ59" s="141">
        <f t="shared" si="65"/>
        <v>-4000</v>
      </c>
      <c r="BK59" s="141">
        <f t="shared" si="65"/>
        <v>-4000</v>
      </c>
      <c r="BL59" s="141">
        <f t="shared" si="65"/>
        <v>-4000</v>
      </c>
      <c r="BM59" s="141"/>
      <c r="BN59" s="141"/>
    </row>
    <row r="60" spans="3:66">
      <c r="C60" s="123" t="s">
        <v>257</v>
      </c>
      <c r="D60" s="155">
        <v>-50</v>
      </c>
      <c r="E60" s="141">
        <f>SUM($D60*COUNTIF(E19:E58,"&lt;0"))</f>
        <v>-200</v>
      </c>
      <c r="F60" s="141">
        <f>SUM($D60*COUNTIF(F19:F58,"&lt;0"))</f>
        <v>-200</v>
      </c>
      <c r="G60" s="141">
        <f t="shared" ref="G60:BL60" si="66">SUM($D60*COUNTIF(G19:G58,"&lt;0"))</f>
        <v>-200</v>
      </c>
      <c r="H60" s="141">
        <f t="shared" si="66"/>
        <v>-250</v>
      </c>
      <c r="I60" s="141">
        <f t="shared" si="66"/>
        <v>-250</v>
      </c>
      <c r="J60" s="141">
        <f t="shared" si="66"/>
        <v>-250</v>
      </c>
      <c r="K60" s="141">
        <f t="shared" si="66"/>
        <v>-400</v>
      </c>
      <c r="L60" s="141">
        <f t="shared" si="66"/>
        <v>-400</v>
      </c>
      <c r="M60" s="141">
        <f t="shared" si="66"/>
        <v>-400</v>
      </c>
      <c r="N60" s="141">
        <f t="shared" si="66"/>
        <v>-400</v>
      </c>
      <c r="O60" s="141">
        <f t="shared" si="66"/>
        <v>-400</v>
      </c>
      <c r="P60" s="141">
        <f t="shared" si="66"/>
        <v>-400</v>
      </c>
      <c r="Q60" s="141">
        <f t="shared" si="66"/>
        <v>-650</v>
      </c>
      <c r="R60" s="141">
        <f t="shared" si="66"/>
        <v>-650</v>
      </c>
      <c r="S60" s="141">
        <f t="shared" si="66"/>
        <v>-650</v>
      </c>
      <c r="T60" s="141">
        <f t="shared" si="66"/>
        <v>-650</v>
      </c>
      <c r="U60" s="141">
        <f t="shared" si="66"/>
        <v>-650</v>
      </c>
      <c r="V60" s="141">
        <f t="shared" si="66"/>
        <v>-650</v>
      </c>
      <c r="W60" s="141">
        <f t="shared" si="66"/>
        <v>-650</v>
      </c>
      <c r="X60" s="141">
        <f t="shared" si="66"/>
        <v>-650</v>
      </c>
      <c r="Y60" s="141">
        <f t="shared" si="66"/>
        <v>-650</v>
      </c>
      <c r="Z60" s="141">
        <f t="shared" si="66"/>
        <v>-650</v>
      </c>
      <c r="AA60" s="141">
        <f t="shared" si="66"/>
        <v>-650</v>
      </c>
      <c r="AB60" s="141">
        <f t="shared" si="66"/>
        <v>-650</v>
      </c>
      <c r="AC60" s="141">
        <f t="shared" si="66"/>
        <v>-1100</v>
      </c>
      <c r="AD60" s="141">
        <f t="shared" si="66"/>
        <v>-1100</v>
      </c>
      <c r="AE60" s="141">
        <f t="shared" si="66"/>
        <v>-1100</v>
      </c>
      <c r="AF60" s="141">
        <f t="shared" si="66"/>
        <v>-1100</v>
      </c>
      <c r="AG60" s="141">
        <f t="shared" si="66"/>
        <v>-1100</v>
      </c>
      <c r="AH60" s="141">
        <f t="shared" si="66"/>
        <v>-1100</v>
      </c>
      <c r="AI60" s="141">
        <f t="shared" si="66"/>
        <v>-1100</v>
      </c>
      <c r="AJ60" s="141">
        <f t="shared" si="66"/>
        <v>-1100</v>
      </c>
      <c r="AK60" s="141">
        <f t="shared" si="66"/>
        <v>-1100</v>
      </c>
      <c r="AL60" s="141">
        <f t="shared" si="66"/>
        <v>-1100</v>
      </c>
      <c r="AM60" s="141">
        <f t="shared" si="66"/>
        <v>-1100</v>
      </c>
      <c r="AN60" s="141">
        <f t="shared" si="66"/>
        <v>-1100</v>
      </c>
      <c r="AO60" s="141">
        <f t="shared" si="66"/>
        <v>-1550</v>
      </c>
      <c r="AP60" s="141">
        <f t="shared" si="66"/>
        <v>-1550</v>
      </c>
      <c r="AQ60" s="141">
        <f t="shared" si="66"/>
        <v>-1550</v>
      </c>
      <c r="AR60" s="141">
        <f t="shared" si="66"/>
        <v>-1550</v>
      </c>
      <c r="AS60" s="141">
        <f t="shared" si="66"/>
        <v>-1550</v>
      </c>
      <c r="AT60" s="141">
        <f t="shared" si="66"/>
        <v>-1550</v>
      </c>
      <c r="AU60" s="141">
        <f t="shared" si="66"/>
        <v>-1550</v>
      </c>
      <c r="AV60" s="141">
        <f t="shared" si="66"/>
        <v>-1550</v>
      </c>
      <c r="AW60" s="141">
        <f t="shared" si="66"/>
        <v>-1550</v>
      </c>
      <c r="AX60" s="141">
        <f t="shared" si="66"/>
        <v>-1550</v>
      </c>
      <c r="AY60" s="141">
        <f t="shared" si="66"/>
        <v>-1550</v>
      </c>
      <c r="AZ60" s="141">
        <f t="shared" si="66"/>
        <v>-1550</v>
      </c>
      <c r="BA60" s="141">
        <f t="shared" si="66"/>
        <v>-2000</v>
      </c>
      <c r="BB60" s="141">
        <f t="shared" si="66"/>
        <v>-2000</v>
      </c>
      <c r="BC60" s="141">
        <f t="shared" si="66"/>
        <v>-2000</v>
      </c>
      <c r="BD60" s="141">
        <f t="shared" si="66"/>
        <v>-2000</v>
      </c>
      <c r="BE60" s="141">
        <f t="shared" si="66"/>
        <v>-2000</v>
      </c>
      <c r="BF60" s="141">
        <f t="shared" si="66"/>
        <v>-2000</v>
      </c>
      <c r="BG60" s="141">
        <f t="shared" si="66"/>
        <v>-2000</v>
      </c>
      <c r="BH60" s="141">
        <f t="shared" si="66"/>
        <v>-2000</v>
      </c>
      <c r="BI60" s="141">
        <f t="shared" si="66"/>
        <v>-2000</v>
      </c>
      <c r="BJ60" s="141">
        <f t="shared" si="66"/>
        <v>-2000</v>
      </c>
      <c r="BK60" s="141">
        <f t="shared" si="66"/>
        <v>-2000</v>
      </c>
      <c r="BL60" s="141">
        <f t="shared" si="66"/>
        <v>-2000</v>
      </c>
      <c r="BM60" s="141"/>
      <c r="BN60" s="141"/>
    </row>
    <row r="61" spans="3:66">
      <c r="C61" s="123" t="s">
        <v>258</v>
      </c>
      <c r="D61" s="155">
        <v>-2000</v>
      </c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>
        <f>SUM($D61*COUNTIF(P19:P58,"&lt;0"))</f>
        <v>-16000</v>
      </c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>
        <f>SUM($D61*COUNTIF(AB19:AB58,"&lt;0"))</f>
        <v>-26000</v>
      </c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>
        <f>SUM($D61*COUNTIF(AN19:AN58,"&lt;0"))</f>
        <v>-44000</v>
      </c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>
        <f>SUM($D61*COUNTIF(AZ19:AZ58,"&lt;0"))</f>
        <v>-62000</v>
      </c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>
        <f>SUM($D61*COUNTIF(BL19:BL58,"&lt;0"))</f>
        <v>-80000</v>
      </c>
      <c r="BM61" s="141"/>
      <c r="BN61" s="141"/>
    </row>
    <row r="62" spans="3:66">
      <c r="C62" s="123" t="s">
        <v>259</v>
      </c>
      <c r="D62" s="155">
        <v>-1500</v>
      </c>
      <c r="E62" s="141">
        <f>COUNTIF(E19:E58,"&lt;0")*$D62</f>
        <v>-6000</v>
      </c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>
        <f>COUNTIF(Q19:Q58,"&lt;0")*$D62</f>
        <v>-19500</v>
      </c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>
        <f>COUNTIF(AC19:AC58,"&lt;0")*$D62</f>
        <v>-33000</v>
      </c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>
        <f>COUNTIF(AO19:AO58,"&lt;0")*$D62</f>
        <v>-46500</v>
      </c>
      <c r="AP62" s="141"/>
      <c r="AQ62" s="141"/>
      <c r="AR62" s="141"/>
      <c r="AS62" s="141"/>
      <c r="AT62" s="141"/>
      <c r="AU62" s="141"/>
      <c r="AV62" s="141"/>
      <c r="AW62" s="141"/>
      <c r="AX62" s="141"/>
      <c r="AY62" s="141"/>
      <c r="AZ62" s="141"/>
      <c r="BA62" s="141">
        <f>COUNTIF(BA19:BA58,"&lt;0")*$D62</f>
        <v>-60000</v>
      </c>
      <c r="BB62" s="141"/>
      <c r="BC62" s="141"/>
      <c r="BD62" s="141"/>
      <c r="BE62" s="141"/>
      <c r="BF62" s="141"/>
      <c r="BG62" s="141"/>
      <c r="BH62" s="141"/>
      <c r="BI62" s="141"/>
      <c r="BJ62" s="141"/>
      <c r="BK62" s="141"/>
      <c r="BL62" s="141"/>
      <c r="BM62" s="141"/>
      <c r="BN62" s="141"/>
    </row>
    <row r="63" spans="3:66">
      <c r="C63" s="123" t="s">
        <v>260</v>
      </c>
      <c r="D63" s="155">
        <v>-16.600000000000001</v>
      </c>
      <c r="E63" s="141">
        <f>SUM($D63*COUNTIF(E19:E58,"&lt;0"))</f>
        <v>-66.400000000000006</v>
      </c>
      <c r="F63" s="141">
        <f t="shared" ref="F63:BL65" si="67">SUM($D63*COUNTIF(F19:F58,"&lt;0"))</f>
        <v>-66.400000000000006</v>
      </c>
      <c r="G63" s="141">
        <f t="shared" si="67"/>
        <v>-66.400000000000006</v>
      </c>
      <c r="H63" s="141">
        <f t="shared" si="67"/>
        <v>-83</v>
      </c>
      <c r="I63" s="141">
        <f t="shared" si="67"/>
        <v>-83</v>
      </c>
      <c r="J63" s="141">
        <f t="shared" si="67"/>
        <v>-83</v>
      </c>
      <c r="K63" s="141">
        <f t="shared" si="67"/>
        <v>-132.80000000000001</v>
      </c>
      <c r="L63" s="141">
        <f t="shared" si="67"/>
        <v>-132.80000000000001</v>
      </c>
      <c r="M63" s="141">
        <f t="shared" si="67"/>
        <v>-132.80000000000001</v>
      </c>
      <c r="N63" s="141">
        <f t="shared" si="67"/>
        <v>-132.80000000000001</v>
      </c>
      <c r="O63" s="141">
        <f t="shared" si="67"/>
        <v>-132.80000000000001</v>
      </c>
      <c r="P63" s="141">
        <f t="shared" si="67"/>
        <v>-132.80000000000001</v>
      </c>
      <c r="Q63" s="141">
        <f t="shared" si="67"/>
        <v>-215.8</v>
      </c>
      <c r="R63" s="141">
        <f t="shared" si="67"/>
        <v>-215.8</v>
      </c>
      <c r="S63" s="141">
        <f t="shared" si="67"/>
        <v>-215.8</v>
      </c>
      <c r="T63" s="141">
        <f t="shared" si="67"/>
        <v>-215.8</v>
      </c>
      <c r="U63" s="141">
        <f t="shared" si="67"/>
        <v>-215.8</v>
      </c>
      <c r="V63" s="141">
        <f t="shared" si="67"/>
        <v>-215.8</v>
      </c>
      <c r="W63" s="141">
        <f t="shared" si="67"/>
        <v>-215.8</v>
      </c>
      <c r="X63" s="141">
        <f t="shared" si="67"/>
        <v>-215.8</v>
      </c>
      <c r="Y63" s="141">
        <f t="shared" si="67"/>
        <v>-215.8</v>
      </c>
      <c r="Z63" s="141">
        <f t="shared" si="67"/>
        <v>-215.8</v>
      </c>
      <c r="AA63" s="141">
        <f t="shared" si="67"/>
        <v>-215.8</v>
      </c>
      <c r="AB63" s="141">
        <f t="shared" si="67"/>
        <v>-215.8</v>
      </c>
      <c r="AC63" s="141">
        <f t="shared" si="67"/>
        <v>-365.20000000000005</v>
      </c>
      <c r="AD63" s="141">
        <f t="shared" si="67"/>
        <v>-365.20000000000005</v>
      </c>
      <c r="AE63" s="141">
        <f t="shared" si="67"/>
        <v>-365.20000000000005</v>
      </c>
      <c r="AF63" s="141">
        <f t="shared" si="67"/>
        <v>-365.20000000000005</v>
      </c>
      <c r="AG63" s="141">
        <f t="shared" si="67"/>
        <v>-365.20000000000005</v>
      </c>
      <c r="AH63" s="141">
        <f t="shared" si="67"/>
        <v>-365.20000000000005</v>
      </c>
      <c r="AI63" s="141">
        <f t="shared" si="67"/>
        <v>-365.20000000000005</v>
      </c>
      <c r="AJ63" s="141">
        <f t="shared" si="67"/>
        <v>-365.20000000000005</v>
      </c>
      <c r="AK63" s="141">
        <f t="shared" si="67"/>
        <v>-365.20000000000005</v>
      </c>
      <c r="AL63" s="141">
        <f t="shared" si="67"/>
        <v>-365.20000000000005</v>
      </c>
      <c r="AM63" s="141">
        <f t="shared" si="67"/>
        <v>-365.20000000000005</v>
      </c>
      <c r="AN63" s="141">
        <f t="shared" si="67"/>
        <v>-365.20000000000005</v>
      </c>
      <c r="AO63" s="141">
        <f t="shared" si="67"/>
        <v>-514.6</v>
      </c>
      <c r="AP63" s="141">
        <f t="shared" si="67"/>
        <v>-514.6</v>
      </c>
      <c r="AQ63" s="141">
        <f t="shared" si="67"/>
        <v>-514.6</v>
      </c>
      <c r="AR63" s="141">
        <f t="shared" si="67"/>
        <v>-514.6</v>
      </c>
      <c r="AS63" s="141">
        <f t="shared" si="67"/>
        <v>-514.6</v>
      </c>
      <c r="AT63" s="141">
        <f t="shared" si="67"/>
        <v>-514.6</v>
      </c>
      <c r="AU63" s="141">
        <f t="shared" si="67"/>
        <v>-514.6</v>
      </c>
      <c r="AV63" s="141">
        <f t="shared" si="67"/>
        <v>-514.6</v>
      </c>
      <c r="AW63" s="141">
        <f t="shared" si="67"/>
        <v>-514.6</v>
      </c>
      <c r="AX63" s="141">
        <f t="shared" si="67"/>
        <v>-514.6</v>
      </c>
      <c r="AY63" s="141">
        <f t="shared" si="67"/>
        <v>-514.6</v>
      </c>
      <c r="AZ63" s="141">
        <f t="shared" si="67"/>
        <v>-514.6</v>
      </c>
      <c r="BA63" s="141">
        <f t="shared" si="67"/>
        <v>-664</v>
      </c>
      <c r="BB63" s="141">
        <f t="shared" si="67"/>
        <v>-664</v>
      </c>
      <c r="BC63" s="141">
        <f t="shared" si="67"/>
        <v>-664</v>
      </c>
      <c r="BD63" s="141">
        <f t="shared" si="67"/>
        <v>-664</v>
      </c>
      <c r="BE63" s="141">
        <f t="shared" si="67"/>
        <v>-664</v>
      </c>
      <c r="BF63" s="141">
        <f t="shared" si="67"/>
        <v>-664</v>
      </c>
      <c r="BG63" s="141">
        <f t="shared" si="67"/>
        <v>-664</v>
      </c>
      <c r="BH63" s="141">
        <f t="shared" si="67"/>
        <v>-664</v>
      </c>
      <c r="BI63" s="141">
        <f t="shared" si="67"/>
        <v>-664</v>
      </c>
      <c r="BJ63" s="141">
        <f t="shared" si="67"/>
        <v>-664</v>
      </c>
      <c r="BK63" s="141">
        <f t="shared" si="67"/>
        <v>-664</v>
      </c>
      <c r="BL63" s="141">
        <f t="shared" si="67"/>
        <v>-664</v>
      </c>
      <c r="BM63" s="141"/>
      <c r="BN63" s="141"/>
    </row>
    <row r="64" spans="3:66">
      <c r="C64" s="123" t="s">
        <v>261</v>
      </c>
      <c r="D64" s="155">
        <v>-16.600000000000001</v>
      </c>
      <c r="E64" s="141">
        <f t="shared" ref="E64:T65" si="68">SUM($D64*COUNTIF(E20:E59,"&lt;0"))</f>
        <v>-66.400000000000006</v>
      </c>
      <c r="F64" s="141">
        <f t="shared" si="68"/>
        <v>-66.400000000000006</v>
      </c>
      <c r="G64" s="141">
        <f t="shared" si="68"/>
        <v>-66.400000000000006</v>
      </c>
      <c r="H64" s="141">
        <f t="shared" si="68"/>
        <v>-83</v>
      </c>
      <c r="I64" s="141">
        <f t="shared" si="68"/>
        <v>-83</v>
      </c>
      <c r="J64" s="141">
        <f t="shared" si="68"/>
        <v>-83</v>
      </c>
      <c r="K64" s="141">
        <f t="shared" si="68"/>
        <v>-132.80000000000001</v>
      </c>
      <c r="L64" s="141">
        <f t="shared" si="68"/>
        <v>-132.80000000000001</v>
      </c>
      <c r="M64" s="141">
        <f t="shared" si="68"/>
        <v>-132.80000000000001</v>
      </c>
      <c r="N64" s="141">
        <f t="shared" si="68"/>
        <v>-132.80000000000001</v>
      </c>
      <c r="O64" s="141">
        <f t="shared" si="68"/>
        <v>-132.80000000000001</v>
      </c>
      <c r="P64" s="141">
        <f t="shared" si="68"/>
        <v>-132.80000000000001</v>
      </c>
      <c r="Q64" s="141">
        <f t="shared" si="68"/>
        <v>-215.8</v>
      </c>
      <c r="R64" s="141">
        <f t="shared" si="68"/>
        <v>-215.8</v>
      </c>
      <c r="S64" s="141">
        <f t="shared" si="68"/>
        <v>-215.8</v>
      </c>
      <c r="T64" s="141">
        <f t="shared" si="68"/>
        <v>-215.8</v>
      </c>
      <c r="U64" s="141">
        <f t="shared" si="67"/>
        <v>-215.8</v>
      </c>
      <c r="V64" s="141">
        <f t="shared" si="67"/>
        <v>-215.8</v>
      </c>
      <c r="W64" s="141">
        <f t="shared" si="67"/>
        <v>-215.8</v>
      </c>
      <c r="X64" s="141">
        <f t="shared" si="67"/>
        <v>-215.8</v>
      </c>
      <c r="Y64" s="141">
        <f t="shared" si="67"/>
        <v>-215.8</v>
      </c>
      <c r="Z64" s="141">
        <f t="shared" si="67"/>
        <v>-215.8</v>
      </c>
      <c r="AA64" s="141">
        <f t="shared" si="67"/>
        <v>-215.8</v>
      </c>
      <c r="AB64" s="141">
        <f t="shared" si="67"/>
        <v>-215.8</v>
      </c>
      <c r="AC64" s="141">
        <f t="shared" si="67"/>
        <v>-365.20000000000005</v>
      </c>
      <c r="AD64" s="141">
        <f t="shared" si="67"/>
        <v>-365.20000000000005</v>
      </c>
      <c r="AE64" s="141">
        <f t="shared" si="67"/>
        <v>-365.20000000000005</v>
      </c>
      <c r="AF64" s="141">
        <f t="shared" si="67"/>
        <v>-365.20000000000005</v>
      </c>
      <c r="AG64" s="141">
        <f t="shared" si="67"/>
        <v>-365.20000000000005</v>
      </c>
      <c r="AH64" s="141">
        <f t="shared" si="67"/>
        <v>-365.20000000000005</v>
      </c>
      <c r="AI64" s="141">
        <f t="shared" si="67"/>
        <v>-365.20000000000005</v>
      </c>
      <c r="AJ64" s="141">
        <f t="shared" si="67"/>
        <v>-365.20000000000005</v>
      </c>
      <c r="AK64" s="141">
        <f t="shared" si="67"/>
        <v>-365.20000000000005</v>
      </c>
      <c r="AL64" s="141">
        <f t="shared" si="67"/>
        <v>-365.20000000000005</v>
      </c>
      <c r="AM64" s="141">
        <f t="shared" si="67"/>
        <v>-365.20000000000005</v>
      </c>
      <c r="AN64" s="141">
        <f t="shared" si="67"/>
        <v>-365.20000000000005</v>
      </c>
      <c r="AO64" s="141">
        <f t="shared" si="67"/>
        <v>-514.6</v>
      </c>
      <c r="AP64" s="141">
        <f t="shared" si="67"/>
        <v>-514.6</v>
      </c>
      <c r="AQ64" s="141">
        <f t="shared" si="67"/>
        <v>-514.6</v>
      </c>
      <c r="AR64" s="141">
        <f t="shared" si="67"/>
        <v>-514.6</v>
      </c>
      <c r="AS64" s="141">
        <f t="shared" si="67"/>
        <v>-514.6</v>
      </c>
      <c r="AT64" s="141">
        <f t="shared" si="67"/>
        <v>-514.6</v>
      </c>
      <c r="AU64" s="141">
        <f t="shared" si="67"/>
        <v>-514.6</v>
      </c>
      <c r="AV64" s="141">
        <f t="shared" si="67"/>
        <v>-514.6</v>
      </c>
      <c r="AW64" s="141">
        <f t="shared" si="67"/>
        <v>-514.6</v>
      </c>
      <c r="AX64" s="141">
        <f t="shared" si="67"/>
        <v>-514.6</v>
      </c>
      <c r="AY64" s="141">
        <f t="shared" si="67"/>
        <v>-514.6</v>
      </c>
      <c r="AZ64" s="141">
        <f t="shared" si="67"/>
        <v>-514.6</v>
      </c>
      <c r="BA64" s="141">
        <f t="shared" si="67"/>
        <v>-664</v>
      </c>
      <c r="BB64" s="141">
        <f t="shared" si="67"/>
        <v>-664</v>
      </c>
      <c r="BC64" s="141">
        <f t="shared" si="67"/>
        <v>-664</v>
      </c>
      <c r="BD64" s="141">
        <f t="shared" si="67"/>
        <v>-664</v>
      </c>
      <c r="BE64" s="141">
        <f t="shared" si="67"/>
        <v>-664</v>
      </c>
      <c r="BF64" s="141">
        <f t="shared" si="67"/>
        <v>-664</v>
      </c>
      <c r="BG64" s="141">
        <f t="shared" si="67"/>
        <v>-664</v>
      </c>
      <c r="BH64" s="141">
        <f t="shared" si="67"/>
        <v>-664</v>
      </c>
      <c r="BI64" s="141">
        <f t="shared" si="67"/>
        <v>-664</v>
      </c>
      <c r="BJ64" s="141">
        <f t="shared" si="67"/>
        <v>-664</v>
      </c>
      <c r="BK64" s="141">
        <f t="shared" si="67"/>
        <v>-664</v>
      </c>
      <c r="BL64" s="141">
        <f t="shared" si="67"/>
        <v>-664</v>
      </c>
      <c r="BM64" s="141"/>
      <c r="BN64" s="141"/>
    </row>
    <row r="65" spans="2:66">
      <c r="C65" s="123" t="s">
        <v>262</v>
      </c>
      <c r="D65" s="155">
        <v>-30</v>
      </c>
      <c r="E65" s="141">
        <f t="shared" si="68"/>
        <v>-120</v>
      </c>
      <c r="F65" s="141">
        <f t="shared" si="67"/>
        <v>-120</v>
      </c>
      <c r="G65" s="141">
        <f t="shared" si="67"/>
        <v>-120</v>
      </c>
      <c r="H65" s="141">
        <f t="shared" si="67"/>
        <v>-150</v>
      </c>
      <c r="I65" s="141">
        <f t="shared" si="67"/>
        <v>-150</v>
      </c>
      <c r="J65" s="141">
        <f t="shared" si="67"/>
        <v>-150</v>
      </c>
      <c r="K65" s="141">
        <f t="shared" si="67"/>
        <v>-240</v>
      </c>
      <c r="L65" s="141">
        <f t="shared" si="67"/>
        <v>-240</v>
      </c>
      <c r="M65" s="141">
        <f t="shared" si="67"/>
        <v>-240</v>
      </c>
      <c r="N65" s="141">
        <f t="shared" si="67"/>
        <v>-240</v>
      </c>
      <c r="O65" s="141">
        <f t="shared" si="67"/>
        <v>-240</v>
      </c>
      <c r="P65" s="141">
        <f t="shared" si="67"/>
        <v>-240</v>
      </c>
      <c r="Q65" s="141">
        <f t="shared" si="67"/>
        <v>-390</v>
      </c>
      <c r="R65" s="141">
        <f t="shared" si="67"/>
        <v>-390</v>
      </c>
      <c r="S65" s="141">
        <f t="shared" si="67"/>
        <v>-390</v>
      </c>
      <c r="T65" s="141">
        <f t="shared" si="67"/>
        <v>-390</v>
      </c>
      <c r="U65" s="141">
        <f t="shared" si="67"/>
        <v>-390</v>
      </c>
      <c r="V65" s="141">
        <f t="shared" si="67"/>
        <v>-390</v>
      </c>
      <c r="W65" s="141">
        <f t="shared" si="67"/>
        <v>-390</v>
      </c>
      <c r="X65" s="141">
        <f t="shared" si="67"/>
        <v>-390</v>
      </c>
      <c r="Y65" s="141">
        <f t="shared" si="67"/>
        <v>-390</v>
      </c>
      <c r="Z65" s="141">
        <f t="shared" si="67"/>
        <v>-390</v>
      </c>
      <c r="AA65" s="141">
        <f t="shared" si="67"/>
        <v>-390</v>
      </c>
      <c r="AB65" s="141">
        <f t="shared" si="67"/>
        <v>-390</v>
      </c>
      <c r="AC65" s="141">
        <f t="shared" si="67"/>
        <v>-660</v>
      </c>
      <c r="AD65" s="141">
        <f t="shared" si="67"/>
        <v>-660</v>
      </c>
      <c r="AE65" s="141">
        <f t="shared" si="67"/>
        <v>-660</v>
      </c>
      <c r="AF65" s="141">
        <f t="shared" si="67"/>
        <v>-660</v>
      </c>
      <c r="AG65" s="141">
        <f t="shared" si="67"/>
        <v>-660</v>
      </c>
      <c r="AH65" s="141">
        <f t="shared" si="67"/>
        <v>-660</v>
      </c>
      <c r="AI65" s="141">
        <f t="shared" si="67"/>
        <v>-660</v>
      </c>
      <c r="AJ65" s="141">
        <f t="shared" si="67"/>
        <v>-660</v>
      </c>
      <c r="AK65" s="141">
        <f t="shared" si="67"/>
        <v>-660</v>
      </c>
      <c r="AL65" s="141">
        <f t="shared" si="67"/>
        <v>-660</v>
      </c>
      <c r="AM65" s="141">
        <f t="shared" si="67"/>
        <v>-660</v>
      </c>
      <c r="AN65" s="141">
        <f t="shared" si="67"/>
        <v>-660</v>
      </c>
      <c r="AO65" s="141">
        <f t="shared" si="67"/>
        <v>-930</v>
      </c>
      <c r="AP65" s="141">
        <f t="shared" si="67"/>
        <v>-930</v>
      </c>
      <c r="AQ65" s="141">
        <f t="shared" si="67"/>
        <v>-930</v>
      </c>
      <c r="AR65" s="141">
        <f t="shared" si="67"/>
        <v>-930</v>
      </c>
      <c r="AS65" s="141">
        <f t="shared" si="67"/>
        <v>-930</v>
      </c>
      <c r="AT65" s="141">
        <f t="shared" si="67"/>
        <v>-930</v>
      </c>
      <c r="AU65" s="141">
        <f t="shared" si="67"/>
        <v>-930</v>
      </c>
      <c r="AV65" s="141">
        <f t="shared" si="67"/>
        <v>-930</v>
      </c>
      <c r="AW65" s="141">
        <f t="shared" si="67"/>
        <v>-930</v>
      </c>
      <c r="AX65" s="141">
        <f t="shared" si="67"/>
        <v>-930</v>
      </c>
      <c r="AY65" s="141">
        <f t="shared" si="67"/>
        <v>-930</v>
      </c>
      <c r="AZ65" s="141">
        <f t="shared" si="67"/>
        <v>-930</v>
      </c>
      <c r="BA65" s="141">
        <f t="shared" si="67"/>
        <v>-1200</v>
      </c>
      <c r="BB65" s="141">
        <f t="shared" si="67"/>
        <v>-1200</v>
      </c>
      <c r="BC65" s="141">
        <f t="shared" si="67"/>
        <v>-1200</v>
      </c>
      <c r="BD65" s="141">
        <f t="shared" si="67"/>
        <v>-1200</v>
      </c>
      <c r="BE65" s="141">
        <f t="shared" si="67"/>
        <v>-1200</v>
      </c>
      <c r="BF65" s="141">
        <f t="shared" si="67"/>
        <v>-1200</v>
      </c>
      <c r="BG65" s="141">
        <f t="shared" si="67"/>
        <v>-1200</v>
      </c>
      <c r="BH65" s="141">
        <f t="shared" si="67"/>
        <v>-1200</v>
      </c>
      <c r="BI65" s="141">
        <f t="shared" si="67"/>
        <v>-1200</v>
      </c>
      <c r="BJ65" s="141">
        <f t="shared" si="67"/>
        <v>-1200</v>
      </c>
      <c r="BK65" s="141">
        <f t="shared" si="67"/>
        <v>-1200</v>
      </c>
      <c r="BL65" s="141">
        <f t="shared" si="67"/>
        <v>-1200</v>
      </c>
      <c r="BM65" s="141"/>
      <c r="BN65" s="141"/>
    </row>
    <row r="66" spans="2:66">
      <c r="C66" s="123" t="s">
        <v>263</v>
      </c>
      <c r="D66" s="154">
        <v>0.03</v>
      </c>
      <c r="E66" s="141">
        <f>SUM(E19:E58)*$D66</f>
        <v>-347.5</v>
      </c>
      <c r="F66" s="141">
        <f t="shared" ref="F66:BL66" si="69">SUM(F19:F58)*$D66</f>
        <v>-347.5</v>
      </c>
      <c r="G66" s="141">
        <f t="shared" si="69"/>
        <v>-347.5</v>
      </c>
      <c r="H66" s="141">
        <f t="shared" si="69"/>
        <v>-497.50000000000006</v>
      </c>
      <c r="I66" s="141">
        <f t="shared" si="69"/>
        <v>-497.50000000000006</v>
      </c>
      <c r="J66" s="141">
        <f t="shared" si="69"/>
        <v>-497.50000000000006</v>
      </c>
      <c r="K66" s="141">
        <f t="shared" si="69"/>
        <v>-947.5</v>
      </c>
      <c r="L66" s="141">
        <f t="shared" si="69"/>
        <v>-947.5</v>
      </c>
      <c r="M66" s="141">
        <f t="shared" si="69"/>
        <v>-947.5</v>
      </c>
      <c r="N66" s="141">
        <f t="shared" si="69"/>
        <v>-947.5</v>
      </c>
      <c r="O66" s="141">
        <f t="shared" si="69"/>
        <v>-947.5</v>
      </c>
      <c r="P66" s="141">
        <f t="shared" si="69"/>
        <v>-947.5</v>
      </c>
      <c r="Q66" s="141">
        <f t="shared" si="69"/>
        <v>-1946.25</v>
      </c>
      <c r="R66" s="141">
        <f t="shared" si="69"/>
        <v>-1946.25</v>
      </c>
      <c r="S66" s="141">
        <f t="shared" si="69"/>
        <v>-1946.25</v>
      </c>
      <c r="T66" s="141">
        <f t="shared" si="69"/>
        <v>-1946.25</v>
      </c>
      <c r="U66" s="141">
        <f t="shared" si="69"/>
        <v>-1946.25</v>
      </c>
      <c r="V66" s="141">
        <f t="shared" si="69"/>
        <v>-1946.25</v>
      </c>
      <c r="W66" s="141">
        <f t="shared" si="69"/>
        <v>-1946.25</v>
      </c>
      <c r="X66" s="141">
        <f t="shared" si="69"/>
        <v>-1946.25</v>
      </c>
      <c r="Y66" s="141">
        <f t="shared" si="69"/>
        <v>-1946.25</v>
      </c>
      <c r="Z66" s="141">
        <f t="shared" si="69"/>
        <v>-1772.5</v>
      </c>
      <c r="AA66" s="141">
        <f t="shared" si="69"/>
        <v>-1772.5</v>
      </c>
      <c r="AB66" s="141">
        <f t="shared" si="69"/>
        <v>-1772.5</v>
      </c>
      <c r="AC66" s="141">
        <f t="shared" si="69"/>
        <v>-3718.75</v>
      </c>
      <c r="AD66" s="141">
        <f t="shared" si="69"/>
        <v>-3718.75</v>
      </c>
      <c r="AE66" s="141">
        <f t="shared" si="69"/>
        <v>-3718.75</v>
      </c>
      <c r="AF66" s="141">
        <f t="shared" si="69"/>
        <v>-3718.75</v>
      </c>
      <c r="AG66" s="141">
        <f t="shared" si="69"/>
        <v>-3718.75</v>
      </c>
      <c r="AH66" s="141">
        <f t="shared" si="69"/>
        <v>-3718.75</v>
      </c>
      <c r="AI66" s="141">
        <f t="shared" si="69"/>
        <v>-3718.75</v>
      </c>
      <c r="AJ66" s="141">
        <f t="shared" si="69"/>
        <v>-3718.75</v>
      </c>
      <c r="AK66" s="141">
        <f t="shared" si="69"/>
        <v>-3718.75</v>
      </c>
      <c r="AL66" s="141">
        <f t="shared" si="69"/>
        <v>-3718.75</v>
      </c>
      <c r="AM66" s="141">
        <f t="shared" si="69"/>
        <v>-3718.75</v>
      </c>
      <c r="AN66" s="141">
        <f t="shared" si="69"/>
        <v>-3718.75</v>
      </c>
      <c r="AO66" s="141">
        <f t="shared" si="69"/>
        <v>-6265</v>
      </c>
      <c r="AP66" s="141">
        <f t="shared" si="69"/>
        <v>-6265</v>
      </c>
      <c r="AQ66" s="141">
        <f t="shared" si="69"/>
        <v>-6265</v>
      </c>
      <c r="AR66" s="141">
        <f t="shared" si="69"/>
        <v>-6265</v>
      </c>
      <c r="AS66" s="141">
        <f t="shared" si="69"/>
        <v>-6265</v>
      </c>
      <c r="AT66" s="141">
        <f t="shared" si="69"/>
        <v>-6265</v>
      </c>
      <c r="AU66" s="141">
        <f t="shared" si="69"/>
        <v>-6265</v>
      </c>
      <c r="AV66" s="141">
        <f t="shared" si="69"/>
        <v>-6265</v>
      </c>
      <c r="AW66" s="141">
        <f t="shared" si="69"/>
        <v>-6265</v>
      </c>
      <c r="AX66" s="141">
        <f t="shared" si="69"/>
        <v>-6265</v>
      </c>
      <c r="AY66" s="141">
        <f t="shared" si="69"/>
        <v>-6265</v>
      </c>
      <c r="AZ66" s="141">
        <f t="shared" si="69"/>
        <v>-6265</v>
      </c>
      <c r="BA66" s="141">
        <f t="shared" si="69"/>
        <v>-8637.5</v>
      </c>
      <c r="BB66" s="141">
        <f t="shared" si="69"/>
        <v>-8637.5</v>
      </c>
      <c r="BC66" s="141">
        <f t="shared" si="69"/>
        <v>-8637.5</v>
      </c>
      <c r="BD66" s="141">
        <f t="shared" si="69"/>
        <v>-8637.5</v>
      </c>
      <c r="BE66" s="141">
        <f t="shared" si="69"/>
        <v>-8637.5</v>
      </c>
      <c r="BF66" s="141">
        <f t="shared" si="69"/>
        <v>-8637.5</v>
      </c>
      <c r="BG66" s="141">
        <f t="shared" si="69"/>
        <v>-8637.5</v>
      </c>
      <c r="BH66" s="141">
        <f t="shared" si="69"/>
        <v>-8637.5</v>
      </c>
      <c r="BI66" s="141">
        <f t="shared" si="69"/>
        <v>-8637.5</v>
      </c>
      <c r="BJ66" s="141">
        <f t="shared" si="69"/>
        <v>-8637.5</v>
      </c>
      <c r="BK66" s="141">
        <f t="shared" si="69"/>
        <v>-8637.5</v>
      </c>
      <c r="BL66" s="141">
        <f t="shared" si="69"/>
        <v>-8637.5</v>
      </c>
      <c r="BM66" s="141"/>
      <c r="BN66" s="141"/>
    </row>
    <row r="67" spans="2:66">
      <c r="C67" s="123" t="s">
        <v>264</v>
      </c>
      <c r="D67" s="154">
        <v>0</v>
      </c>
      <c r="E67" s="141">
        <f>SUM(E19:E58)*$D67</f>
        <v>0</v>
      </c>
      <c r="F67" s="141">
        <f t="shared" ref="F67:BL67" si="70">SUM(F19:F58)*$D67</f>
        <v>0</v>
      </c>
      <c r="G67" s="141">
        <f t="shared" si="70"/>
        <v>0</v>
      </c>
      <c r="H67" s="141">
        <f t="shared" si="70"/>
        <v>0</v>
      </c>
      <c r="I67" s="141">
        <f t="shared" si="70"/>
        <v>0</v>
      </c>
      <c r="J67" s="141">
        <f t="shared" si="70"/>
        <v>0</v>
      </c>
      <c r="K67" s="141">
        <f t="shared" si="70"/>
        <v>0</v>
      </c>
      <c r="L67" s="141">
        <f t="shared" si="70"/>
        <v>0</v>
      </c>
      <c r="M67" s="141">
        <f t="shared" si="70"/>
        <v>0</v>
      </c>
      <c r="N67" s="141">
        <f t="shared" si="70"/>
        <v>0</v>
      </c>
      <c r="O67" s="141">
        <f t="shared" si="70"/>
        <v>0</v>
      </c>
      <c r="P67" s="141">
        <f t="shared" si="70"/>
        <v>0</v>
      </c>
      <c r="Q67" s="141">
        <f t="shared" si="70"/>
        <v>0</v>
      </c>
      <c r="R67" s="141">
        <f t="shared" si="70"/>
        <v>0</v>
      </c>
      <c r="S67" s="141">
        <f t="shared" si="70"/>
        <v>0</v>
      </c>
      <c r="T67" s="141">
        <f t="shared" si="70"/>
        <v>0</v>
      </c>
      <c r="U67" s="141">
        <f t="shared" si="70"/>
        <v>0</v>
      </c>
      <c r="V67" s="141">
        <f t="shared" si="70"/>
        <v>0</v>
      </c>
      <c r="W67" s="141">
        <f t="shared" si="70"/>
        <v>0</v>
      </c>
      <c r="X67" s="141">
        <f t="shared" si="70"/>
        <v>0</v>
      </c>
      <c r="Y67" s="141">
        <f t="shared" si="70"/>
        <v>0</v>
      </c>
      <c r="Z67" s="141">
        <f t="shared" si="70"/>
        <v>0</v>
      </c>
      <c r="AA67" s="141">
        <f t="shared" si="70"/>
        <v>0</v>
      </c>
      <c r="AB67" s="141">
        <f t="shared" si="70"/>
        <v>0</v>
      </c>
      <c r="AC67" s="141">
        <f t="shared" si="70"/>
        <v>0</v>
      </c>
      <c r="AD67" s="141">
        <f t="shared" si="70"/>
        <v>0</v>
      </c>
      <c r="AE67" s="141">
        <f t="shared" si="70"/>
        <v>0</v>
      </c>
      <c r="AF67" s="141">
        <f t="shared" si="70"/>
        <v>0</v>
      </c>
      <c r="AG67" s="141">
        <f t="shared" si="70"/>
        <v>0</v>
      </c>
      <c r="AH67" s="141">
        <f t="shared" si="70"/>
        <v>0</v>
      </c>
      <c r="AI67" s="141">
        <f t="shared" si="70"/>
        <v>0</v>
      </c>
      <c r="AJ67" s="141">
        <f t="shared" si="70"/>
        <v>0</v>
      </c>
      <c r="AK67" s="141">
        <f t="shared" si="70"/>
        <v>0</v>
      </c>
      <c r="AL67" s="141">
        <f t="shared" si="70"/>
        <v>0</v>
      </c>
      <c r="AM67" s="141">
        <f t="shared" si="70"/>
        <v>0</v>
      </c>
      <c r="AN67" s="141">
        <f t="shared" si="70"/>
        <v>0</v>
      </c>
      <c r="AO67" s="141">
        <f t="shared" si="70"/>
        <v>0</v>
      </c>
      <c r="AP67" s="141">
        <f t="shared" si="70"/>
        <v>0</v>
      </c>
      <c r="AQ67" s="141">
        <f t="shared" si="70"/>
        <v>0</v>
      </c>
      <c r="AR67" s="141">
        <f t="shared" si="70"/>
        <v>0</v>
      </c>
      <c r="AS67" s="141">
        <f t="shared" si="70"/>
        <v>0</v>
      </c>
      <c r="AT67" s="141">
        <f t="shared" si="70"/>
        <v>0</v>
      </c>
      <c r="AU67" s="141">
        <f t="shared" si="70"/>
        <v>0</v>
      </c>
      <c r="AV67" s="141">
        <f t="shared" si="70"/>
        <v>0</v>
      </c>
      <c r="AW67" s="141">
        <f t="shared" si="70"/>
        <v>0</v>
      </c>
      <c r="AX67" s="141">
        <f t="shared" si="70"/>
        <v>0</v>
      </c>
      <c r="AY67" s="141">
        <f t="shared" si="70"/>
        <v>0</v>
      </c>
      <c r="AZ67" s="141">
        <f t="shared" si="70"/>
        <v>0</v>
      </c>
      <c r="BA67" s="141">
        <f t="shared" si="70"/>
        <v>0</v>
      </c>
      <c r="BB67" s="141">
        <f t="shared" si="70"/>
        <v>0</v>
      </c>
      <c r="BC67" s="141">
        <f t="shared" si="70"/>
        <v>0</v>
      </c>
      <c r="BD67" s="141">
        <f t="shared" si="70"/>
        <v>0</v>
      </c>
      <c r="BE67" s="141">
        <f t="shared" si="70"/>
        <v>0</v>
      </c>
      <c r="BF67" s="141">
        <f t="shared" si="70"/>
        <v>0</v>
      </c>
      <c r="BG67" s="141">
        <f t="shared" si="70"/>
        <v>0</v>
      </c>
      <c r="BH67" s="141">
        <f t="shared" si="70"/>
        <v>0</v>
      </c>
      <c r="BI67" s="141">
        <f t="shared" si="70"/>
        <v>0</v>
      </c>
      <c r="BJ67" s="141">
        <f t="shared" si="70"/>
        <v>0</v>
      </c>
      <c r="BK67" s="141">
        <f t="shared" si="70"/>
        <v>0</v>
      </c>
      <c r="BL67" s="141">
        <f t="shared" si="70"/>
        <v>0</v>
      </c>
      <c r="BM67" s="141"/>
      <c r="BN67" s="141"/>
    </row>
    <row r="68" spans="2:66">
      <c r="C68" s="8" t="s">
        <v>265</v>
      </c>
      <c r="D68" s="156">
        <v>0.13800000000000001</v>
      </c>
      <c r="E68" s="141">
        <f>SUM(E19:E58)*$D68</f>
        <v>-1598.5000000000002</v>
      </c>
      <c r="F68" s="141">
        <f t="shared" ref="F68:BL68" si="71">SUM(F19:F58)*$D68</f>
        <v>-1598.5000000000002</v>
      </c>
      <c r="G68" s="141">
        <f t="shared" si="71"/>
        <v>-1598.5000000000002</v>
      </c>
      <c r="H68" s="141">
        <f t="shared" si="71"/>
        <v>-2288.5000000000005</v>
      </c>
      <c r="I68" s="141">
        <f t="shared" si="71"/>
        <v>-2288.5000000000005</v>
      </c>
      <c r="J68" s="141">
        <f t="shared" si="71"/>
        <v>-2288.5000000000005</v>
      </c>
      <c r="K68" s="141">
        <f t="shared" si="71"/>
        <v>-4358.5000000000009</v>
      </c>
      <c r="L68" s="141">
        <f t="shared" si="71"/>
        <v>-4358.5000000000009</v>
      </c>
      <c r="M68" s="141">
        <f t="shared" si="71"/>
        <v>-4358.5000000000009</v>
      </c>
      <c r="N68" s="141">
        <f t="shared" si="71"/>
        <v>-4358.5000000000009</v>
      </c>
      <c r="O68" s="141">
        <f t="shared" si="71"/>
        <v>-4358.5000000000009</v>
      </c>
      <c r="P68" s="141">
        <f t="shared" si="71"/>
        <v>-4358.5000000000009</v>
      </c>
      <c r="Q68" s="141">
        <f t="shared" si="71"/>
        <v>-8952.75</v>
      </c>
      <c r="R68" s="141">
        <f t="shared" si="71"/>
        <v>-8952.75</v>
      </c>
      <c r="S68" s="141">
        <f t="shared" si="71"/>
        <v>-8952.75</v>
      </c>
      <c r="T68" s="141">
        <f t="shared" si="71"/>
        <v>-8952.75</v>
      </c>
      <c r="U68" s="141">
        <f t="shared" si="71"/>
        <v>-8952.75</v>
      </c>
      <c r="V68" s="141">
        <f t="shared" si="71"/>
        <v>-8952.75</v>
      </c>
      <c r="W68" s="141">
        <f t="shared" si="71"/>
        <v>-8952.75</v>
      </c>
      <c r="X68" s="141">
        <f t="shared" si="71"/>
        <v>-8952.75</v>
      </c>
      <c r="Y68" s="141">
        <f t="shared" si="71"/>
        <v>-8952.75</v>
      </c>
      <c r="Z68" s="141">
        <f t="shared" si="71"/>
        <v>-8153.5000000000009</v>
      </c>
      <c r="AA68" s="141">
        <f t="shared" si="71"/>
        <v>-8153.5000000000009</v>
      </c>
      <c r="AB68" s="141">
        <f t="shared" si="71"/>
        <v>-8153.5000000000009</v>
      </c>
      <c r="AC68" s="141">
        <f t="shared" si="71"/>
        <v>-17106.250000000004</v>
      </c>
      <c r="AD68" s="141">
        <f t="shared" si="71"/>
        <v>-17106.250000000004</v>
      </c>
      <c r="AE68" s="141">
        <f t="shared" si="71"/>
        <v>-17106.250000000004</v>
      </c>
      <c r="AF68" s="141">
        <f t="shared" si="71"/>
        <v>-17106.250000000004</v>
      </c>
      <c r="AG68" s="141">
        <f t="shared" si="71"/>
        <v>-17106.250000000004</v>
      </c>
      <c r="AH68" s="141">
        <f t="shared" si="71"/>
        <v>-17106.250000000004</v>
      </c>
      <c r="AI68" s="141">
        <f t="shared" si="71"/>
        <v>-17106.250000000004</v>
      </c>
      <c r="AJ68" s="141">
        <f t="shared" si="71"/>
        <v>-17106.250000000004</v>
      </c>
      <c r="AK68" s="141">
        <f t="shared" si="71"/>
        <v>-17106.250000000004</v>
      </c>
      <c r="AL68" s="141">
        <f t="shared" si="71"/>
        <v>-17106.250000000004</v>
      </c>
      <c r="AM68" s="141">
        <f t="shared" si="71"/>
        <v>-17106.250000000004</v>
      </c>
      <c r="AN68" s="141">
        <f t="shared" si="71"/>
        <v>-17106.250000000004</v>
      </c>
      <c r="AO68" s="141">
        <f t="shared" si="71"/>
        <v>-28819.000000000004</v>
      </c>
      <c r="AP68" s="141">
        <f t="shared" si="71"/>
        <v>-28819.000000000004</v>
      </c>
      <c r="AQ68" s="141">
        <f t="shared" si="71"/>
        <v>-28819.000000000004</v>
      </c>
      <c r="AR68" s="141">
        <f t="shared" si="71"/>
        <v>-28819.000000000004</v>
      </c>
      <c r="AS68" s="141">
        <f t="shared" si="71"/>
        <v>-28819.000000000004</v>
      </c>
      <c r="AT68" s="141">
        <f t="shared" si="71"/>
        <v>-28819.000000000004</v>
      </c>
      <c r="AU68" s="141">
        <f t="shared" si="71"/>
        <v>-28819.000000000004</v>
      </c>
      <c r="AV68" s="141">
        <f t="shared" si="71"/>
        <v>-28819.000000000004</v>
      </c>
      <c r="AW68" s="141">
        <f t="shared" si="71"/>
        <v>-28819.000000000004</v>
      </c>
      <c r="AX68" s="141">
        <f t="shared" si="71"/>
        <v>-28819.000000000004</v>
      </c>
      <c r="AY68" s="141">
        <f t="shared" si="71"/>
        <v>-28819.000000000004</v>
      </c>
      <c r="AZ68" s="141">
        <f t="shared" si="71"/>
        <v>-28819.000000000004</v>
      </c>
      <c r="BA68" s="141">
        <f t="shared" si="71"/>
        <v>-39732.500000000007</v>
      </c>
      <c r="BB68" s="141">
        <f t="shared" si="71"/>
        <v>-39732.500000000007</v>
      </c>
      <c r="BC68" s="141">
        <f t="shared" si="71"/>
        <v>-39732.500000000007</v>
      </c>
      <c r="BD68" s="141">
        <f t="shared" si="71"/>
        <v>-39732.500000000007</v>
      </c>
      <c r="BE68" s="141">
        <f t="shared" si="71"/>
        <v>-39732.500000000007</v>
      </c>
      <c r="BF68" s="141">
        <f t="shared" si="71"/>
        <v>-39732.500000000007</v>
      </c>
      <c r="BG68" s="141">
        <f t="shared" si="71"/>
        <v>-39732.500000000007</v>
      </c>
      <c r="BH68" s="141">
        <f t="shared" si="71"/>
        <v>-39732.500000000007</v>
      </c>
      <c r="BI68" s="141">
        <f t="shared" si="71"/>
        <v>-39732.500000000007</v>
      </c>
      <c r="BJ68" s="141">
        <f t="shared" si="71"/>
        <v>-39732.500000000007</v>
      </c>
      <c r="BK68" s="141">
        <f t="shared" si="71"/>
        <v>-39732.500000000007</v>
      </c>
      <c r="BL68" s="141">
        <f t="shared" si="71"/>
        <v>-39732.500000000007</v>
      </c>
      <c r="BM68" s="141"/>
      <c r="BN68" s="141"/>
    </row>
    <row r="69" spans="2:66">
      <c r="C69" s="123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</row>
    <row r="70" spans="2:66">
      <c r="B70" s="129">
        <f>SUM(E70:AN70)</f>
        <v>-188000</v>
      </c>
      <c r="C70" s="130" t="s">
        <v>266</v>
      </c>
      <c r="D70" s="131"/>
      <c r="E70" s="144">
        <f>SUM(E71:E78)</f>
        <v>-15500</v>
      </c>
      <c r="F70" s="144">
        <f t="shared" ref="F70:AN70" si="72">SUM(F71:F78)</f>
        <v>-500</v>
      </c>
      <c r="G70" s="144">
        <f t="shared" si="72"/>
        <v>-500</v>
      </c>
      <c r="H70" s="144">
        <f t="shared" si="72"/>
        <v>-500</v>
      </c>
      <c r="I70" s="144">
        <f t="shared" si="72"/>
        <v>-15500</v>
      </c>
      <c r="J70" s="144">
        <f t="shared" si="72"/>
        <v>-500</v>
      </c>
      <c r="K70" s="144">
        <f t="shared" si="72"/>
        <v>-500</v>
      </c>
      <c r="L70" s="144">
        <f t="shared" si="72"/>
        <v>-500</v>
      </c>
      <c r="M70" s="144">
        <f t="shared" si="72"/>
        <v>-500</v>
      </c>
      <c r="N70" s="144">
        <f t="shared" si="72"/>
        <v>-500</v>
      </c>
      <c r="O70" s="144">
        <f t="shared" si="72"/>
        <v>-500</v>
      </c>
      <c r="P70" s="144">
        <f t="shared" si="72"/>
        <v>-500</v>
      </c>
      <c r="Q70" s="144">
        <f t="shared" ref="Q70:AB70" si="73">SUM(Q71:Q78)</f>
        <v>-50500</v>
      </c>
      <c r="R70" s="144">
        <f t="shared" si="73"/>
        <v>-500</v>
      </c>
      <c r="S70" s="144">
        <f t="shared" si="73"/>
        <v>-2500</v>
      </c>
      <c r="T70" s="144">
        <f t="shared" si="73"/>
        <v>-2500</v>
      </c>
      <c r="U70" s="144">
        <f t="shared" si="73"/>
        <v>-2500</v>
      </c>
      <c r="V70" s="144">
        <f t="shared" si="73"/>
        <v>-2500</v>
      </c>
      <c r="W70" s="144">
        <f t="shared" si="73"/>
        <v>-2500</v>
      </c>
      <c r="X70" s="144">
        <f t="shared" si="73"/>
        <v>-2500</v>
      </c>
      <c r="Y70" s="144">
        <f t="shared" si="73"/>
        <v>-2500</v>
      </c>
      <c r="Z70" s="144">
        <f t="shared" si="73"/>
        <v>-2500</v>
      </c>
      <c r="AA70" s="144">
        <f t="shared" si="73"/>
        <v>-2500</v>
      </c>
      <c r="AB70" s="144">
        <f t="shared" si="73"/>
        <v>-2500</v>
      </c>
      <c r="AC70" s="144">
        <f t="shared" si="72"/>
        <v>-50500</v>
      </c>
      <c r="AD70" s="144">
        <f t="shared" si="72"/>
        <v>-500</v>
      </c>
      <c r="AE70" s="144">
        <f t="shared" si="72"/>
        <v>-2500</v>
      </c>
      <c r="AF70" s="144">
        <f t="shared" si="72"/>
        <v>-2500</v>
      </c>
      <c r="AG70" s="144">
        <f t="shared" si="72"/>
        <v>-2500</v>
      </c>
      <c r="AH70" s="144">
        <f t="shared" si="72"/>
        <v>-2500</v>
      </c>
      <c r="AI70" s="144">
        <f t="shared" si="72"/>
        <v>-2500</v>
      </c>
      <c r="AJ70" s="144">
        <f t="shared" si="72"/>
        <v>-2500</v>
      </c>
      <c r="AK70" s="144">
        <f t="shared" si="72"/>
        <v>-2500</v>
      </c>
      <c r="AL70" s="144">
        <f t="shared" si="72"/>
        <v>-2500</v>
      </c>
      <c r="AM70" s="144">
        <f t="shared" si="72"/>
        <v>-2500</v>
      </c>
      <c r="AN70" s="144">
        <f t="shared" si="72"/>
        <v>-2500</v>
      </c>
      <c r="AO70" s="144">
        <f t="shared" ref="AO70:BL70" si="74">SUM(AO71:AO78)</f>
        <v>-50500</v>
      </c>
      <c r="AP70" s="144">
        <f t="shared" si="74"/>
        <v>-500</v>
      </c>
      <c r="AQ70" s="144">
        <f t="shared" si="74"/>
        <v>-2500</v>
      </c>
      <c r="AR70" s="144">
        <f t="shared" si="74"/>
        <v>-2500</v>
      </c>
      <c r="AS70" s="144">
        <f t="shared" si="74"/>
        <v>-2500</v>
      </c>
      <c r="AT70" s="144">
        <f t="shared" si="74"/>
        <v>-2500</v>
      </c>
      <c r="AU70" s="144">
        <f t="shared" si="74"/>
        <v>-2500</v>
      </c>
      <c r="AV70" s="144">
        <f t="shared" si="74"/>
        <v>-2500</v>
      </c>
      <c r="AW70" s="144">
        <f t="shared" si="74"/>
        <v>-2500</v>
      </c>
      <c r="AX70" s="144">
        <f t="shared" si="74"/>
        <v>-2500</v>
      </c>
      <c r="AY70" s="144">
        <f t="shared" si="74"/>
        <v>-2500</v>
      </c>
      <c r="AZ70" s="144">
        <f t="shared" si="74"/>
        <v>-2500</v>
      </c>
      <c r="BA70" s="144">
        <f t="shared" si="74"/>
        <v>-50500</v>
      </c>
      <c r="BB70" s="144">
        <f t="shared" si="74"/>
        <v>-500</v>
      </c>
      <c r="BC70" s="144">
        <f t="shared" si="74"/>
        <v>-2500</v>
      </c>
      <c r="BD70" s="144">
        <f t="shared" si="74"/>
        <v>-2500</v>
      </c>
      <c r="BE70" s="144">
        <f t="shared" si="74"/>
        <v>-2500</v>
      </c>
      <c r="BF70" s="144">
        <f t="shared" si="74"/>
        <v>-2500</v>
      </c>
      <c r="BG70" s="144">
        <f t="shared" si="74"/>
        <v>-2500</v>
      </c>
      <c r="BH70" s="144">
        <f t="shared" si="74"/>
        <v>-2500</v>
      </c>
      <c r="BI70" s="144">
        <f t="shared" si="74"/>
        <v>-2500</v>
      </c>
      <c r="BJ70" s="144">
        <f t="shared" si="74"/>
        <v>-2500</v>
      </c>
      <c r="BK70" s="144">
        <f t="shared" si="74"/>
        <v>-2500</v>
      </c>
      <c r="BL70" s="144">
        <f t="shared" si="74"/>
        <v>-2500</v>
      </c>
      <c r="BM70" s="141"/>
      <c r="BN70" s="141"/>
    </row>
    <row r="71" spans="2:66">
      <c r="C71" s="123" t="s">
        <v>267</v>
      </c>
      <c r="D71" s="155">
        <v>0</v>
      </c>
      <c r="E71" s="141">
        <v>-15000</v>
      </c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>
        <v>-50000</v>
      </c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>
        <v>-50000</v>
      </c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>
        <v>-50000</v>
      </c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>
        <v>-50000</v>
      </c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</row>
    <row r="72" spans="2:66">
      <c r="C72" s="8" t="s">
        <v>268</v>
      </c>
      <c r="D72" s="155">
        <v>0</v>
      </c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>
        <v>-2000</v>
      </c>
      <c r="T72" s="141">
        <v>-2000</v>
      </c>
      <c r="U72" s="141">
        <v>-2000</v>
      </c>
      <c r="V72" s="141">
        <v>-2000</v>
      </c>
      <c r="W72" s="141">
        <v>-2000</v>
      </c>
      <c r="X72" s="141">
        <v>-2000</v>
      </c>
      <c r="Y72" s="141">
        <v>-2000</v>
      </c>
      <c r="Z72" s="141">
        <v>-2000</v>
      </c>
      <c r="AA72" s="141">
        <v>-2000</v>
      </c>
      <c r="AB72" s="141">
        <v>-2000</v>
      </c>
      <c r="AC72" s="141"/>
      <c r="AD72" s="141"/>
      <c r="AE72" s="141">
        <v>-2000</v>
      </c>
      <c r="AF72" s="141">
        <v>-2000</v>
      </c>
      <c r="AG72" s="141">
        <v>-2000</v>
      </c>
      <c r="AH72" s="141">
        <v>-2000</v>
      </c>
      <c r="AI72" s="141">
        <v>-2000</v>
      </c>
      <c r="AJ72" s="141">
        <v>-2000</v>
      </c>
      <c r="AK72" s="141">
        <v>-2000</v>
      </c>
      <c r="AL72" s="141">
        <v>-2000</v>
      </c>
      <c r="AM72" s="141">
        <v>-2000</v>
      </c>
      <c r="AN72" s="141">
        <v>-2000</v>
      </c>
      <c r="AO72" s="141"/>
      <c r="AP72" s="141"/>
      <c r="AQ72" s="141">
        <v>-2000</v>
      </c>
      <c r="AR72" s="141">
        <v>-2000</v>
      </c>
      <c r="AS72" s="141">
        <v>-2000</v>
      </c>
      <c r="AT72" s="141">
        <v>-2000</v>
      </c>
      <c r="AU72" s="141">
        <v>-2000</v>
      </c>
      <c r="AV72" s="141">
        <v>-2000</v>
      </c>
      <c r="AW72" s="141">
        <v>-2000</v>
      </c>
      <c r="AX72" s="141">
        <v>-2000</v>
      </c>
      <c r="AY72" s="141">
        <v>-2000</v>
      </c>
      <c r="AZ72" s="141">
        <v>-2000</v>
      </c>
      <c r="BA72" s="141"/>
      <c r="BB72" s="141"/>
      <c r="BC72" s="141">
        <v>-2000</v>
      </c>
      <c r="BD72" s="141">
        <v>-2000</v>
      </c>
      <c r="BE72" s="141">
        <v>-2000</v>
      </c>
      <c r="BF72" s="141">
        <v>-2000</v>
      </c>
      <c r="BG72" s="141">
        <v>-2000</v>
      </c>
      <c r="BH72" s="141">
        <v>-2000</v>
      </c>
      <c r="BI72" s="141">
        <v>-2000</v>
      </c>
      <c r="BJ72" s="141">
        <v>-2000</v>
      </c>
      <c r="BK72" s="141">
        <v>-2000</v>
      </c>
      <c r="BL72" s="141">
        <v>-2000</v>
      </c>
      <c r="BM72" s="141"/>
      <c r="BN72" s="141"/>
    </row>
    <row r="73" spans="2:66">
      <c r="C73" s="7" t="s">
        <v>269</v>
      </c>
      <c r="D73" s="155">
        <v>0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</row>
    <row r="74" spans="2:66">
      <c r="C74" s="7" t="s">
        <v>270</v>
      </c>
      <c r="D74" s="155">
        <v>0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</row>
    <row r="75" spans="2:66">
      <c r="C75" s="8" t="s">
        <v>271</v>
      </c>
      <c r="D75" s="155">
        <v>0</v>
      </c>
      <c r="E75" s="141"/>
      <c r="F75" s="141"/>
      <c r="G75" s="141"/>
      <c r="H75" s="141"/>
      <c r="I75" s="141">
        <v>-15000</v>
      </c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</row>
    <row r="76" spans="2:66">
      <c r="C76" s="8" t="s">
        <v>272</v>
      </c>
      <c r="D76" s="155">
        <v>0</v>
      </c>
      <c r="E76" s="141">
        <v>-500</v>
      </c>
      <c r="F76" s="141">
        <v>-500</v>
      </c>
      <c r="G76" s="141">
        <v>-500</v>
      </c>
      <c r="H76" s="141">
        <v>-500</v>
      </c>
      <c r="I76" s="141">
        <v>-500</v>
      </c>
      <c r="J76" s="141">
        <v>-500</v>
      </c>
      <c r="K76" s="141">
        <v>-500</v>
      </c>
      <c r="L76" s="141">
        <v>-500</v>
      </c>
      <c r="M76" s="141">
        <v>-500</v>
      </c>
      <c r="N76" s="141">
        <v>-500</v>
      </c>
      <c r="O76" s="141">
        <v>-500</v>
      </c>
      <c r="P76" s="141">
        <v>-500</v>
      </c>
      <c r="Q76" s="141">
        <v>-500</v>
      </c>
      <c r="R76" s="141">
        <v>-500</v>
      </c>
      <c r="S76" s="141">
        <v>-500</v>
      </c>
      <c r="T76" s="141">
        <v>-500</v>
      </c>
      <c r="U76" s="141">
        <v>-500</v>
      </c>
      <c r="V76" s="141">
        <v>-500</v>
      </c>
      <c r="W76" s="141">
        <v>-500</v>
      </c>
      <c r="X76" s="141">
        <v>-500</v>
      </c>
      <c r="Y76" s="141">
        <v>-500</v>
      </c>
      <c r="Z76" s="141">
        <v>-500</v>
      </c>
      <c r="AA76" s="141">
        <v>-500</v>
      </c>
      <c r="AB76" s="141">
        <v>-500</v>
      </c>
      <c r="AC76" s="141">
        <v>-500</v>
      </c>
      <c r="AD76" s="141">
        <v>-500</v>
      </c>
      <c r="AE76" s="141">
        <v>-500</v>
      </c>
      <c r="AF76" s="141">
        <v>-500</v>
      </c>
      <c r="AG76" s="141">
        <v>-500</v>
      </c>
      <c r="AH76" s="141">
        <v>-500</v>
      </c>
      <c r="AI76" s="141">
        <v>-500</v>
      </c>
      <c r="AJ76" s="141">
        <v>-500</v>
      </c>
      <c r="AK76" s="141">
        <v>-500</v>
      </c>
      <c r="AL76" s="141">
        <v>-500</v>
      </c>
      <c r="AM76" s="141">
        <v>-500</v>
      </c>
      <c r="AN76" s="141">
        <v>-500</v>
      </c>
      <c r="AO76" s="141">
        <v>-500</v>
      </c>
      <c r="AP76" s="141">
        <v>-500</v>
      </c>
      <c r="AQ76" s="141">
        <v>-500</v>
      </c>
      <c r="AR76" s="141">
        <v>-500</v>
      </c>
      <c r="AS76" s="141">
        <v>-500</v>
      </c>
      <c r="AT76" s="141">
        <v>-500</v>
      </c>
      <c r="AU76" s="141">
        <v>-500</v>
      </c>
      <c r="AV76" s="141">
        <v>-500</v>
      </c>
      <c r="AW76" s="141">
        <v>-500</v>
      </c>
      <c r="AX76" s="141">
        <v>-500</v>
      </c>
      <c r="AY76" s="141">
        <v>-500</v>
      </c>
      <c r="AZ76" s="141">
        <v>-500</v>
      </c>
      <c r="BA76" s="141">
        <v>-500</v>
      </c>
      <c r="BB76" s="141">
        <v>-500</v>
      </c>
      <c r="BC76" s="141">
        <v>-500</v>
      </c>
      <c r="BD76" s="141">
        <v>-500</v>
      </c>
      <c r="BE76" s="141">
        <v>-500</v>
      </c>
      <c r="BF76" s="141">
        <v>-500</v>
      </c>
      <c r="BG76" s="141">
        <v>-500</v>
      </c>
      <c r="BH76" s="141">
        <v>-500</v>
      </c>
      <c r="BI76" s="141">
        <v>-500</v>
      </c>
      <c r="BJ76" s="141">
        <v>-500</v>
      </c>
      <c r="BK76" s="141">
        <v>-500</v>
      </c>
      <c r="BL76" s="141">
        <v>-500</v>
      </c>
      <c r="BM76" s="141"/>
      <c r="BN76" s="141"/>
    </row>
    <row r="77" spans="2:66">
      <c r="C77" s="8" t="s">
        <v>273</v>
      </c>
      <c r="D77" s="155">
        <v>-3700</v>
      </c>
      <c r="E77" s="145">
        <f>COUNTIF(E23:E30,"&lt;0")*$D77</f>
        <v>0</v>
      </c>
      <c r="F77" s="141">
        <f t="shared" ref="F77:P77" si="75">IF(COUNTIF(F23:F30,"&lt;0")&lt;COUNTIF(E23:E30,"&lt;0"),COUNTIF(F23:F30,"&lt;0")-COUNTIF(E23:E30,"&lt;0"),0)*$D77</f>
        <v>0</v>
      </c>
      <c r="G77" s="141">
        <f t="shared" si="75"/>
        <v>0</v>
      </c>
      <c r="H77" s="141">
        <f t="shared" si="75"/>
        <v>0</v>
      </c>
      <c r="I77" s="141">
        <f t="shared" si="75"/>
        <v>0</v>
      </c>
      <c r="J77" s="141">
        <f t="shared" si="75"/>
        <v>0</v>
      </c>
      <c r="K77" s="141">
        <f t="shared" si="75"/>
        <v>0</v>
      </c>
      <c r="L77" s="141">
        <f t="shared" si="75"/>
        <v>0</v>
      </c>
      <c r="M77" s="141">
        <f t="shared" si="75"/>
        <v>0</v>
      </c>
      <c r="N77" s="141">
        <f t="shared" si="75"/>
        <v>0</v>
      </c>
      <c r="O77" s="141">
        <f t="shared" si="75"/>
        <v>0</v>
      </c>
      <c r="P77" s="141">
        <f t="shared" si="75"/>
        <v>0</v>
      </c>
      <c r="Q77" s="141">
        <f>IF(COUNTIF(Q23:Q30,"&lt;0")&lt;COUNTIF(D23:D30,"&lt;0"),COUNTIF(Q23:Q30,"&lt;0")-COUNTIF(D23:D30,"&lt;0"),0)*$D77</f>
        <v>0</v>
      </c>
      <c r="R77" s="141">
        <f t="shared" ref="R77:AB77" si="76">IF(COUNTIF(R23:R30,"&lt;0")&lt;COUNTIF(Q23:Q30,"&lt;0"),COUNTIF(R23:R30,"&lt;0")-COUNTIF(Q23:Q30,"&lt;0"),0)*$D77</f>
        <v>0</v>
      </c>
      <c r="S77" s="141">
        <f t="shared" si="76"/>
        <v>0</v>
      </c>
      <c r="T77" s="141">
        <f t="shared" si="76"/>
        <v>0</v>
      </c>
      <c r="U77" s="141">
        <f t="shared" si="76"/>
        <v>0</v>
      </c>
      <c r="V77" s="141">
        <f t="shared" si="76"/>
        <v>0</v>
      </c>
      <c r="W77" s="141">
        <f t="shared" si="76"/>
        <v>0</v>
      </c>
      <c r="X77" s="141">
        <f t="shared" si="76"/>
        <v>0</v>
      </c>
      <c r="Y77" s="141">
        <f t="shared" si="76"/>
        <v>0</v>
      </c>
      <c r="Z77" s="141">
        <f t="shared" si="76"/>
        <v>0</v>
      </c>
      <c r="AA77" s="141">
        <f t="shared" si="76"/>
        <v>0</v>
      </c>
      <c r="AB77" s="141">
        <f t="shared" si="76"/>
        <v>0</v>
      </c>
      <c r="AC77" s="141">
        <f>IF(COUNTIF(AC23:AC30,"&lt;0")&lt;COUNTIF(P23:P30,"&lt;0"),COUNTIF(AC23:AC30,"&lt;0")-COUNTIF(P23:P30,"&lt;0"),0)*$D77</f>
        <v>0</v>
      </c>
      <c r="AD77" s="141">
        <f t="shared" ref="AD77:AN77" si="77">IF(COUNTIF(AD23:AD30,"&lt;0")&lt;COUNTIF(AC23:AC30,"&lt;0"),COUNTIF(AD23:AD30,"&lt;0")-COUNTIF(AC23:AC30,"&lt;0"),0)*$D77</f>
        <v>0</v>
      </c>
      <c r="AE77" s="141">
        <f t="shared" si="77"/>
        <v>0</v>
      </c>
      <c r="AF77" s="141">
        <f t="shared" si="77"/>
        <v>0</v>
      </c>
      <c r="AG77" s="141">
        <f t="shared" si="77"/>
        <v>0</v>
      </c>
      <c r="AH77" s="141">
        <f t="shared" si="77"/>
        <v>0</v>
      </c>
      <c r="AI77" s="141">
        <f t="shared" si="77"/>
        <v>0</v>
      </c>
      <c r="AJ77" s="141">
        <f t="shared" si="77"/>
        <v>0</v>
      </c>
      <c r="AK77" s="141">
        <f t="shared" si="77"/>
        <v>0</v>
      </c>
      <c r="AL77" s="141">
        <f t="shared" si="77"/>
        <v>0</v>
      </c>
      <c r="AM77" s="141">
        <f t="shared" si="77"/>
        <v>0</v>
      </c>
      <c r="AN77" s="141">
        <f t="shared" si="77"/>
        <v>0</v>
      </c>
      <c r="AO77" s="141">
        <f>IF(COUNTIF(AO23:AO30,"&lt;0")&lt;COUNTIF(AB23:AB30,"&lt;0"),COUNTIF(AO23:AO30,"&lt;0")-COUNTIF(AB23:AB30,"&lt;0"),0)*$D77</f>
        <v>0</v>
      </c>
      <c r="AP77" s="141">
        <f t="shared" ref="AP77:AZ77" si="78">IF(COUNTIF(AP23:AP30,"&lt;0")&lt;COUNTIF(AO23:AO30,"&lt;0"),COUNTIF(AP23:AP30,"&lt;0")-COUNTIF(AO23:AO30,"&lt;0"),0)*$D77</f>
        <v>0</v>
      </c>
      <c r="AQ77" s="141">
        <f t="shared" si="78"/>
        <v>0</v>
      </c>
      <c r="AR77" s="141">
        <f t="shared" si="78"/>
        <v>0</v>
      </c>
      <c r="AS77" s="141">
        <f t="shared" si="78"/>
        <v>0</v>
      </c>
      <c r="AT77" s="141">
        <f t="shared" si="78"/>
        <v>0</v>
      </c>
      <c r="AU77" s="141">
        <f t="shared" si="78"/>
        <v>0</v>
      </c>
      <c r="AV77" s="141">
        <f t="shared" si="78"/>
        <v>0</v>
      </c>
      <c r="AW77" s="141">
        <f t="shared" si="78"/>
        <v>0</v>
      </c>
      <c r="AX77" s="141">
        <f t="shared" si="78"/>
        <v>0</v>
      </c>
      <c r="AY77" s="141">
        <f t="shared" si="78"/>
        <v>0</v>
      </c>
      <c r="AZ77" s="141">
        <f t="shared" si="78"/>
        <v>0</v>
      </c>
      <c r="BA77" s="141">
        <f>IF(COUNTIF(BA23:BA30,"&lt;0")&lt;COUNTIF(AN23:AN30,"&lt;0"),COUNTIF(BA23:BA30,"&lt;0")-COUNTIF(AN23:AN30,"&lt;0"),0)*$D77</f>
        <v>0</v>
      </c>
      <c r="BB77" s="141">
        <f t="shared" ref="BB77:BL77" si="79">IF(COUNTIF(BB23:BB30,"&lt;0")&lt;COUNTIF(BA23:BA30,"&lt;0"),COUNTIF(BB23:BB30,"&lt;0")-COUNTIF(BA23:BA30,"&lt;0"),0)*$D77</f>
        <v>0</v>
      </c>
      <c r="BC77" s="141">
        <f t="shared" si="79"/>
        <v>0</v>
      </c>
      <c r="BD77" s="141">
        <f t="shared" si="79"/>
        <v>0</v>
      </c>
      <c r="BE77" s="141">
        <f t="shared" si="79"/>
        <v>0</v>
      </c>
      <c r="BF77" s="141">
        <f t="shared" si="79"/>
        <v>0</v>
      </c>
      <c r="BG77" s="141">
        <f t="shared" si="79"/>
        <v>0</v>
      </c>
      <c r="BH77" s="141">
        <f t="shared" si="79"/>
        <v>0</v>
      </c>
      <c r="BI77" s="141">
        <f t="shared" si="79"/>
        <v>0</v>
      </c>
      <c r="BJ77" s="141">
        <f t="shared" si="79"/>
        <v>0</v>
      </c>
      <c r="BK77" s="141">
        <f t="shared" si="79"/>
        <v>0</v>
      </c>
      <c r="BL77" s="141">
        <f t="shared" si="79"/>
        <v>0</v>
      </c>
      <c r="BM77" s="141"/>
      <c r="BN77" s="141"/>
    </row>
    <row r="78" spans="2:66">
      <c r="C78" s="8" t="s">
        <v>274</v>
      </c>
      <c r="D78" s="154">
        <v>0.05</v>
      </c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</row>
    <row r="79" spans="2:66">
      <c r="C79" s="8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41"/>
      <c r="AJ79" s="141"/>
      <c r="AK79" s="141"/>
      <c r="AL79" s="141"/>
      <c r="AM79" s="141"/>
      <c r="AN79" s="141"/>
      <c r="AO79" s="141"/>
      <c r="AP79" s="141"/>
      <c r="AQ79" s="141"/>
      <c r="AR79" s="141"/>
      <c r="AS79" s="141"/>
      <c r="AT79" s="141"/>
      <c r="AU79" s="141"/>
      <c r="AV79" s="141"/>
      <c r="AW79" s="141"/>
      <c r="AX79" s="141"/>
      <c r="AY79" s="141"/>
      <c r="AZ79" s="141"/>
      <c r="BA79" s="141"/>
      <c r="BB79" s="141"/>
      <c r="BC79" s="141"/>
      <c r="BD79" s="141"/>
      <c r="BE79" s="141"/>
      <c r="BF79" s="141"/>
      <c r="BG79" s="141"/>
      <c r="BH79" s="141"/>
      <c r="BI79" s="141"/>
      <c r="BJ79" s="141"/>
      <c r="BK79" s="141"/>
      <c r="BL79" s="141"/>
      <c r="BM79" s="141"/>
      <c r="BN79" s="141"/>
    </row>
    <row r="80" spans="2:66">
      <c r="B80" s="129">
        <f>SUM(E80:AN80)</f>
        <v>-180000</v>
      </c>
      <c r="C80" s="130" t="s">
        <v>275</v>
      </c>
      <c r="D80" s="131"/>
      <c r="E80" s="144">
        <f t="shared" ref="E80:AJ80" si="80">SUM(E81:E86)</f>
        <v>-5000</v>
      </c>
      <c r="F80" s="144">
        <f t="shared" si="80"/>
        <v>-5000</v>
      </c>
      <c r="G80" s="144">
        <f t="shared" si="80"/>
        <v>-5000</v>
      </c>
      <c r="H80" s="144">
        <f t="shared" si="80"/>
        <v>-5000</v>
      </c>
      <c r="I80" s="144">
        <f t="shared" si="80"/>
        <v>-5000</v>
      </c>
      <c r="J80" s="144">
        <f t="shared" si="80"/>
        <v>-5000</v>
      </c>
      <c r="K80" s="144">
        <f t="shared" si="80"/>
        <v>-5000</v>
      </c>
      <c r="L80" s="144">
        <f t="shared" si="80"/>
        <v>-5000</v>
      </c>
      <c r="M80" s="144">
        <f t="shared" si="80"/>
        <v>-5000</v>
      </c>
      <c r="N80" s="144">
        <f t="shared" si="80"/>
        <v>-5000</v>
      </c>
      <c r="O80" s="144">
        <f t="shared" si="80"/>
        <v>-5000</v>
      </c>
      <c r="P80" s="144">
        <f t="shared" si="80"/>
        <v>-5000</v>
      </c>
      <c r="Q80" s="144">
        <f t="shared" si="80"/>
        <v>-5000</v>
      </c>
      <c r="R80" s="144">
        <f t="shared" si="80"/>
        <v>-5000</v>
      </c>
      <c r="S80" s="144">
        <f t="shared" si="80"/>
        <v>-5000</v>
      </c>
      <c r="T80" s="144">
        <f t="shared" si="80"/>
        <v>-5000</v>
      </c>
      <c r="U80" s="144">
        <f t="shared" si="80"/>
        <v>-5000</v>
      </c>
      <c r="V80" s="144">
        <f t="shared" si="80"/>
        <v>-5000</v>
      </c>
      <c r="W80" s="144">
        <f t="shared" si="80"/>
        <v>-5000</v>
      </c>
      <c r="X80" s="144">
        <f t="shared" si="80"/>
        <v>-5000</v>
      </c>
      <c r="Y80" s="144">
        <f t="shared" si="80"/>
        <v>-5000</v>
      </c>
      <c r="Z80" s="144">
        <f t="shared" si="80"/>
        <v>-5000</v>
      </c>
      <c r="AA80" s="144">
        <f t="shared" si="80"/>
        <v>-5000</v>
      </c>
      <c r="AB80" s="144">
        <f t="shared" si="80"/>
        <v>-5000</v>
      </c>
      <c r="AC80" s="144">
        <f t="shared" si="80"/>
        <v>-5000</v>
      </c>
      <c r="AD80" s="144">
        <f t="shared" si="80"/>
        <v>-5000</v>
      </c>
      <c r="AE80" s="144">
        <f t="shared" si="80"/>
        <v>-5000</v>
      </c>
      <c r="AF80" s="144">
        <f t="shared" si="80"/>
        <v>-5000</v>
      </c>
      <c r="AG80" s="144">
        <f t="shared" si="80"/>
        <v>-5000</v>
      </c>
      <c r="AH80" s="144">
        <f t="shared" si="80"/>
        <v>-5000</v>
      </c>
      <c r="AI80" s="144">
        <f t="shared" si="80"/>
        <v>-5000</v>
      </c>
      <c r="AJ80" s="144">
        <f t="shared" si="80"/>
        <v>-5000</v>
      </c>
      <c r="AK80" s="144">
        <f t="shared" ref="AK80:BP80" si="81">SUM(AK81:AK86)</f>
        <v>-5000</v>
      </c>
      <c r="AL80" s="144">
        <f t="shared" si="81"/>
        <v>-5000</v>
      </c>
      <c r="AM80" s="144">
        <f t="shared" si="81"/>
        <v>-5000</v>
      </c>
      <c r="AN80" s="144">
        <f t="shared" si="81"/>
        <v>-5000</v>
      </c>
      <c r="AO80" s="144">
        <f t="shared" si="81"/>
        <v>-5000</v>
      </c>
      <c r="AP80" s="144">
        <f t="shared" si="81"/>
        <v>-5000</v>
      </c>
      <c r="AQ80" s="144">
        <f t="shared" si="81"/>
        <v>-5000</v>
      </c>
      <c r="AR80" s="144">
        <f t="shared" si="81"/>
        <v>-5000</v>
      </c>
      <c r="AS80" s="144">
        <f t="shared" si="81"/>
        <v>-5000</v>
      </c>
      <c r="AT80" s="144">
        <f t="shared" si="81"/>
        <v>-5000</v>
      </c>
      <c r="AU80" s="144">
        <f t="shared" si="81"/>
        <v>-5000</v>
      </c>
      <c r="AV80" s="144">
        <f t="shared" si="81"/>
        <v>-5000</v>
      </c>
      <c r="AW80" s="144">
        <f t="shared" si="81"/>
        <v>-5000</v>
      </c>
      <c r="AX80" s="144">
        <f t="shared" si="81"/>
        <v>-5000</v>
      </c>
      <c r="AY80" s="144">
        <f t="shared" si="81"/>
        <v>-5000</v>
      </c>
      <c r="AZ80" s="144">
        <f t="shared" si="81"/>
        <v>-5000</v>
      </c>
      <c r="BA80" s="144">
        <f t="shared" si="81"/>
        <v>-5000</v>
      </c>
      <c r="BB80" s="144">
        <f t="shared" si="81"/>
        <v>-5000</v>
      </c>
      <c r="BC80" s="144">
        <f t="shared" si="81"/>
        <v>-5000</v>
      </c>
      <c r="BD80" s="144">
        <f t="shared" si="81"/>
        <v>-5000</v>
      </c>
      <c r="BE80" s="144">
        <f t="shared" si="81"/>
        <v>-5000</v>
      </c>
      <c r="BF80" s="144">
        <f t="shared" si="81"/>
        <v>-5000</v>
      </c>
      <c r="BG80" s="144">
        <f t="shared" si="81"/>
        <v>-5000</v>
      </c>
      <c r="BH80" s="144">
        <f t="shared" si="81"/>
        <v>-5000</v>
      </c>
      <c r="BI80" s="144">
        <f t="shared" si="81"/>
        <v>-5000</v>
      </c>
      <c r="BJ80" s="144">
        <f t="shared" si="81"/>
        <v>-5000</v>
      </c>
      <c r="BK80" s="144">
        <f t="shared" si="81"/>
        <v>-5000</v>
      </c>
      <c r="BL80" s="144">
        <f t="shared" si="81"/>
        <v>-5000</v>
      </c>
      <c r="BM80" s="141"/>
      <c r="BN80" s="141"/>
    </row>
    <row r="81" spans="2:66">
      <c r="C81" s="8" t="s">
        <v>276</v>
      </c>
      <c r="D81" s="155">
        <v>-30000</v>
      </c>
      <c r="E81" s="141">
        <f>SUM($D81/12)</f>
        <v>-2500</v>
      </c>
      <c r="F81" s="141">
        <f t="shared" ref="F81:BL82" si="82">SUM($D81/12)</f>
        <v>-2500</v>
      </c>
      <c r="G81" s="141">
        <f t="shared" si="82"/>
        <v>-2500</v>
      </c>
      <c r="H81" s="141">
        <f t="shared" si="82"/>
        <v>-2500</v>
      </c>
      <c r="I81" s="141">
        <f t="shared" si="82"/>
        <v>-2500</v>
      </c>
      <c r="J81" s="141">
        <f t="shared" si="82"/>
        <v>-2500</v>
      </c>
      <c r="K81" s="141">
        <f t="shared" si="82"/>
        <v>-2500</v>
      </c>
      <c r="L81" s="141">
        <f t="shared" si="82"/>
        <v>-2500</v>
      </c>
      <c r="M81" s="141">
        <f t="shared" si="82"/>
        <v>-2500</v>
      </c>
      <c r="N81" s="141">
        <f t="shared" si="82"/>
        <v>-2500</v>
      </c>
      <c r="O81" s="141">
        <f t="shared" si="82"/>
        <v>-2500</v>
      </c>
      <c r="P81" s="141">
        <f t="shared" si="82"/>
        <v>-2500</v>
      </c>
      <c r="Q81" s="141">
        <f t="shared" si="82"/>
        <v>-2500</v>
      </c>
      <c r="R81" s="141">
        <f t="shared" si="82"/>
        <v>-2500</v>
      </c>
      <c r="S81" s="141">
        <f t="shared" si="82"/>
        <v>-2500</v>
      </c>
      <c r="T81" s="141">
        <f t="shared" si="82"/>
        <v>-2500</v>
      </c>
      <c r="U81" s="141">
        <f t="shared" si="82"/>
        <v>-2500</v>
      </c>
      <c r="V81" s="141">
        <f t="shared" si="82"/>
        <v>-2500</v>
      </c>
      <c r="W81" s="141">
        <f t="shared" si="82"/>
        <v>-2500</v>
      </c>
      <c r="X81" s="141">
        <f t="shared" si="82"/>
        <v>-2500</v>
      </c>
      <c r="Y81" s="141">
        <f t="shared" si="82"/>
        <v>-2500</v>
      </c>
      <c r="Z81" s="141">
        <f t="shared" si="82"/>
        <v>-2500</v>
      </c>
      <c r="AA81" s="141">
        <f t="shared" si="82"/>
        <v>-2500</v>
      </c>
      <c r="AB81" s="141">
        <f t="shared" si="82"/>
        <v>-2500</v>
      </c>
      <c r="AC81" s="141">
        <f t="shared" si="82"/>
        <v>-2500</v>
      </c>
      <c r="AD81" s="141">
        <f t="shared" si="82"/>
        <v>-2500</v>
      </c>
      <c r="AE81" s="141">
        <f t="shared" si="82"/>
        <v>-2500</v>
      </c>
      <c r="AF81" s="141">
        <f t="shared" si="82"/>
        <v>-2500</v>
      </c>
      <c r="AG81" s="141">
        <f t="shared" si="82"/>
        <v>-2500</v>
      </c>
      <c r="AH81" s="141">
        <f t="shared" si="82"/>
        <v>-2500</v>
      </c>
      <c r="AI81" s="141">
        <f t="shared" si="82"/>
        <v>-2500</v>
      </c>
      <c r="AJ81" s="141">
        <f t="shared" si="82"/>
        <v>-2500</v>
      </c>
      <c r="AK81" s="141">
        <f t="shared" si="82"/>
        <v>-2500</v>
      </c>
      <c r="AL81" s="141">
        <f t="shared" si="82"/>
        <v>-2500</v>
      </c>
      <c r="AM81" s="141">
        <f t="shared" si="82"/>
        <v>-2500</v>
      </c>
      <c r="AN81" s="141">
        <f t="shared" si="82"/>
        <v>-2500</v>
      </c>
      <c r="AO81" s="141">
        <f t="shared" si="82"/>
        <v>-2500</v>
      </c>
      <c r="AP81" s="141">
        <f t="shared" si="82"/>
        <v>-2500</v>
      </c>
      <c r="AQ81" s="141">
        <f t="shared" si="82"/>
        <v>-2500</v>
      </c>
      <c r="AR81" s="141">
        <f t="shared" si="82"/>
        <v>-2500</v>
      </c>
      <c r="AS81" s="141">
        <f t="shared" si="82"/>
        <v>-2500</v>
      </c>
      <c r="AT81" s="141">
        <f t="shared" si="82"/>
        <v>-2500</v>
      </c>
      <c r="AU81" s="141">
        <f t="shared" si="82"/>
        <v>-2500</v>
      </c>
      <c r="AV81" s="141">
        <f t="shared" si="82"/>
        <v>-2500</v>
      </c>
      <c r="AW81" s="141">
        <f t="shared" si="82"/>
        <v>-2500</v>
      </c>
      <c r="AX81" s="141">
        <f t="shared" si="82"/>
        <v>-2500</v>
      </c>
      <c r="AY81" s="141">
        <f t="shared" si="82"/>
        <v>-2500</v>
      </c>
      <c r="AZ81" s="141">
        <f t="shared" si="82"/>
        <v>-2500</v>
      </c>
      <c r="BA81" s="141">
        <f t="shared" si="82"/>
        <v>-2500</v>
      </c>
      <c r="BB81" s="141">
        <f t="shared" si="82"/>
        <v>-2500</v>
      </c>
      <c r="BC81" s="141">
        <f t="shared" si="82"/>
        <v>-2500</v>
      </c>
      <c r="BD81" s="141">
        <f t="shared" si="82"/>
        <v>-2500</v>
      </c>
      <c r="BE81" s="141">
        <f t="shared" si="82"/>
        <v>-2500</v>
      </c>
      <c r="BF81" s="141">
        <f t="shared" si="82"/>
        <v>-2500</v>
      </c>
      <c r="BG81" s="141">
        <f t="shared" si="82"/>
        <v>-2500</v>
      </c>
      <c r="BH81" s="141">
        <f t="shared" si="82"/>
        <v>-2500</v>
      </c>
      <c r="BI81" s="141">
        <f t="shared" si="82"/>
        <v>-2500</v>
      </c>
      <c r="BJ81" s="141">
        <f t="shared" si="82"/>
        <v>-2500</v>
      </c>
      <c r="BK81" s="141">
        <f t="shared" si="82"/>
        <v>-2500</v>
      </c>
      <c r="BL81" s="141">
        <f t="shared" si="82"/>
        <v>-2500</v>
      </c>
      <c r="BM81" s="141"/>
      <c r="BN81" s="141"/>
    </row>
    <row r="82" spans="2:66">
      <c r="C82" s="8" t="s">
        <v>277</v>
      </c>
      <c r="D82" s="155">
        <v>-30000</v>
      </c>
      <c r="E82" s="141">
        <f>SUM($D82/12)</f>
        <v>-2500</v>
      </c>
      <c r="F82" s="141">
        <f t="shared" si="82"/>
        <v>-2500</v>
      </c>
      <c r="G82" s="141">
        <f t="shared" si="82"/>
        <v>-2500</v>
      </c>
      <c r="H82" s="141">
        <f t="shared" si="82"/>
        <v>-2500</v>
      </c>
      <c r="I82" s="141">
        <f t="shared" si="82"/>
        <v>-2500</v>
      </c>
      <c r="J82" s="141">
        <f t="shared" si="82"/>
        <v>-2500</v>
      </c>
      <c r="K82" s="141">
        <f t="shared" si="82"/>
        <v>-2500</v>
      </c>
      <c r="L82" s="141">
        <f t="shared" si="82"/>
        <v>-2500</v>
      </c>
      <c r="M82" s="141">
        <f t="shared" si="82"/>
        <v>-2500</v>
      </c>
      <c r="N82" s="141">
        <f t="shared" si="82"/>
        <v>-2500</v>
      </c>
      <c r="O82" s="141">
        <f t="shared" si="82"/>
        <v>-2500</v>
      </c>
      <c r="P82" s="141">
        <f t="shared" si="82"/>
        <v>-2500</v>
      </c>
      <c r="Q82" s="141">
        <f t="shared" si="82"/>
        <v>-2500</v>
      </c>
      <c r="R82" s="141">
        <f t="shared" si="82"/>
        <v>-2500</v>
      </c>
      <c r="S82" s="141">
        <f t="shared" si="82"/>
        <v>-2500</v>
      </c>
      <c r="T82" s="141">
        <f t="shared" si="82"/>
        <v>-2500</v>
      </c>
      <c r="U82" s="141">
        <f t="shared" si="82"/>
        <v>-2500</v>
      </c>
      <c r="V82" s="141">
        <f t="shared" si="82"/>
        <v>-2500</v>
      </c>
      <c r="W82" s="141">
        <f t="shared" si="82"/>
        <v>-2500</v>
      </c>
      <c r="X82" s="141">
        <f t="shared" si="82"/>
        <v>-2500</v>
      </c>
      <c r="Y82" s="141">
        <f t="shared" si="82"/>
        <v>-2500</v>
      </c>
      <c r="Z82" s="141">
        <f t="shared" si="82"/>
        <v>-2500</v>
      </c>
      <c r="AA82" s="141">
        <f t="shared" si="82"/>
        <v>-2500</v>
      </c>
      <c r="AB82" s="141">
        <f t="shared" si="82"/>
        <v>-2500</v>
      </c>
      <c r="AC82" s="141">
        <f t="shared" si="82"/>
        <v>-2500</v>
      </c>
      <c r="AD82" s="141">
        <f t="shared" si="82"/>
        <v>-2500</v>
      </c>
      <c r="AE82" s="141">
        <f t="shared" si="82"/>
        <v>-2500</v>
      </c>
      <c r="AF82" s="141">
        <f t="shared" si="82"/>
        <v>-2500</v>
      </c>
      <c r="AG82" s="141">
        <f t="shared" si="82"/>
        <v>-2500</v>
      </c>
      <c r="AH82" s="141">
        <f t="shared" si="82"/>
        <v>-2500</v>
      </c>
      <c r="AI82" s="141">
        <f t="shared" si="82"/>
        <v>-2500</v>
      </c>
      <c r="AJ82" s="141">
        <f t="shared" si="82"/>
        <v>-2500</v>
      </c>
      <c r="AK82" s="141">
        <f t="shared" si="82"/>
        <v>-2500</v>
      </c>
      <c r="AL82" s="141">
        <f t="shared" si="82"/>
        <v>-2500</v>
      </c>
      <c r="AM82" s="141">
        <f t="shared" si="82"/>
        <v>-2500</v>
      </c>
      <c r="AN82" s="141">
        <f t="shared" si="82"/>
        <v>-2500</v>
      </c>
      <c r="AO82" s="141">
        <f t="shared" si="82"/>
        <v>-2500</v>
      </c>
      <c r="AP82" s="141">
        <f t="shared" si="82"/>
        <v>-2500</v>
      </c>
      <c r="AQ82" s="141">
        <f t="shared" si="82"/>
        <v>-2500</v>
      </c>
      <c r="AR82" s="141">
        <f t="shared" si="82"/>
        <v>-2500</v>
      </c>
      <c r="AS82" s="141">
        <f t="shared" si="82"/>
        <v>-2500</v>
      </c>
      <c r="AT82" s="141">
        <f t="shared" si="82"/>
        <v>-2500</v>
      </c>
      <c r="AU82" s="141">
        <f t="shared" si="82"/>
        <v>-2500</v>
      </c>
      <c r="AV82" s="141">
        <f t="shared" si="82"/>
        <v>-2500</v>
      </c>
      <c r="AW82" s="141">
        <f t="shared" si="82"/>
        <v>-2500</v>
      </c>
      <c r="AX82" s="141">
        <f t="shared" si="82"/>
        <v>-2500</v>
      </c>
      <c r="AY82" s="141">
        <f t="shared" si="82"/>
        <v>-2500</v>
      </c>
      <c r="AZ82" s="141">
        <f t="shared" si="82"/>
        <v>-2500</v>
      </c>
      <c r="BA82" s="141">
        <f t="shared" si="82"/>
        <v>-2500</v>
      </c>
      <c r="BB82" s="141">
        <f t="shared" si="82"/>
        <v>-2500</v>
      </c>
      <c r="BC82" s="141">
        <f t="shared" si="82"/>
        <v>-2500</v>
      </c>
      <c r="BD82" s="141">
        <f t="shared" si="82"/>
        <v>-2500</v>
      </c>
      <c r="BE82" s="141">
        <f t="shared" si="82"/>
        <v>-2500</v>
      </c>
      <c r="BF82" s="141">
        <f t="shared" si="82"/>
        <v>-2500</v>
      </c>
      <c r="BG82" s="141">
        <f t="shared" si="82"/>
        <v>-2500</v>
      </c>
      <c r="BH82" s="141">
        <f t="shared" si="82"/>
        <v>-2500</v>
      </c>
      <c r="BI82" s="141">
        <f t="shared" si="82"/>
        <v>-2500</v>
      </c>
      <c r="BJ82" s="141">
        <f t="shared" si="82"/>
        <v>-2500</v>
      </c>
      <c r="BK82" s="141">
        <f t="shared" si="82"/>
        <v>-2500</v>
      </c>
      <c r="BL82" s="141">
        <f t="shared" si="82"/>
        <v>-2500</v>
      </c>
      <c r="BM82" s="141"/>
      <c r="BN82" s="141"/>
    </row>
    <row r="83" spans="2:66">
      <c r="C83" s="8" t="s">
        <v>138</v>
      </c>
      <c r="D83" s="155">
        <v>0</v>
      </c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41"/>
      <c r="AJ83" s="141"/>
      <c r="AK83" s="141"/>
      <c r="AL83" s="141"/>
      <c r="AM83" s="141"/>
      <c r="AN83" s="141"/>
      <c r="AO83" s="141"/>
      <c r="AP83" s="141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41"/>
      <c r="BD83" s="141"/>
      <c r="BE83" s="141"/>
      <c r="BF83" s="141"/>
      <c r="BG83" s="141"/>
      <c r="BH83" s="141"/>
      <c r="BI83" s="141"/>
      <c r="BJ83" s="141"/>
      <c r="BK83" s="141"/>
      <c r="BL83" s="141"/>
      <c r="BM83" s="141"/>
      <c r="BN83" s="141"/>
    </row>
    <row r="84" spans="2:66">
      <c r="C84" s="8" t="s">
        <v>138</v>
      </c>
      <c r="D84" s="155">
        <v>0</v>
      </c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41"/>
      <c r="AJ84" s="141"/>
      <c r="AK84" s="141"/>
      <c r="AL84" s="141"/>
      <c r="AM84" s="141"/>
      <c r="AN84" s="141"/>
      <c r="AO84" s="141"/>
      <c r="AP84" s="141"/>
      <c r="AQ84" s="141"/>
      <c r="AR84" s="141"/>
      <c r="AS84" s="141"/>
      <c r="AT84" s="141"/>
      <c r="AU84" s="141"/>
      <c r="AV84" s="141"/>
      <c r="AW84" s="141"/>
      <c r="AX84" s="141"/>
      <c r="AY84" s="141"/>
      <c r="AZ84" s="141"/>
      <c r="BA84" s="141"/>
      <c r="BB84" s="141"/>
      <c r="BC84" s="141"/>
      <c r="BD84" s="141"/>
      <c r="BE84" s="141"/>
      <c r="BF84" s="141"/>
      <c r="BG84" s="141"/>
      <c r="BH84" s="141"/>
      <c r="BI84" s="141"/>
      <c r="BJ84" s="141"/>
      <c r="BK84" s="141"/>
      <c r="BL84" s="141"/>
      <c r="BM84" s="141"/>
      <c r="BN84" s="141"/>
    </row>
    <row r="85" spans="2:66">
      <c r="C85" s="8" t="s">
        <v>138</v>
      </c>
      <c r="D85" s="155">
        <v>0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41"/>
      <c r="AJ85" s="141"/>
      <c r="AK85" s="141"/>
      <c r="AL85" s="141"/>
      <c r="AM85" s="141"/>
      <c r="AN85" s="141"/>
      <c r="AO85" s="141"/>
      <c r="AP85" s="141"/>
      <c r="AQ85" s="141"/>
      <c r="AR85" s="141"/>
      <c r="AS85" s="141"/>
      <c r="AT85" s="141"/>
      <c r="AU85" s="141"/>
      <c r="AV85" s="141"/>
      <c r="AW85" s="141"/>
      <c r="AX85" s="141"/>
      <c r="AY85" s="141"/>
      <c r="AZ85" s="141"/>
      <c r="BA85" s="141"/>
      <c r="BB85" s="141"/>
      <c r="BC85" s="141"/>
      <c r="BD85" s="141"/>
      <c r="BE85" s="141"/>
      <c r="BF85" s="141"/>
      <c r="BG85" s="141"/>
      <c r="BH85" s="141"/>
      <c r="BI85" s="141"/>
      <c r="BJ85" s="141"/>
      <c r="BK85" s="141"/>
      <c r="BL85" s="141"/>
      <c r="BM85" s="141"/>
      <c r="BN85" s="141"/>
    </row>
    <row r="86" spans="2:66">
      <c r="C86" s="8" t="s">
        <v>138</v>
      </c>
      <c r="D86" s="155">
        <v>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  <c r="AH86" s="141"/>
      <c r="AI86" s="141"/>
      <c r="AJ86" s="141"/>
      <c r="AK86" s="141"/>
      <c r="AL86" s="141"/>
      <c r="AM86" s="141"/>
      <c r="AN86" s="141"/>
      <c r="AO86" s="141"/>
      <c r="AP86" s="141"/>
      <c r="AQ86" s="141"/>
      <c r="AR86" s="141"/>
      <c r="AS86" s="141"/>
      <c r="AT86" s="141"/>
      <c r="AU86" s="141"/>
      <c r="AV86" s="141"/>
      <c r="AW86" s="141"/>
      <c r="AX86" s="141"/>
      <c r="AY86" s="141"/>
      <c r="AZ86" s="141"/>
      <c r="BA86" s="141"/>
      <c r="BB86" s="141"/>
      <c r="BC86" s="141"/>
      <c r="BD86" s="141"/>
      <c r="BE86" s="141"/>
      <c r="BF86" s="141"/>
      <c r="BG86" s="141"/>
      <c r="BH86" s="141"/>
      <c r="BI86" s="141"/>
      <c r="BJ86" s="141"/>
      <c r="BK86" s="141"/>
      <c r="BL86" s="141"/>
      <c r="BM86" s="141"/>
      <c r="BN86" s="141"/>
    </row>
    <row r="87" spans="2:66">
      <c r="C87" s="8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41"/>
      <c r="AJ87" s="141"/>
      <c r="AK87" s="141"/>
      <c r="AL87" s="141"/>
      <c r="AM87" s="141"/>
      <c r="AN87" s="141"/>
      <c r="AO87" s="141"/>
      <c r="AP87" s="141"/>
      <c r="AQ87" s="141"/>
      <c r="AR87" s="141"/>
      <c r="AS87" s="141"/>
      <c r="AT87" s="141"/>
      <c r="AU87" s="141"/>
      <c r="AV87" s="141"/>
      <c r="AW87" s="141"/>
      <c r="AX87" s="141"/>
      <c r="AY87" s="141"/>
      <c r="AZ87" s="141"/>
      <c r="BA87" s="141"/>
      <c r="BB87" s="141"/>
      <c r="BC87" s="141"/>
      <c r="BD87" s="141"/>
      <c r="BE87" s="141"/>
      <c r="BF87" s="141"/>
      <c r="BG87" s="141"/>
      <c r="BH87" s="141"/>
      <c r="BI87" s="141"/>
      <c r="BJ87" s="141"/>
      <c r="BK87" s="141"/>
      <c r="BL87" s="141"/>
      <c r="BM87" s="141"/>
      <c r="BN87" s="141"/>
    </row>
    <row r="88" spans="2:66">
      <c r="B88" s="129">
        <f>SUM(E88:AN88)</f>
        <v>0</v>
      </c>
      <c r="C88" s="130" t="s">
        <v>278</v>
      </c>
      <c r="D88" s="131"/>
      <c r="E88" s="144">
        <f t="shared" ref="E88:AN88" si="83">SUM(E89:E99)</f>
        <v>0</v>
      </c>
      <c r="F88" s="144">
        <f t="shared" si="83"/>
        <v>0</v>
      </c>
      <c r="G88" s="144">
        <f t="shared" si="83"/>
        <v>0</v>
      </c>
      <c r="H88" s="144">
        <f t="shared" si="83"/>
        <v>0</v>
      </c>
      <c r="I88" s="144">
        <f t="shared" si="83"/>
        <v>0</v>
      </c>
      <c r="J88" s="144">
        <f t="shared" si="83"/>
        <v>0</v>
      </c>
      <c r="K88" s="144">
        <f t="shared" si="83"/>
        <v>0</v>
      </c>
      <c r="L88" s="144">
        <f t="shared" si="83"/>
        <v>0</v>
      </c>
      <c r="M88" s="144">
        <f t="shared" si="83"/>
        <v>0</v>
      </c>
      <c r="N88" s="144">
        <f t="shared" si="83"/>
        <v>0</v>
      </c>
      <c r="O88" s="144">
        <f t="shared" si="83"/>
        <v>0</v>
      </c>
      <c r="P88" s="144">
        <f t="shared" si="83"/>
        <v>0</v>
      </c>
      <c r="Q88" s="144">
        <f t="shared" ref="Q88:AB88" si="84">SUM(Q89:Q99)</f>
        <v>0</v>
      </c>
      <c r="R88" s="144">
        <f t="shared" si="84"/>
        <v>0</v>
      </c>
      <c r="S88" s="144">
        <f t="shared" si="84"/>
        <v>0</v>
      </c>
      <c r="T88" s="144">
        <f t="shared" si="84"/>
        <v>0</v>
      </c>
      <c r="U88" s="144">
        <f t="shared" si="84"/>
        <v>0</v>
      </c>
      <c r="V88" s="144">
        <f t="shared" si="84"/>
        <v>0</v>
      </c>
      <c r="W88" s="144">
        <f t="shared" si="84"/>
        <v>0</v>
      </c>
      <c r="X88" s="144">
        <f t="shared" si="84"/>
        <v>0</v>
      </c>
      <c r="Y88" s="144">
        <f t="shared" si="84"/>
        <v>0</v>
      </c>
      <c r="Z88" s="144">
        <f t="shared" si="84"/>
        <v>0</v>
      </c>
      <c r="AA88" s="144">
        <f t="shared" si="84"/>
        <v>0</v>
      </c>
      <c r="AB88" s="144">
        <f t="shared" si="84"/>
        <v>0</v>
      </c>
      <c r="AC88" s="144">
        <f t="shared" si="83"/>
        <v>0</v>
      </c>
      <c r="AD88" s="144">
        <f t="shared" si="83"/>
        <v>0</v>
      </c>
      <c r="AE88" s="144">
        <f t="shared" si="83"/>
        <v>0</v>
      </c>
      <c r="AF88" s="144">
        <f t="shared" si="83"/>
        <v>0</v>
      </c>
      <c r="AG88" s="144">
        <f t="shared" si="83"/>
        <v>0</v>
      </c>
      <c r="AH88" s="144">
        <f t="shared" si="83"/>
        <v>0</v>
      </c>
      <c r="AI88" s="144">
        <f t="shared" si="83"/>
        <v>0</v>
      </c>
      <c r="AJ88" s="144">
        <f t="shared" si="83"/>
        <v>0</v>
      </c>
      <c r="AK88" s="144">
        <f t="shared" si="83"/>
        <v>0</v>
      </c>
      <c r="AL88" s="144">
        <f t="shared" si="83"/>
        <v>0</v>
      </c>
      <c r="AM88" s="144">
        <f t="shared" si="83"/>
        <v>0</v>
      </c>
      <c r="AN88" s="144">
        <f t="shared" si="83"/>
        <v>0</v>
      </c>
      <c r="AO88" s="144">
        <f t="shared" ref="AO88:BL88" si="85">SUM(AO89:AO99)</f>
        <v>0</v>
      </c>
      <c r="AP88" s="144">
        <f t="shared" si="85"/>
        <v>0</v>
      </c>
      <c r="AQ88" s="144">
        <f t="shared" si="85"/>
        <v>0</v>
      </c>
      <c r="AR88" s="144">
        <f t="shared" si="85"/>
        <v>0</v>
      </c>
      <c r="AS88" s="144">
        <f t="shared" si="85"/>
        <v>0</v>
      </c>
      <c r="AT88" s="144">
        <f t="shared" si="85"/>
        <v>0</v>
      </c>
      <c r="AU88" s="144">
        <f t="shared" si="85"/>
        <v>0</v>
      </c>
      <c r="AV88" s="144">
        <f t="shared" si="85"/>
        <v>0</v>
      </c>
      <c r="AW88" s="144">
        <f t="shared" si="85"/>
        <v>0</v>
      </c>
      <c r="AX88" s="144">
        <f t="shared" si="85"/>
        <v>0</v>
      </c>
      <c r="AY88" s="144">
        <f t="shared" si="85"/>
        <v>0</v>
      </c>
      <c r="AZ88" s="144">
        <f t="shared" si="85"/>
        <v>0</v>
      </c>
      <c r="BA88" s="144">
        <f t="shared" si="85"/>
        <v>0</v>
      </c>
      <c r="BB88" s="144">
        <f t="shared" si="85"/>
        <v>0</v>
      </c>
      <c r="BC88" s="144">
        <f t="shared" si="85"/>
        <v>0</v>
      </c>
      <c r="BD88" s="144">
        <f t="shared" si="85"/>
        <v>0</v>
      </c>
      <c r="BE88" s="144">
        <f t="shared" si="85"/>
        <v>0</v>
      </c>
      <c r="BF88" s="144">
        <f t="shared" si="85"/>
        <v>0</v>
      </c>
      <c r="BG88" s="144">
        <f t="shared" si="85"/>
        <v>0</v>
      </c>
      <c r="BH88" s="144">
        <f t="shared" si="85"/>
        <v>0</v>
      </c>
      <c r="BI88" s="144">
        <f t="shared" si="85"/>
        <v>0</v>
      </c>
      <c r="BJ88" s="144">
        <f t="shared" si="85"/>
        <v>0</v>
      </c>
      <c r="BK88" s="144">
        <f t="shared" si="85"/>
        <v>0</v>
      </c>
      <c r="BL88" s="144">
        <f t="shared" si="85"/>
        <v>0</v>
      </c>
      <c r="BM88" s="141"/>
      <c r="BN88" s="141"/>
    </row>
    <row r="89" spans="2:66">
      <c r="C89" s="8" t="s">
        <v>279</v>
      </c>
      <c r="D89" s="155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41"/>
      <c r="AJ89" s="141"/>
      <c r="AK89" s="141"/>
      <c r="AL89" s="141"/>
      <c r="AM89" s="141"/>
      <c r="AN89" s="141"/>
      <c r="AO89" s="141"/>
      <c r="AP89" s="141"/>
      <c r="AQ89" s="141"/>
      <c r="AR89" s="141"/>
      <c r="AS89" s="141"/>
      <c r="AT89" s="141"/>
      <c r="AU89" s="141"/>
      <c r="AV89" s="141"/>
      <c r="AW89" s="141"/>
      <c r="AX89" s="141"/>
      <c r="AY89" s="141"/>
      <c r="AZ89" s="141"/>
      <c r="BA89" s="141"/>
      <c r="BB89" s="141"/>
      <c r="BC89" s="141"/>
      <c r="BD89" s="141"/>
      <c r="BE89" s="141"/>
      <c r="BF89" s="141"/>
      <c r="BG89" s="141"/>
      <c r="BH89" s="141"/>
      <c r="BI89" s="141"/>
      <c r="BJ89" s="141"/>
      <c r="BK89" s="141"/>
      <c r="BL89" s="141"/>
      <c r="BM89" s="141"/>
      <c r="BN89" s="141"/>
    </row>
    <row r="90" spans="2:66">
      <c r="C90" s="8" t="s">
        <v>280</v>
      </c>
      <c r="D90" s="154">
        <v>0.38</v>
      </c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41"/>
      <c r="AJ90" s="141"/>
      <c r="AK90" s="141"/>
      <c r="AL90" s="141"/>
      <c r="AM90" s="141"/>
      <c r="AN90" s="141"/>
      <c r="AO90" s="141"/>
      <c r="AP90" s="141"/>
      <c r="AQ90" s="141"/>
      <c r="AR90" s="141"/>
      <c r="AS90" s="141"/>
      <c r="AT90" s="141"/>
      <c r="AU90" s="141"/>
      <c r="AV90" s="141"/>
      <c r="AW90" s="141"/>
      <c r="AX90" s="141"/>
      <c r="AY90" s="141"/>
      <c r="AZ90" s="141"/>
      <c r="BA90" s="141"/>
      <c r="BB90" s="141"/>
      <c r="BC90" s="141"/>
      <c r="BD90" s="141"/>
      <c r="BE90" s="141"/>
      <c r="BF90" s="141"/>
      <c r="BG90" s="141"/>
      <c r="BH90" s="141"/>
      <c r="BI90" s="141"/>
      <c r="BJ90" s="141"/>
      <c r="BK90" s="141"/>
      <c r="BL90" s="141"/>
      <c r="BM90" s="141"/>
      <c r="BN90" s="141"/>
    </row>
    <row r="91" spans="2:66">
      <c r="C91" s="8" t="s">
        <v>281</v>
      </c>
      <c r="D91" s="155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  <c r="AH91" s="141"/>
      <c r="AI91" s="141"/>
      <c r="AJ91" s="141"/>
      <c r="AK91" s="141"/>
      <c r="AL91" s="141"/>
      <c r="AM91" s="141"/>
      <c r="AN91" s="141"/>
      <c r="AO91" s="141"/>
      <c r="AP91" s="141"/>
      <c r="AQ91" s="141"/>
      <c r="AR91" s="141"/>
      <c r="AS91" s="141"/>
      <c r="AT91" s="141"/>
      <c r="AU91" s="141"/>
      <c r="AV91" s="141"/>
      <c r="AW91" s="141"/>
      <c r="AX91" s="141"/>
      <c r="AY91" s="141"/>
      <c r="AZ91" s="141"/>
      <c r="BA91" s="141"/>
      <c r="BB91" s="141"/>
      <c r="BC91" s="141"/>
      <c r="BD91" s="141"/>
      <c r="BE91" s="141"/>
      <c r="BF91" s="141"/>
      <c r="BG91" s="141"/>
      <c r="BH91" s="141"/>
      <c r="BI91" s="141"/>
      <c r="BJ91" s="141"/>
      <c r="BK91" s="141"/>
      <c r="BL91" s="141"/>
      <c r="BM91" s="141"/>
      <c r="BN91" s="141"/>
    </row>
    <row r="92" spans="2:66">
      <c r="C92" s="8" t="s">
        <v>282</v>
      </c>
      <c r="D92" s="155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41"/>
      <c r="AJ92" s="141"/>
      <c r="AK92" s="141"/>
      <c r="AL92" s="141"/>
      <c r="AM92" s="141"/>
      <c r="AN92" s="141"/>
      <c r="AO92" s="141"/>
      <c r="AP92" s="141"/>
      <c r="AQ92" s="141"/>
      <c r="AR92" s="141"/>
      <c r="AS92" s="141"/>
      <c r="AT92" s="141"/>
      <c r="AU92" s="141"/>
      <c r="AV92" s="141"/>
      <c r="AW92" s="141"/>
      <c r="AX92" s="141"/>
      <c r="AY92" s="141"/>
      <c r="AZ92" s="141"/>
      <c r="BA92" s="141"/>
      <c r="BB92" s="141"/>
      <c r="BC92" s="141"/>
      <c r="BD92" s="141"/>
      <c r="BE92" s="141"/>
      <c r="BF92" s="141"/>
      <c r="BG92" s="141"/>
      <c r="BH92" s="141"/>
      <c r="BI92" s="141"/>
      <c r="BJ92" s="141"/>
      <c r="BK92" s="141"/>
      <c r="BL92" s="141"/>
      <c r="BM92" s="141"/>
      <c r="BN92" s="141"/>
    </row>
    <row r="93" spans="2:66">
      <c r="C93" s="8" t="s">
        <v>283</v>
      </c>
      <c r="D93" s="155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/>
      <c r="AF93" s="141"/>
      <c r="AG93" s="141"/>
      <c r="AH93" s="141"/>
      <c r="AI93" s="141"/>
      <c r="AJ93" s="141"/>
      <c r="AK93" s="141"/>
      <c r="AL93" s="141"/>
      <c r="AM93" s="141"/>
      <c r="AN93" s="141"/>
      <c r="AO93" s="141"/>
      <c r="AP93" s="141"/>
      <c r="AQ93" s="141"/>
      <c r="AR93" s="141"/>
      <c r="AS93" s="141"/>
      <c r="AT93" s="141"/>
      <c r="AU93" s="141"/>
      <c r="AV93" s="141"/>
      <c r="AW93" s="141"/>
      <c r="AX93" s="141"/>
      <c r="AY93" s="141"/>
      <c r="AZ93" s="141"/>
      <c r="BA93" s="141"/>
      <c r="BB93" s="141"/>
      <c r="BC93" s="141"/>
      <c r="BD93" s="141"/>
      <c r="BE93" s="141"/>
      <c r="BF93" s="141"/>
      <c r="BG93" s="141"/>
      <c r="BH93" s="141"/>
      <c r="BI93" s="141"/>
      <c r="BJ93" s="141"/>
      <c r="BK93" s="141"/>
      <c r="BL93" s="141"/>
      <c r="BM93" s="141"/>
      <c r="BN93" s="141"/>
    </row>
    <row r="94" spans="2:66">
      <c r="C94" s="8" t="s">
        <v>284</v>
      </c>
      <c r="D94" s="155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41"/>
      <c r="AJ94" s="141"/>
      <c r="AK94" s="141"/>
      <c r="AL94" s="141"/>
      <c r="AM94" s="141"/>
      <c r="AN94" s="141"/>
      <c r="AO94" s="141"/>
      <c r="AP94" s="141"/>
      <c r="AQ94" s="141"/>
      <c r="AR94" s="141"/>
      <c r="AS94" s="141"/>
      <c r="AT94" s="141"/>
      <c r="AU94" s="141"/>
      <c r="AV94" s="141"/>
      <c r="AW94" s="141"/>
      <c r="AX94" s="141"/>
      <c r="AY94" s="141"/>
      <c r="AZ94" s="141"/>
      <c r="BA94" s="141"/>
      <c r="BB94" s="141"/>
      <c r="BC94" s="141"/>
      <c r="BD94" s="141"/>
      <c r="BE94" s="141"/>
      <c r="BF94" s="141"/>
      <c r="BG94" s="141"/>
      <c r="BH94" s="141"/>
      <c r="BI94" s="141"/>
      <c r="BJ94" s="141"/>
      <c r="BK94" s="141"/>
      <c r="BL94" s="141"/>
      <c r="BM94" s="141"/>
      <c r="BN94" s="141"/>
    </row>
    <row r="95" spans="2:66">
      <c r="C95" s="8" t="s">
        <v>285</v>
      </c>
      <c r="D95" s="155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41"/>
      <c r="AJ95" s="141"/>
      <c r="AK95" s="141"/>
      <c r="AL95" s="141"/>
      <c r="AM95" s="141"/>
      <c r="AN95" s="141"/>
      <c r="AO95" s="141"/>
      <c r="AP95" s="141"/>
      <c r="AQ95" s="141"/>
      <c r="AR95" s="141"/>
      <c r="AS95" s="141"/>
      <c r="AT95" s="141"/>
      <c r="AU95" s="141"/>
      <c r="AV95" s="141"/>
      <c r="AW95" s="141"/>
      <c r="AX95" s="141"/>
      <c r="AY95" s="141"/>
      <c r="AZ95" s="141"/>
      <c r="BA95" s="141"/>
      <c r="BB95" s="141"/>
      <c r="BC95" s="141"/>
      <c r="BD95" s="141"/>
      <c r="BE95" s="141"/>
      <c r="BF95" s="141"/>
      <c r="BG95" s="141"/>
      <c r="BH95" s="141"/>
      <c r="BI95" s="141"/>
      <c r="BJ95" s="141"/>
      <c r="BK95" s="141"/>
      <c r="BL95" s="141"/>
      <c r="BM95" s="141"/>
      <c r="BN95" s="141"/>
    </row>
    <row r="96" spans="2:66">
      <c r="C96" s="8" t="s">
        <v>286</v>
      </c>
      <c r="D96" s="155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1"/>
      <c r="AH96" s="141"/>
      <c r="AI96" s="141"/>
      <c r="AJ96" s="141"/>
      <c r="AK96" s="141"/>
      <c r="AL96" s="141"/>
      <c r="AM96" s="141"/>
      <c r="AN96" s="141"/>
      <c r="AO96" s="141"/>
      <c r="AP96" s="141"/>
      <c r="AQ96" s="141"/>
      <c r="AR96" s="141"/>
      <c r="AS96" s="141"/>
      <c r="AT96" s="141"/>
      <c r="AU96" s="141"/>
      <c r="AV96" s="141"/>
      <c r="AW96" s="141"/>
      <c r="AX96" s="141"/>
      <c r="AY96" s="141"/>
      <c r="AZ96" s="141"/>
      <c r="BA96" s="141"/>
      <c r="BB96" s="141"/>
      <c r="BC96" s="141"/>
      <c r="BD96" s="141"/>
      <c r="BE96" s="141"/>
      <c r="BF96" s="141"/>
      <c r="BG96" s="141"/>
      <c r="BH96" s="141"/>
      <c r="BI96" s="141"/>
      <c r="BJ96" s="141"/>
      <c r="BK96" s="141"/>
      <c r="BL96" s="141"/>
      <c r="BM96" s="141"/>
      <c r="BN96" s="141"/>
    </row>
    <row r="97" spans="2:66">
      <c r="C97" s="7" t="s">
        <v>138</v>
      </c>
      <c r="D97" s="155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41"/>
      <c r="AF97" s="141"/>
      <c r="AG97" s="141"/>
      <c r="AH97" s="141"/>
      <c r="AI97" s="141"/>
      <c r="AJ97" s="141"/>
      <c r="AK97" s="141"/>
      <c r="AL97" s="141"/>
      <c r="AM97" s="141"/>
      <c r="AN97" s="141"/>
      <c r="AO97" s="141"/>
      <c r="AP97" s="141"/>
      <c r="AQ97" s="141"/>
      <c r="AR97" s="141"/>
      <c r="AS97" s="141"/>
      <c r="AT97" s="141"/>
      <c r="AU97" s="141"/>
      <c r="AV97" s="141"/>
      <c r="AW97" s="141"/>
      <c r="AX97" s="141"/>
      <c r="AY97" s="141"/>
      <c r="AZ97" s="141"/>
      <c r="BA97" s="141"/>
      <c r="BB97" s="141"/>
      <c r="BC97" s="141"/>
      <c r="BD97" s="141"/>
      <c r="BE97" s="141"/>
      <c r="BF97" s="141"/>
      <c r="BG97" s="141"/>
      <c r="BH97" s="141"/>
      <c r="BI97" s="141"/>
      <c r="BJ97" s="141"/>
      <c r="BK97" s="141"/>
      <c r="BL97" s="141"/>
      <c r="BM97" s="141"/>
      <c r="BN97" s="141"/>
    </row>
    <row r="98" spans="2:66">
      <c r="C98" s="125" t="s">
        <v>287</v>
      </c>
      <c r="D98" s="155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1"/>
      <c r="AM98" s="141"/>
      <c r="AN98" s="141"/>
      <c r="AO98" s="141"/>
      <c r="AP98" s="141"/>
      <c r="AQ98" s="141"/>
      <c r="AR98" s="141"/>
      <c r="AS98" s="141"/>
      <c r="AT98" s="141"/>
      <c r="AU98" s="141"/>
      <c r="AV98" s="141"/>
      <c r="AW98" s="141"/>
      <c r="AX98" s="141"/>
      <c r="AY98" s="141"/>
      <c r="AZ98" s="141"/>
      <c r="BA98" s="141"/>
      <c r="BB98" s="141"/>
      <c r="BC98" s="141"/>
      <c r="BD98" s="141"/>
      <c r="BE98" s="141"/>
      <c r="BF98" s="141"/>
      <c r="BG98" s="141"/>
      <c r="BH98" s="141"/>
      <c r="BI98" s="141"/>
      <c r="BJ98" s="141"/>
      <c r="BK98" s="141"/>
      <c r="BL98" s="141"/>
      <c r="BM98" s="141"/>
      <c r="BN98" s="141"/>
    </row>
    <row r="99" spans="2:66">
      <c r="C99" s="125" t="s">
        <v>288</v>
      </c>
      <c r="D99" s="155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  <c r="AE99" s="141"/>
      <c r="AF99" s="141"/>
      <c r="AG99" s="141"/>
      <c r="AH99" s="141"/>
      <c r="AI99" s="141"/>
      <c r="AJ99" s="141"/>
      <c r="AK99" s="141"/>
      <c r="AL99" s="141"/>
      <c r="AM99" s="141"/>
      <c r="AN99" s="141"/>
      <c r="AO99" s="141"/>
      <c r="AP99" s="141"/>
      <c r="AQ99" s="141"/>
      <c r="AR99" s="141"/>
      <c r="AS99" s="141"/>
      <c r="AT99" s="141"/>
      <c r="AU99" s="141"/>
      <c r="AV99" s="141"/>
      <c r="AW99" s="141"/>
      <c r="AX99" s="141"/>
      <c r="AY99" s="141"/>
      <c r="AZ99" s="141"/>
      <c r="BA99" s="141"/>
      <c r="BB99" s="141"/>
      <c r="BC99" s="141"/>
      <c r="BD99" s="141"/>
      <c r="BE99" s="141"/>
      <c r="BF99" s="141"/>
      <c r="BG99" s="141"/>
      <c r="BH99" s="141"/>
      <c r="BI99" s="141"/>
      <c r="BJ99" s="141"/>
      <c r="BK99" s="141"/>
      <c r="BL99" s="141"/>
      <c r="BM99" s="141"/>
      <c r="BN99" s="141"/>
    </row>
    <row r="100" spans="2:66">
      <c r="C100" s="126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1"/>
      <c r="AM100" s="141"/>
      <c r="AN100" s="141"/>
      <c r="AO100" s="141"/>
      <c r="AP100" s="141"/>
      <c r="AQ100" s="141"/>
      <c r="AR100" s="141"/>
      <c r="AS100" s="141"/>
      <c r="AT100" s="141"/>
      <c r="AU100" s="141"/>
      <c r="AV100" s="141"/>
      <c r="AW100" s="141"/>
      <c r="AX100" s="141"/>
      <c r="AY100" s="141"/>
      <c r="AZ100" s="141"/>
      <c r="BA100" s="141"/>
      <c r="BB100" s="141"/>
      <c r="BC100" s="141"/>
      <c r="BD100" s="141"/>
      <c r="BE100" s="141"/>
      <c r="BF100" s="141"/>
      <c r="BG100" s="141"/>
      <c r="BH100" s="141"/>
      <c r="BI100" s="141"/>
      <c r="BJ100" s="141"/>
      <c r="BK100" s="141"/>
      <c r="BL100" s="141"/>
      <c r="BM100" s="141"/>
      <c r="BN100" s="141"/>
    </row>
    <row r="101" spans="2:66">
      <c r="B101" s="129">
        <f>SUM(E101:AN101)</f>
        <v>-92400</v>
      </c>
      <c r="C101" s="130" t="s">
        <v>289</v>
      </c>
      <c r="D101" s="131"/>
      <c r="E101" s="144">
        <f>SUM(E102:E108)</f>
        <v>-1400</v>
      </c>
      <c r="F101" s="144">
        <f t="shared" ref="F101:AN101" si="86">SUM(F102:F108)</f>
        <v>-1400</v>
      </c>
      <c r="G101" s="144">
        <f t="shared" si="86"/>
        <v>-4900</v>
      </c>
      <c r="H101" s="144">
        <f t="shared" si="86"/>
        <v>-1400</v>
      </c>
      <c r="I101" s="144">
        <f t="shared" si="86"/>
        <v>-1400</v>
      </c>
      <c r="J101" s="144">
        <f t="shared" si="86"/>
        <v>-4900</v>
      </c>
      <c r="K101" s="144">
        <f t="shared" si="86"/>
        <v>-1400</v>
      </c>
      <c r="L101" s="144">
        <f t="shared" si="86"/>
        <v>-1400</v>
      </c>
      <c r="M101" s="144">
        <f t="shared" si="86"/>
        <v>-4900</v>
      </c>
      <c r="N101" s="144">
        <f t="shared" si="86"/>
        <v>-1400</v>
      </c>
      <c r="O101" s="144">
        <f t="shared" si="86"/>
        <v>-1400</v>
      </c>
      <c r="P101" s="144">
        <f t="shared" si="86"/>
        <v>-4900</v>
      </c>
      <c r="Q101" s="144">
        <f t="shared" ref="Q101:AB101" si="87">SUM(Q102:Q108)</f>
        <v>-1400</v>
      </c>
      <c r="R101" s="144">
        <f t="shared" si="87"/>
        <v>-1400</v>
      </c>
      <c r="S101" s="144">
        <f t="shared" si="87"/>
        <v>-4900</v>
      </c>
      <c r="T101" s="144">
        <f t="shared" si="87"/>
        <v>-1400</v>
      </c>
      <c r="U101" s="144">
        <f t="shared" si="87"/>
        <v>-1400</v>
      </c>
      <c r="V101" s="144">
        <f t="shared" si="87"/>
        <v>-4900</v>
      </c>
      <c r="W101" s="144">
        <f t="shared" si="87"/>
        <v>-1400</v>
      </c>
      <c r="X101" s="144">
        <f t="shared" si="87"/>
        <v>-1400</v>
      </c>
      <c r="Y101" s="144">
        <f t="shared" si="87"/>
        <v>-4900</v>
      </c>
      <c r="Z101" s="144">
        <f t="shared" si="87"/>
        <v>-1400</v>
      </c>
      <c r="AA101" s="144">
        <f t="shared" si="87"/>
        <v>-1400</v>
      </c>
      <c r="AB101" s="144">
        <f t="shared" si="87"/>
        <v>-4900</v>
      </c>
      <c r="AC101" s="144">
        <f t="shared" si="86"/>
        <v>-1400</v>
      </c>
      <c r="AD101" s="144">
        <f t="shared" si="86"/>
        <v>-1400</v>
      </c>
      <c r="AE101" s="144">
        <f t="shared" si="86"/>
        <v>-4900</v>
      </c>
      <c r="AF101" s="144">
        <f t="shared" si="86"/>
        <v>-1400</v>
      </c>
      <c r="AG101" s="144">
        <f t="shared" si="86"/>
        <v>-1400</v>
      </c>
      <c r="AH101" s="144">
        <f t="shared" si="86"/>
        <v>-4900</v>
      </c>
      <c r="AI101" s="144">
        <f t="shared" si="86"/>
        <v>-1400</v>
      </c>
      <c r="AJ101" s="144">
        <f t="shared" si="86"/>
        <v>-1400</v>
      </c>
      <c r="AK101" s="144">
        <f t="shared" si="86"/>
        <v>-4900</v>
      </c>
      <c r="AL101" s="144">
        <f t="shared" si="86"/>
        <v>-1400</v>
      </c>
      <c r="AM101" s="144">
        <f t="shared" si="86"/>
        <v>-1400</v>
      </c>
      <c r="AN101" s="144">
        <f t="shared" si="86"/>
        <v>-4900</v>
      </c>
      <c r="AO101" s="144">
        <f t="shared" ref="AO101:BL101" si="88">SUM(AO102:AO108)</f>
        <v>-1400</v>
      </c>
      <c r="AP101" s="144">
        <f t="shared" si="88"/>
        <v>-1400</v>
      </c>
      <c r="AQ101" s="144">
        <f t="shared" si="88"/>
        <v>-4900</v>
      </c>
      <c r="AR101" s="144">
        <f t="shared" si="88"/>
        <v>-1400</v>
      </c>
      <c r="AS101" s="144">
        <f t="shared" si="88"/>
        <v>-1400</v>
      </c>
      <c r="AT101" s="144">
        <f t="shared" si="88"/>
        <v>-4900</v>
      </c>
      <c r="AU101" s="144">
        <f t="shared" si="88"/>
        <v>-1400</v>
      </c>
      <c r="AV101" s="144">
        <f t="shared" si="88"/>
        <v>-1400</v>
      </c>
      <c r="AW101" s="144">
        <f t="shared" si="88"/>
        <v>-4900</v>
      </c>
      <c r="AX101" s="144">
        <f t="shared" si="88"/>
        <v>-1400</v>
      </c>
      <c r="AY101" s="144">
        <f t="shared" si="88"/>
        <v>-1400</v>
      </c>
      <c r="AZ101" s="144">
        <f t="shared" si="88"/>
        <v>-4900</v>
      </c>
      <c r="BA101" s="144">
        <f t="shared" si="88"/>
        <v>-1400</v>
      </c>
      <c r="BB101" s="144">
        <f t="shared" si="88"/>
        <v>-1400</v>
      </c>
      <c r="BC101" s="144">
        <f t="shared" si="88"/>
        <v>-4900</v>
      </c>
      <c r="BD101" s="144">
        <f t="shared" si="88"/>
        <v>-1400</v>
      </c>
      <c r="BE101" s="144">
        <f t="shared" si="88"/>
        <v>-1400</v>
      </c>
      <c r="BF101" s="144">
        <f t="shared" si="88"/>
        <v>-4900</v>
      </c>
      <c r="BG101" s="144">
        <f t="shared" si="88"/>
        <v>-1400</v>
      </c>
      <c r="BH101" s="144">
        <f t="shared" si="88"/>
        <v>-1400</v>
      </c>
      <c r="BI101" s="144">
        <f t="shared" si="88"/>
        <v>-4900</v>
      </c>
      <c r="BJ101" s="144">
        <f t="shared" si="88"/>
        <v>-1400</v>
      </c>
      <c r="BK101" s="144">
        <f t="shared" si="88"/>
        <v>-1400</v>
      </c>
      <c r="BL101" s="144">
        <f t="shared" si="88"/>
        <v>-4900</v>
      </c>
      <c r="BM101" s="141"/>
      <c r="BN101" s="141"/>
    </row>
    <row r="102" spans="2:66">
      <c r="C102" s="125" t="s">
        <v>290</v>
      </c>
      <c r="D102" s="155"/>
      <c r="E102" s="141"/>
      <c r="F102" s="141"/>
      <c r="G102" s="141">
        <v>-3500</v>
      </c>
      <c r="H102" s="141"/>
      <c r="I102" s="141"/>
      <c r="J102" s="141">
        <v>-3500</v>
      </c>
      <c r="K102" s="141"/>
      <c r="L102" s="141"/>
      <c r="M102" s="141">
        <v>-3500</v>
      </c>
      <c r="N102" s="141"/>
      <c r="O102" s="141"/>
      <c r="P102" s="141">
        <v>-3500</v>
      </c>
      <c r="Q102" s="141"/>
      <c r="R102" s="141"/>
      <c r="S102" s="141">
        <v>-3500</v>
      </c>
      <c r="T102" s="141"/>
      <c r="U102" s="141"/>
      <c r="V102" s="141">
        <v>-3500</v>
      </c>
      <c r="W102" s="141"/>
      <c r="X102" s="141"/>
      <c r="Y102" s="141">
        <v>-3500</v>
      </c>
      <c r="Z102" s="141"/>
      <c r="AA102" s="141"/>
      <c r="AB102" s="141">
        <v>-3500</v>
      </c>
      <c r="AC102" s="141"/>
      <c r="AD102" s="141"/>
      <c r="AE102" s="141">
        <v>-3500</v>
      </c>
      <c r="AF102" s="141"/>
      <c r="AG102" s="141"/>
      <c r="AH102" s="141">
        <v>-3500</v>
      </c>
      <c r="AI102" s="141"/>
      <c r="AJ102" s="141"/>
      <c r="AK102" s="141">
        <v>-3500</v>
      </c>
      <c r="AL102" s="141"/>
      <c r="AM102" s="141"/>
      <c r="AN102" s="141">
        <v>-3500</v>
      </c>
      <c r="AO102" s="141"/>
      <c r="AP102" s="141"/>
      <c r="AQ102" s="141">
        <v>-3500</v>
      </c>
      <c r="AR102" s="141"/>
      <c r="AS102" s="141"/>
      <c r="AT102" s="141">
        <v>-3500</v>
      </c>
      <c r="AU102" s="141"/>
      <c r="AV102" s="141"/>
      <c r="AW102" s="141">
        <v>-3500</v>
      </c>
      <c r="AX102" s="141"/>
      <c r="AY102" s="141"/>
      <c r="AZ102" s="141">
        <v>-3500</v>
      </c>
      <c r="BA102" s="141"/>
      <c r="BB102" s="141"/>
      <c r="BC102" s="141">
        <v>-3500</v>
      </c>
      <c r="BD102" s="141"/>
      <c r="BE102" s="141"/>
      <c r="BF102" s="141">
        <v>-3500</v>
      </c>
      <c r="BG102" s="141"/>
      <c r="BH102" s="141"/>
      <c r="BI102" s="141">
        <v>-3500</v>
      </c>
      <c r="BJ102" s="141"/>
      <c r="BK102" s="141"/>
      <c r="BL102" s="141">
        <v>-3500</v>
      </c>
      <c r="BM102" s="141"/>
      <c r="BN102" s="141"/>
    </row>
    <row r="103" spans="2:66">
      <c r="C103" s="8" t="s">
        <v>291</v>
      </c>
      <c r="D103" s="155"/>
      <c r="E103" s="141">
        <v>-750</v>
      </c>
      <c r="F103" s="141">
        <v>-750</v>
      </c>
      <c r="G103" s="141">
        <v>-750</v>
      </c>
      <c r="H103" s="141">
        <v>-750</v>
      </c>
      <c r="I103" s="141">
        <v>-750</v>
      </c>
      <c r="J103" s="141">
        <v>-750</v>
      </c>
      <c r="K103" s="141">
        <v>-750</v>
      </c>
      <c r="L103" s="141">
        <v>-750</v>
      </c>
      <c r="M103" s="141">
        <v>-750</v>
      </c>
      <c r="N103" s="141">
        <v>-750</v>
      </c>
      <c r="O103" s="141">
        <v>-750</v>
      </c>
      <c r="P103" s="141">
        <v>-750</v>
      </c>
      <c r="Q103" s="141">
        <v>-750</v>
      </c>
      <c r="R103" s="141">
        <v>-750</v>
      </c>
      <c r="S103" s="141">
        <v>-750</v>
      </c>
      <c r="T103" s="141">
        <v>-750</v>
      </c>
      <c r="U103" s="141">
        <v>-750</v>
      </c>
      <c r="V103" s="141">
        <v>-750</v>
      </c>
      <c r="W103" s="141">
        <v>-750</v>
      </c>
      <c r="X103" s="141">
        <v>-750</v>
      </c>
      <c r="Y103" s="141">
        <v>-750</v>
      </c>
      <c r="Z103" s="141">
        <v>-750</v>
      </c>
      <c r="AA103" s="141">
        <v>-750</v>
      </c>
      <c r="AB103" s="141">
        <v>-750</v>
      </c>
      <c r="AC103" s="141">
        <v>-750</v>
      </c>
      <c r="AD103" s="141">
        <v>-750</v>
      </c>
      <c r="AE103" s="141">
        <v>-750</v>
      </c>
      <c r="AF103" s="141">
        <v>-750</v>
      </c>
      <c r="AG103" s="141">
        <v>-750</v>
      </c>
      <c r="AH103" s="141">
        <v>-750</v>
      </c>
      <c r="AI103" s="141">
        <v>-750</v>
      </c>
      <c r="AJ103" s="141">
        <v>-750</v>
      </c>
      <c r="AK103" s="141">
        <v>-750</v>
      </c>
      <c r="AL103" s="141">
        <v>-750</v>
      </c>
      <c r="AM103" s="141">
        <v>-750</v>
      </c>
      <c r="AN103" s="141">
        <v>-750</v>
      </c>
      <c r="AO103" s="141">
        <v>-750</v>
      </c>
      <c r="AP103" s="141">
        <v>-750</v>
      </c>
      <c r="AQ103" s="141">
        <v>-750</v>
      </c>
      <c r="AR103" s="141">
        <v>-750</v>
      </c>
      <c r="AS103" s="141">
        <v>-750</v>
      </c>
      <c r="AT103" s="141">
        <v>-750</v>
      </c>
      <c r="AU103" s="141">
        <v>-750</v>
      </c>
      <c r="AV103" s="141">
        <v>-750</v>
      </c>
      <c r="AW103" s="141">
        <v>-750</v>
      </c>
      <c r="AX103" s="141">
        <v>-750</v>
      </c>
      <c r="AY103" s="141">
        <v>-750</v>
      </c>
      <c r="AZ103" s="141">
        <v>-750</v>
      </c>
      <c r="BA103" s="141">
        <v>-750</v>
      </c>
      <c r="BB103" s="141">
        <v>-750</v>
      </c>
      <c r="BC103" s="141">
        <v>-750</v>
      </c>
      <c r="BD103" s="141">
        <v>-750</v>
      </c>
      <c r="BE103" s="141">
        <v>-750</v>
      </c>
      <c r="BF103" s="141">
        <v>-750</v>
      </c>
      <c r="BG103" s="141">
        <v>-750</v>
      </c>
      <c r="BH103" s="141">
        <v>-750</v>
      </c>
      <c r="BI103" s="141">
        <v>-750</v>
      </c>
      <c r="BJ103" s="141">
        <v>-750</v>
      </c>
      <c r="BK103" s="141">
        <v>-750</v>
      </c>
      <c r="BL103" s="141">
        <v>-750</v>
      </c>
      <c r="BM103" s="141"/>
      <c r="BN103" s="141"/>
    </row>
    <row r="104" spans="2:66">
      <c r="C104" s="125" t="s">
        <v>292</v>
      </c>
      <c r="D104" s="155"/>
      <c r="E104" s="141">
        <v>-500</v>
      </c>
      <c r="F104" s="141">
        <v>-500</v>
      </c>
      <c r="G104" s="141">
        <v>-500</v>
      </c>
      <c r="H104" s="141">
        <v>-500</v>
      </c>
      <c r="I104" s="141">
        <v>-500</v>
      </c>
      <c r="J104" s="141">
        <v>-500</v>
      </c>
      <c r="K104" s="141">
        <v>-500</v>
      </c>
      <c r="L104" s="141">
        <v>-500</v>
      </c>
      <c r="M104" s="141">
        <v>-500</v>
      </c>
      <c r="N104" s="141">
        <v>-500</v>
      </c>
      <c r="O104" s="141">
        <v>-500</v>
      </c>
      <c r="P104" s="141">
        <v>-500</v>
      </c>
      <c r="Q104" s="141">
        <v>-500</v>
      </c>
      <c r="R104" s="141">
        <v>-500</v>
      </c>
      <c r="S104" s="141">
        <v>-500</v>
      </c>
      <c r="T104" s="141">
        <v>-500</v>
      </c>
      <c r="U104" s="141">
        <v>-500</v>
      </c>
      <c r="V104" s="141">
        <v>-500</v>
      </c>
      <c r="W104" s="141">
        <v>-500</v>
      </c>
      <c r="X104" s="141">
        <v>-500</v>
      </c>
      <c r="Y104" s="141">
        <v>-500</v>
      </c>
      <c r="Z104" s="141">
        <v>-500</v>
      </c>
      <c r="AA104" s="141">
        <v>-500</v>
      </c>
      <c r="AB104" s="141">
        <v>-500</v>
      </c>
      <c r="AC104" s="141">
        <v>-500</v>
      </c>
      <c r="AD104" s="141">
        <v>-500</v>
      </c>
      <c r="AE104" s="141">
        <v>-500</v>
      </c>
      <c r="AF104" s="141">
        <v>-500</v>
      </c>
      <c r="AG104" s="141">
        <v>-500</v>
      </c>
      <c r="AH104" s="141">
        <v>-500</v>
      </c>
      <c r="AI104" s="141">
        <v>-500</v>
      </c>
      <c r="AJ104" s="141">
        <v>-500</v>
      </c>
      <c r="AK104" s="141">
        <v>-500</v>
      </c>
      <c r="AL104" s="141">
        <v>-500</v>
      </c>
      <c r="AM104" s="141">
        <v>-500</v>
      </c>
      <c r="AN104" s="141">
        <v>-500</v>
      </c>
      <c r="AO104" s="141">
        <v>-500</v>
      </c>
      <c r="AP104" s="141">
        <v>-500</v>
      </c>
      <c r="AQ104" s="141">
        <v>-500</v>
      </c>
      <c r="AR104" s="141">
        <v>-500</v>
      </c>
      <c r="AS104" s="141">
        <v>-500</v>
      </c>
      <c r="AT104" s="141">
        <v>-500</v>
      </c>
      <c r="AU104" s="141">
        <v>-500</v>
      </c>
      <c r="AV104" s="141">
        <v>-500</v>
      </c>
      <c r="AW104" s="141">
        <v>-500</v>
      </c>
      <c r="AX104" s="141">
        <v>-500</v>
      </c>
      <c r="AY104" s="141">
        <v>-500</v>
      </c>
      <c r="AZ104" s="141">
        <v>-500</v>
      </c>
      <c r="BA104" s="141">
        <v>-500</v>
      </c>
      <c r="BB104" s="141">
        <v>-500</v>
      </c>
      <c r="BC104" s="141">
        <v>-500</v>
      </c>
      <c r="BD104" s="141">
        <v>-500</v>
      </c>
      <c r="BE104" s="141">
        <v>-500</v>
      </c>
      <c r="BF104" s="141">
        <v>-500</v>
      </c>
      <c r="BG104" s="141">
        <v>-500</v>
      </c>
      <c r="BH104" s="141">
        <v>-500</v>
      </c>
      <c r="BI104" s="141">
        <v>-500</v>
      </c>
      <c r="BJ104" s="141">
        <v>-500</v>
      </c>
      <c r="BK104" s="141">
        <v>-500</v>
      </c>
      <c r="BL104" s="141">
        <v>-500</v>
      </c>
      <c r="BM104" s="141"/>
      <c r="BN104" s="141"/>
    </row>
    <row r="105" spans="2:66">
      <c r="C105" s="126" t="s">
        <v>293</v>
      </c>
      <c r="D105" s="155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41"/>
      <c r="AJ105" s="141"/>
      <c r="AK105" s="141"/>
      <c r="AL105" s="141"/>
      <c r="AM105" s="141"/>
      <c r="AN105" s="141"/>
      <c r="AO105" s="141"/>
      <c r="AP105" s="141"/>
      <c r="AQ105" s="141"/>
      <c r="AR105" s="141"/>
      <c r="AS105" s="141"/>
      <c r="AT105" s="141"/>
      <c r="AU105" s="141"/>
      <c r="AV105" s="141"/>
      <c r="AW105" s="141"/>
      <c r="AX105" s="141"/>
      <c r="AY105" s="141"/>
      <c r="AZ105" s="141"/>
      <c r="BA105" s="141"/>
      <c r="BB105" s="141"/>
      <c r="BC105" s="141"/>
      <c r="BD105" s="141"/>
      <c r="BE105" s="141"/>
      <c r="BF105" s="141"/>
      <c r="BG105" s="141"/>
      <c r="BH105" s="141"/>
      <c r="BI105" s="141"/>
      <c r="BJ105" s="141"/>
      <c r="BK105" s="141"/>
      <c r="BL105" s="141"/>
      <c r="BM105" s="141"/>
      <c r="BN105" s="141"/>
    </row>
    <row r="106" spans="2:66">
      <c r="C106" s="8" t="s">
        <v>294</v>
      </c>
      <c r="D106" s="155"/>
      <c r="E106" s="141">
        <v>-150</v>
      </c>
      <c r="F106" s="141">
        <v>-150</v>
      </c>
      <c r="G106" s="141">
        <v>-150</v>
      </c>
      <c r="H106" s="141">
        <v>-150</v>
      </c>
      <c r="I106" s="141">
        <v>-150</v>
      </c>
      <c r="J106" s="141">
        <v>-150</v>
      </c>
      <c r="K106" s="141">
        <v>-150</v>
      </c>
      <c r="L106" s="141">
        <v>-150</v>
      </c>
      <c r="M106" s="141">
        <v>-150</v>
      </c>
      <c r="N106" s="141">
        <v>-150</v>
      </c>
      <c r="O106" s="141">
        <v>-150</v>
      </c>
      <c r="P106" s="141">
        <v>-150</v>
      </c>
      <c r="Q106" s="141">
        <v>-150</v>
      </c>
      <c r="R106" s="141">
        <v>-150</v>
      </c>
      <c r="S106" s="141">
        <v>-150</v>
      </c>
      <c r="T106" s="141">
        <v>-150</v>
      </c>
      <c r="U106" s="141">
        <v>-150</v>
      </c>
      <c r="V106" s="141">
        <v>-150</v>
      </c>
      <c r="W106" s="141">
        <v>-150</v>
      </c>
      <c r="X106" s="141">
        <v>-150</v>
      </c>
      <c r="Y106" s="141">
        <v>-150</v>
      </c>
      <c r="Z106" s="141">
        <v>-150</v>
      </c>
      <c r="AA106" s="141">
        <v>-150</v>
      </c>
      <c r="AB106" s="141">
        <v>-150</v>
      </c>
      <c r="AC106" s="141">
        <v>-150</v>
      </c>
      <c r="AD106" s="141">
        <v>-150</v>
      </c>
      <c r="AE106" s="141">
        <v>-150</v>
      </c>
      <c r="AF106" s="141">
        <v>-150</v>
      </c>
      <c r="AG106" s="141">
        <v>-150</v>
      </c>
      <c r="AH106" s="141">
        <v>-150</v>
      </c>
      <c r="AI106" s="141">
        <v>-150</v>
      </c>
      <c r="AJ106" s="141">
        <v>-150</v>
      </c>
      <c r="AK106" s="141">
        <v>-150</v>
      </c>
      <c r="AL106" s="141">
        <v>-150</v>
      </c>
      <c r="AM106" s="141">
        <v>-150</v>
      </c>
      <c r="AN106" s="141">
        <v>-150</v>
      </c>
      <c r="AO106" s="141">
        <v>-150</v>
      </c>
      <c r="AP106" s="141">
        <v>-150</v>
      </c>
      <c r="AQ106" s="141">
        <v>-150</v>
      </c>
      <c r="AR106" s="141">
        <v>-150</v>
      </c>
      <c r="AS106" s="141">
        <v>-150</v>
      </c>
      <c r="AT106" s="141">
        <v>-150</v>
      </c>
      <c r="AU106" s="141">
        <v>-150</v>
      </c>
      <c r="AV106" s="141">
        <v>-150</v>
      </c>
      <c r="AW106" s="141">
        <v>-150</v>
      </c>
      <c r="AX106" s="141">
        <v>-150</v>
      </c>
      <c r="AY106" s="141">
        <v>-150</v>
      </c>
      <c r="AZ106" s="141">
        <v>-150</v>
      </c>
      <c r="BA106" s="141">
        <v>-150</v>
      </c>
      <c r="BB106" s="141">
        <v>-150</v>
      </c>
      <c r="BC106" s="141">
        <v>-150</v>
      </c>
      <c r="BD106" s="141">
        <v>-150</v>
      </c>
      <c r="BE106" s="141">
        <v>-150</v>
      </c>
      <c r="BF106" s="141">
        <v>-150</v>
      </c>
      <c r="BG106" s="141">
        <v>-150</v>
      </c>
      <c r="BH106" s="141">
        <v>-150</v>
      </c>
      <c r="BI106" s="141">
        <v>-150</v>
      </c>
      <c r="BJ106" s="141">
        <v>-150</v>
      </c>
      <c r="BK106" s="141">
        <v>-150</v>
      </c>
      <c r="BL106" s="141">
        <v>-150</v>
      </c>
      <c r="BM106" s="141"/>
      <c r="BN106" s="141"/>
    </row>
    <row r="107" spans="2:66">
      <c r="C107" s="8" t="s">
        <v>295</v>
      </c>
      <c r="D107" s="155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41"/>
      <c r="AJ107" s="141"/>
      <c r="AK107" s="141"/>
      <c r="AL107" s="141"/>
      <c r="AM107" s="141"/>
      <c r="AN107" s="141"/>
      <c r="AO107" s="141"/>
      <c r="AP107" s="141"/>
      <c r="AQ107" s="141"/>
      <c r="AR107" s="141"/>
      <c r="AS107" s="141"/>
      <c r="AT107" s="141"/>
      <c r="AU107" s="141"/>
      <c r="AV107" s="141"/>
      <c r="AW107" s="141"/>
      <c r="AX107" s="141"/>
      <c r="AY107" s="141"/>
      <c r="AZ107" s="141"/>
      <c r="BA107" s="141"/>
      <c r="BB107" s="141"/>
      <c r="BC107" s="141"/>
      <c r="BD107" s="141"/>
      <c r="BE107" s="141"/>
      <c r="BF107" s="141"/>
      <c r="BG107" s="141"/>
      <c r="BH107" s="141"/>
      <c r="BI107" s="141"/>
      <c r="BJ107" s="141"/>
      <c r="BK107" s="141"/>
      <c r="BL107" s="141"/>
      <c r="BM107" s="141"/>
      <c r="BN107" s="141"/>
    </row>
    <row r="108" spans="2:66">
      <c r="C108" s="125" t="s">
        <v>296</v>
      </c>
      <c r="D108" s="155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41"/>
      <c r="AJ108" s="141"/>
      <c r="AK108" s="141"/>
      <c r="AL108" s="141"/>
      <c r="AM108" s="141"/>
      <c r="AN108" s="141"/>
      <c r="AO108" s="141"/>
      <c r="AP108" s="141"/>
      <c r="AQ108" s="141"/>
      <c r="AR108" s="141"/>
      <c r="AS108" s="141"/>
      <c r="AT108" s="141"/>
      <c r="AU108" s="141"/>
      <c r="AV108" s="141"/>
      <c r="AW108" s="141"/>
      <c r="AX108" s="141"/>
      <c r="AY108" s="141"/>
      <c r="AZ108" s="141"/>
      <c r="BA108" s="141"/>
      <c r="BB108" s="141"/>
      <c r="BC108" s="141"/>
      <c r="BD108" s="141"/>
      <c r="BE108" s="141"/>
      <c r="BF108" s="141"/>
      <c r="BG108" s="141"/>
      <c r="BH108" s="141"/>
      <c r="BI108" s="141"/>
      <c r="BJ108" s="141"/>
      <c r="BK108" s="141"/>
      <c r="BL108" s="141"/>
      <c r="BM108" s="141"/>
      <c r="BN108" s="141"/>
    </row>
    <row r="109" spans="2:66">
      <c r="C109" s="126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41"/>
      <c r="AG109" s="141"/>
      <c r="AH109" s="141"/>
      <c r="AI109" s="141"/>
      <c r="AJ109" s="141"/>
      <c r="AK109" s="141"/>
      <c r="AL109" s="141"/>
      <c r="AM109" s="141"/>
      <c r="AN109" s="141"/>
      <c r="AO109" s="141"/>
      <c r="AP109" s="141"/>
      <c r="AQ109" s="141"/>
      <c r="AR109" s="141"/>
      <c r="AS109" s="141"/>
      <c r="AT109" s="141"/>
      <c r="AU109" s="141"/>
      <c r="AV109" s="141"/>
      <c r="AW109" s="141"/>
      <c r="AX109" s="141"/>
      <c r="AY109" s="141"/>
      <c r="AZ109" s="141"/>
      <c r="BA109" s="141"/>
      <c r="BB109" s="141"/>
      <c r="BC109" s="141"/>
      <c r="BD109" s="141"/>
      <c r="BE109" s="141"/>
      <c r="BF109" s="141"/>
      <c r="BG109" s="141"/>
      <c r="BH109" s="141"/>
      <c r="BI109" s="141"/>
      <c r="BJ109" s="141"/>
      <c r="BK109" s="141"/>
      <c r="BL109" s="141"/>
      <c r="BM109" s="141"/>
      <c r="BN109" s="141"/>
    </row>
    <row r="110" spans="2:66">
      <c r="B110" s="129">
        <f>SUM(E110:AN110)</f>
        <v>-178447.5</v>
      </c>
      <c r="C110" s="130" t="s">
        <v>297</v>
      </c>
      <c r="D110" s="131"/>
      <c r="E110" s="144">
        <f>SUM(E111:E116)</f>
        <v>-4874</v>
      </c>
      <c r="F110" s="144">
        <f t="shared" ref="F110:AN110" si="89">SUM(F111:F116)</f>
        <v>-4874</v>
      </c>
      <c r="G110" s="144">
        <f t="shared" si="89"/>
        <v>-4874</v>
      </c>
      <c r="H110" s="144">
        <f t="shared" si="89"/>
        <v>-4882.5</v>
      </c>
      <c r="I110" s="144">
        <f t="shared" si="89"/>
        <v>-4882.5</v>
      </c>
      <c r="J110" s="144">
        <f t="shared" si="89"/>
        <v>-4882.5</v>
      </c>
      <c r="K110" s="144">
        <f t="shared" si="89"/>
        <v>-4908</v>
      </c>
      <c r="L110" s="144">
        <f t="shared" si="89"/>
        <v>-4908</v>
      </c>
      <c r="M110" s="144">
        <f t="shared" si="89"/>
        <v>-4908</v>
      </c>
      <c r="N110" s="144">
        <f t="shared" si="89"/>
        <v>-4908</v>
      </c>
      <c r="O110" s="144">
        <f t="shared" si="89"/>
        <v>-4908</v>
      </c>
      <c r="P110" s="144">
        <f t="shared" si="89"/>
        <v>-4908</v>
      </c>
      <c r="Q110" s="144">
        <f t="shared" ref="Q110:AB110" si="90">SUM(Q111:Q116)</f>
        <v>-4950.5</v>
      </c>
      <c r="R110" s="144">
        <f t="shared" si="90"/>
        <v>-4950.5</v>
      </c>
      <c r="S110" s="144">
        <f t="shared" si="90"/>
        <v>-4950.5</v>
      </c>
      <c r="T110" s="144">
        <f t="shared" si="90"/>
        <v>-4950.5</v>
      </c>
      <c r="U110" s="144">
        <f t="shared" si="90"/>
        <v>-4950.5</v>
      </c>
      <c r="V110" s="144">
        <f t="shared" si="90"/>
        <v>-4950.5</v>
      </c>
      <c r="W110" s="144">
        <f t="shared" si="90"/>
        <v>-4950.5</v>
      </c>
      <c r="X110" s="144">
        <f t="shared" si="90"/>
        <v>-4950.5</v>
      </c>
      <c r="Y110" s="144">
        <f t="shared" si="90"/>
        <v>-4950.5</v>
      </c>
      <c r="Z110" s="144">
        <f t="shared" si="90"/>
        <v>-4950.5</v>
      </c>
      <c r="AA110" s="144">
        <f t="shared" si="90"/>
        <v>-4950.5</v>
      </c>
      <c r="AB110" s="144">
        <f t="shared" si="90"/>
        <v>-4950.5</v>
      </c>
      <c r="AC110" s="144">
        <f t="shared" si="89"/>
        <v>-5027</v>
      </c>
      <c r="AD110" s="144">
        <f t="shared" si="89"/>
        <v>-5027</v>
      </c>
      <c r="AE110" s="144">
        <f t="shared" si="89"/>
        <v>-5027</v>
      </c>
      <c r="AF110" s="144">
        <f t="shared" si="89"/>
        <v>-5027</v>
      </c>
      <c r="AG110" s="144">
        <f t="shared" si="89"/>
        <v>-5027</v>
      </c>
      <c r="AH110" s="144">
        <f t="shared" si="89"/>
        <v>-5027</v>
      </c>
      <c r="AI110" s="144">
        <f t="shared" si="89"/>
        <v>-5027</v>
      </c>
      <c r="AJ110" s="144">
        <f t="shared" si="89"/>
        <v>-5027</v>
      </c>
      <c r="AK110" s="144">
        <f t="shared" si="89"/>
        <v>-5027</v>
      </c>
      <c r="AL110" s="144">
        <f t="shared" si="89"/>
        <v>-5027</v>
      </c>
      <c r="AM110" s="144">
        <f t="shared" si="89"/>
        <v>-5027</v>
      </c>
      <c r="AN110" s="144">
        <f t="shared" si="89"/>
        <v>-5027</v>
      </c>
      <c r="AO110" s="144">
        <f t="shared" ref="AO110:BL110" si="91">SUM(AO111:AO116)</f>
        <v>-5103.5</v>
      </c>
      <c r="AP110" s="144">
        <f t="shared" si="91"/>
        <v>-5103.5</v>
      </c>
      <c r="AQ110" s="144">
        <f t="shared" si="91"/>
        <v>-5103.5</v>
      </c>
      <c r="AR110" s="144">
        <f t="shared" si="91"/>
        <v>-5103.5</v>
      </c>
      <c r="AS110" s="144">
        <f t="shared" si="91"/>
        <v>-5103.5</v>
      </c>
      <c r="AT110" s="144">
        <f t="shared" si="91"/>
        <v>-5103.5</v>
      </c>
      <c r="AU110" s="144">
        <f t="shared" si="91"/>
        <v>-5103.5</v>
      </c>
      <c r="AV110" s="144">
        <f t="shared" si="91"/>
        <v>-5103.5</v>
      </c>
      <c r="AW110" s="144">
        <f t="shared" si="91"/>
        <v>-5103.5</v>
      </c>
      <c r="AX110" s="144">
        <f t="shared" si="91"/>
        <v>-5103.5</v>
      </c>
      <c r="AY110" s="144">
        <f t="shared" si="91"/>
        <v>-5103.5</v>
      </c>
      <c r="AZ110" s="144">
        <f t="shared" si="91"/>
        <v>-5103.5</v>
      </c>
      <c r="BA110" s="144">
        <f t="shared" si="91"/>
        <v>-5180</v>
      </c>
      <c r="BB110" s="144">
        <f t="shared" si="91"/>
        <v>-5180</v>
      </c>
      <c r="BC110" s="144">
        <f t="shared" si="91"/>
        <v>-5180</v>
      </c>
      <c r="BD110" s="144">
        <f t="shared" si="91"/>
        <v>-5180</v>
      </c>
      <c r="BE110" s="144">
        <f t="shared" si="91"/>
        <v>-5180</v>
      </c>
      <c r="BF110" s="144">
        <f t="shared" si="91"/>
        <v>-5180</v>
      </c>
      <c r="BG110" s="144">
        <f t="shared" si="91"/>
        <v>-5180</v>
      </c>
      <c r="BH110" s="144">
        <f t="shared" si="91"/>
        <v>-5180</v>
      </c>
      <c r="BI110" s="144">
        <f t="shared" si="91"/>
        <v>-5180</v>
      </c>
      <c r="BJ110" s="144">
        <f t="shared" si="91"/>
        <v>-5180</v>
      </c>
      <c r="BK110" s="144">
        <f t="shared" si="91"/>
        <v>-5180</v>
      </c>
      <c r="BL110" s="144">
        <f t="shared" si="91"/>
        <v>-5180</v>
      </c>
      <c r="BM110" s="141"/>
      <c r="BN110" s="141"/>
    </row>
    <row r="111" spans="2:66">
      <c r="C111" s="126" t="s">
        <v>298</v>
      </c>
      <c r="D111" s="155">
        <v>-8.5</v>
      </c>
      <c r="E111" s="141">
        <f>SUM($D111*COUNTIF(E19:E58,"&lt;0"))</f>
        <v>-34</v>
      </c>
      <c r="F111" s="141">
        <f t="shared" ref="F111:BL111" si="92">SUM($D111*COUNTIF(F19:F58,"&lt;0"))</f>
        <v>-34</v>
      </c>
      <c r="G111" s="141">
        <f t="shared" si="92"/>
        <v>-34</v>
      </c>
      <c r="H111" s="141">
        <f t="shared" si="92"/>
        <v>-42.5</v>
      </c>
      <c r="I111" s="141">
        <f t="shared" si="92"/>
        <v>-42.5</v>
      </c>
      <c r="J111" s="141">
        <f t="shared" si="92"/>
        <v>-42.5</v>
      </c>
      <c r="K111" s="141">
        <f t="shared" si="92"/>
        <v>-68</v>
      </c>
      <c r="L111" s="141">
        <f t="shared" si="92"/>
        <v>-68</v>
      </c>
      <c r="M111" s="141">
        <f t="shared" si="92"/>
        <v>-68</v>
      </c>
      <c r="N111" s="141">
        <f t="shared" si="92"/>
        <v>-68</v>
      </c>
      <c r="O111" s="141">
        <f t="shared" si="92"/>
        <v>-68</v>
      </c>
      <c r="P111" s="141">
        <f t="shared" si="92"/>
        <v>-68</v>
      </c>
      <c r="Q111" s="141">
        <f t="shared" si="92"/>
        <v>-110.5</v>
      </c>
      <c r="R111" s="141">
        <f t="shared" si="92"/>
        <v>-110.5</v>
      </c>
      <c r="S111" s="141">
        <f t="shared" si="92"/>
        <v>-110.5</v>
      </c>
      <c r="T111" s="141">
        <f t="shared" si="92"/>
        <v>-110.5</v>
      </c>
      <c r="U111" s="141">
        <f t="shared" si="92"/>
        <v>-110.5</v>
      </c>
      <c r="V111" s="141">
        <f t="shared" si="92"/>
        <v>-110.5</v>
      </c>
      <c r="W111" s="141">
        <f t="shared" si="92"/>
        <v>-110.5</v>
      </c>
      <c r="X111" s="141">
        <f t="shared" si="92"/>
        <v>-110.5</v>
      </c>
      <c r="Y111" s="141">
        <f t="shared" si="92"/>
        <v>-110.5</v>
      </c>
      <c r="Z111" s="141">
        <f t="shared" si="92"/>
        <v>-110.5</v>
      </c>
      <c r="AA111" s="141">
        <f t="shared" si="92"/>
        <v>-110.5</v>
      </c>
      <c r="AB111" s="141">
        <f t="shared" si="92"/>
        <v>-110.5</v>
      </c>
      <c r="AC111" s="141">
        <f t="shared" si="92"/>
        <v>-187</v>
      </c>
      <c r="AD111" s="141">
        <f t="shared" si="92"/>
        <v>-187</v>
      </c>
      <c r="AE111" s="141">
        <f t="shared" si="92"/>
        <v>-187</v>
      </c>
      <c r="AF111" s="141">
        <f t="shared" si="92"/>
        <v>-187</v>
      </c>
      <c r="AG111" s="141">
        <f t="shared" si="92"/>
        <v>-187</v>
      </c>
      <c r="AH111" s="141">
        <f t="shared" si="92"/>
        <v>-187</v>
      </c>
      <c r="AI111" s="141">
        <f t="shared" si="92"/>
        <v>-187</v>
      </c>
      <c r="AJ111" s="141">
        <f t="shared" si="92"/>
        <v>-187</v>
      </c>
      <c r="AK111" s="141">
        <f t="shared" si="92"/>
        <v>-187</v>
      </c>
      <c r="AL111" s="141">
        <f t="shared" si="92"/>
        <v>-187</v>
      </c>
      <c r="AM111" s="141">
        <f t="shared" si="92"/>
        <v>-187</v>
      </c>
      <c r="AN111" s="141">
        <f t="shared" si="92"/>
        <v>-187</v>
      </c>
      <c r="AO111" s="141">
        <f t="shared" si="92"/>
        <v>-263.5</v>
      </c>
      <c r="AP111" s="141">
        <f t="shared" si="92"/>
        <v>-263.5</v>
      </c>
      <c r="AQ111" s="141">
        <f t="shared" si="92"/>
        <v>-263.5</v>
      </c>
      <c r="AR111" s="141">
        <f t="shared" si="92"/>
        <v>-263.5</v>
      </c>
      <c r="AS111" s="141">
        <f t="shared" si="92"/>
        <v>-263.5</v>
      </c>
      <c r="AT111" s="141">
        <f t="shared" si="92"/>
        <v>-263.5</v>
      </c>
      <c r="AU111" s="141">
        <f t="shared" si="92"/>
        <v>-263.5</v>
      </c>
      <c r="AV111" s="141">
        <f t="shared" si="92"/>
        <v>-263.5</v>
      </c>
      <c r="AW111" s="141">
        <f t="shared" si="92"/>
        <v>-263.5</v>
      </c>
      <c r="AX111" s="141">
        <f t="shared" si="92"/>
        <v>-263.5</v>
      </c>
      <c r="AY111" s="141">
        <f t="shared" si="92"/>
        <v>-263.5</v>
      </c>
      <c r="AZ111" s="141">
        <f t="shared" si="92"/>
        <v>-263.5</v>
      </c>
      <c r="BA111" s="141">
        <f t="shared" si="92"/>
        <v>-340</v>
      </c>
      <c r="BB111" s="141">
        <f t="shared" si="92"/>
        <v>-340</v>
      </c>
      <c r="BC111" s="141">
        <f t="shared" si="92"/>
        <v>-340</v>
      </c>
      <c r="BD111" s="141">
        <f t="shared" si="92"/>
        <v>-340</v>
      </c>
      <c r="BE111" s="141">
        <f t="shared" si="92"/>
        <v>-340</v>
      </c>
      <c r="BF111" s="141">
        <f t="shared" si="92"/>
        <v>-340</v>
      </c>
      <c r="BG111" s="141">
        <f t="shared" si="92"/>
        <v>-340</v>
      </c>
      <c r="BH111" s="141">
        <f t="shared" si="92"/>
        <v>-340</v>
      </c>
      <c r="BI111" s="141">
        <f t="shared" si="92"/>
        <v>-340</v>
      </c>
      <c r="BJ111" s="141">
        <f t="shared" si="92"/>
        <v>-340</v>
      </c>
      <c r="BK111" s="141">
        <f t="shared" si="92"/>
        <v>-340</v>
      </c>
      <c r="BL111" s="141">
        <f t="shared" si="92"/>
        <v>-340</v>
      </c>
      <c r="BM111" s="141"/>
      <c r="BN111" s="141"/>
    </row>
    <row r="112" spans="2:66">
      <c r="C112" s="125" t="s">
        <v>299</v>
      </c>
      <c r="D112" s="155"/>
      <c r="E112" s="141">
        <v>-50</v>
      </c>
      <c r="F112" s="141">
        <v>-50</v>
      </c>
      <c r="G112" s="141">
        <v>-50</v>
      </c>
      <c r="H112" s="141">
        <v>-50</v>
      </c>
      <c r="I112" s="141">
        <v>-50</v>
      </c>
      <c r="J112" s="141">
        <v>-50</v>
      </c>
      <c r="K112" s="141">
        <v>-50</v>
      </c>
      <c r="L112" s="141">
        <v>-50</v>
      </c>
      <c r="M112" s="141">
        <v>-50</v>
      </c>
      <c r="N112" s="141">
        <v>-50</v>
      </c>
      <c r="O112" s="141">
        <v>-50</v>
      </c>
      <c r="P112" s="141">
        <v>-50</v>
      </c>
      <c r="Q112" s="141">
        <v>-50</v>
      </c>
      <c r="R112" s="141">
        <v>-50</v>
      </c>
      <c r="S112" s="141">
        <v>-50</v>
      </c>
      <c r="T112" s="141">
        <v>-50</v>
      </c>
      <c r="U112" s="141">
        <v>-50</v>
      </c>
      <c r="V112" s="141">
        <v>-50</v>
      </c>
      <c r="W112" s="141">
        <v>-50</v>
      </c>
      <c r="X112" s="141">
        <v>-50</v>
      </c>
      <c r="Y112" s="141">
        <v>-50</v>
      </c>
      <c r="Z112" s="141">
        <v>-50</v>
      </c>
      <c r="AA112" s="141">
        <v>-50</v>
      </c>
      <c r="AB112" s="141">
        <v>-50</v>
      </c>
      <c r="AC112" s="141">
        <v>-50</v>
      </c>
      <c r="AD112" s="141">
        <v>-50</v>
      </c>
      <c r="AE112" s="141">
        <v>-50</v>
      </c>
      <c r="AF112" s="141">
        <v>-50</v>
      </c>
      <c r="AG112" s="141">
        <v>-50</v>
      </c>
      <c r="AH112" s="141">
        <v>-50</v>
      </c>
      <c r="AI112" s="141">
        <v>-50</v>
      </c>
      <c r="AJ112" s="141">
        <v>-50</v>
      </c>
      <c r="AK112" s="141">
        <v>-50</v>
      </c>
      <c r="AL112" s="141">
        <v>-50</v>
      </c>
      <c r="AM112" s="141">
        <v>-50</v>
      </c>
      <c r="AN112" s="141">
        <v>-50</v>
      </c>
      <c r="AO112" s="141">
        <v>-50</v>
      </c>
      <c r="AP112" s="141">
        <v>-50</v>
      </c>
      <c r="AQ112" s="141">
        <v>-50</v>
      </c>
      <c r="AR112" s="141">
        <v>-50</v>
      </c>
      <c r="AS112" s="141">
        <v>-50</v>
      </c>
      <c r="AT112" s="141">
        <v>-50</v>
      </c>
      <c r="AU112" s="141">
        <v>-50</v>
      </c>
      <c r="AV112" s="141">
        <v>-50</v>
      </c>
      <c r="AW112" s="141">
        <v>-50</v>
      </c>
      <c r="AX112" s="141">
        <v>-50</v>
      </c>
      <c r="AY112" s="141">
        <v>-50</v>
      </c>
      <c r="AZ112" s="141">
        <v>-50</v>
      </c>
      <c r="BA112" s="141">
        <v>-50</v>
      </c>
      <c r="BB112" s="141">
        <v>-50</v>
      </c>
      <c r="BC112" s="141">
        <v>-50</v>
      </c>
      <c r="BD112" s="141">
        <v>-50</v>
      </c>
      <c r="BE112" s="141">
        <v>-50</v>
      </c>
      <c r="BF112" s="141">
        <v>-50</v>
      </c>
      <c r="BG112" s="141">
        <v>-50</v>
      </c>
      <c r="BH112" s="141">
        <v>-50</v>
      </c>
      <c r="BI112" s="141">
        <v>-50</v>
      </c>
      <c r="BJ112" s="141">
        <v>-50</v>
      </c>
      <c r="BK112" s="141">
        <v>-50</v>
      </c>
      <c r="BL112" s="141">
        <v>-50</v>
      </c>
      <c r="BM112" s="141"/>
      <c r="BN112" s="141"/>
    </row>
    <row r="113" spans="2:66">
      <c r="C113" s="8" t="s">
        <v>300</v>
      </c>
      <c r="D113" s="155"/>
      <c r="E113" s="141">
        <v>-40</v>
      </c>
      <c r="F113" s="141">
        <v>-40</v>
      </c>
      <c r="G113" s="141">
        <v>-40</v>
      </c>
      <c r="H113" s="141">
        <v>-40</v>
      </c>
      <c r="I113" s="141">
        <v>-40</v>
      </c>
      <c r="J113" s="141">
        <v>-40</v>
      </c>
      <c r="K113" s="141">
        <v>-40</v>
      </c>
      <c r="L113" s="141">
        <v>-40</v>
      </c>
      <c r="M113" s="141">
        <v>-40</v>
      </c>
      <c r="N113" s="141">
        <v>-40</v>
      </c>
      <c r="O113" s="141">
        <v>-40</v>
      </c>
      <c r="P113" s="141">
        <v>-40</v>
      </c>
      <c r="Q113" s="141">
        <v>-40</v>
      </c>
      <c r="R113" s="141">
        <v>-40</v>
      </c>
      <c r="S113" s="141">
        <v>-40</v>
      </c>
      <c r="T113" s="141">
        <v>-40</v>
      </c>
      <c r="U113" s="141">
        <v>-40</v>
      </c>
      <c r="V113" s="141">
        <v>-40</v>
      </c>
      <c r="W113" s="141">
        <v>-40</v>
      </c>
      <c r="X113" s="141">
        <v>-40</v>
      </c>
      <c r="Y113" s="141">
        <v>-40</v>
      </c>
      <c r="Z113" s="141">
        <v>-40</v>
      </c>
      <c r="AA113" s="141">
        <v>-40</v>
      </c>
      <c r="AB113" s="141">
        <v>-40</v>
      </c>
      <c r="AC113" s="141">
        <v>-40</v>
      </c>
      <c r="AD113" s="141">
        <v>-40</v>
      </c>
      <c r="AE113" s="141">
        <v>-40</v>
      </c>
      <c r="AF113" s="141">
        <v>-40</v>
      </c>
      <c r="AG113" s="141">
        <v>-40</v>
      </c>
      <c r="AH113" s="141">
        <v>-40</v>
      </c>
      <c r="AI113" s="141">
        <v>-40</v>
      </c>
      <c r="AJ113" s="141">
        <v>-40</v>
      </c>
      <c r="AK113" s="141">
        <v>-40</v>
      </c>
      <c r="AL113" s="141">
        <v>-40</v>
      </c>
      <c r="AM113" s="141">
        <v>-40</v>
      </c>
      <c r="AN113" s="141">
        <v>-40</v>
      </c>
      <c r="AO113" s="141">
        <v>-40</v>
      </c>
      <c r="AP113" s="141">
        <v>-40</v>
      </c>
      <c r="AQ113" s="141">
        <v>-40</v>
      </c>
      <c r="AR113" s="141">
        <v>-40</v>
      </c>
      <c r="AS113" s="141">
        <v>-40</v>
      </c>
      <c r="AT113" s="141">
        <v>-40</v>
      </c>
      <c r="AU113" s="141">
        <v>-40</v>
      </c>
      <c r="AV113" s="141">
        <v>-40</v>
      </c>
      <c r="AW113" s="141">
        <v>-40</v>
      </c>
      <c r="AX113" s="141">
        <v>-40</v>
      </c>
      <c r="AY113" s="141">
        <v>-40</v>
      </c>
      <c r="AZ113" s="141">
        <v>-40</v>
      </c>
      <c r="BA113" s="141">
        <v>-40</v>
      </c>
      <c r="BB113" s="141">
        <v>-40</v>
      </c>
      <c r="BC113" s="141">
        <v>-40</v>
      </c>
      <c r="BD113" s="141">
        <v>-40</v>
      </c>
      <c r="BE113" s="141">
        <v>-40</v>
      </c>
      <c r="BF113" s="141">
        <v>-40</v>
      </c>
      <c r="BG113" s="141">
        <v>-40</v>
      </c>
      <c r="BH113" s="141">
        <v>-40</v>
      </c>
      <c r="BI113" s="141">
        <v>-40</v>
      </c>
      <c r="BJ113" s="141">
        <v>-40</v>
      </c>
      <c r="BK113" s="141">
        <v>-40</v>
      </c>
      <c r="BL113" s="141">
        <v>-40</v>
      </c>
      <c r="BM113" s="141"/>
      <c r="BN113" s="141"/>
    </row>
    <row r="114" spans="2:66">
      <c r="C114" s="125" t="s">
        <v>301</v>
      </c>
      <c r="D114" s="155"/>
      <c r="E114" s="141">
        <v>-250</v>
      </c>
      <c r="F114" s="141">
        <v>-250</v>
      </c>
      <c r="G114" s="141">
        <v>-250</v>
      </c>
      <c r="H114" s="141">
        <v>-250</v>
      </c>
      <c r="I114" s="141">
        <v>-250</v>
      </c>
      <c r="J114" s="141">
        <v>-250</v>
      </c>
      <c r="K114" s="141">
        <v>-250</v>
      </c>
      <c r="L114" s="141">
        <v>-250</v>
      </c>
      <c r="M114" s="141">
        <v>-250</v>
      </c>
      <c r="N114" s="141">
        <v>-250</v>
      </c>
      <c r="O114" s="141">
        <v>-250</v>
      </c>
      <c r="P114" s="141">
        <v>-250</v>
      </c>
      <c r="Q114" s="141">
        <v>-250</v>
      </c>
      <c r="R114" s="141">
        <v>-250</v>
      </c>
      <c r="S114" s="141">
        <v>-250</v>
      </c>
      <c r="T114" s="141">
        <v>-250</v>
      </c>
      <c r="U114" s="141">
        <v>-250</v>
      </c>
      <c r="V114" s="141">
        <v>-250</v>
      </c>
      <c r="W114" s="141">
        <v>-250</v>
      </c>
      <c r="X114" s="141">
        <v>-250</v>
      </c>
      <c r="Y114" s="141">
        <v>-250</v>
      </c>
      <c r="Z114" s="141">
        <v>-250</v>
      </c>
      <c r="AA114" s="141">
        <v>-250</v>
      </c>
      <c r="AB114" s="141">
        <v>-250</v>
      </c>
      <c r="AC114" s="141">
        <v>-250</v>
      </c>
      <c r="AD114" s="141">
        <v>-250</v>
      </c>
      <c r="AE114" s="141">
        <v>-250</v>
      </c>
      <c r="AF114" s="141">
        <v>-250</v>
      </c>
      <c r="AG114" s="141">
        <v>-250</v>
      </c>
      <c r="AH114" s="141">
        <v>-250</v>
      </c>
      <c r="AI114" s="141">
        <v>-250</v>
      </c>
      <c r="AJ114" s="141">
        <v>-250</v>
      </c>
      <c r="AK114" s="141">
        <v>-250</v>
      </c>
      <c r="AL114" s="141">
        <v>-250</v>
      </c>
      <c r="AM114" s="141">
        <v>-250</v>
      </c>
      <c r="AN114" s="141">
        <v>-250</v>
      </c>
      <c r="AO114" s="141">
        <v>-250</v>
      </c>
      <c r="AP114" s="141">
        <v>-250</v>
      </c>
      <c r="AQ114" s="141">
        <v>-250</v>
      </c>
      <c r="AR114" s="141">
        <v>-250</v>
      </c>
      <c r="AS114" s="141">
        <v>-250</v>
      </c>
      <c r="AT114" s="141">
        <v>-250</v>
      </c>
      <c r="AU114" s="141">
        <v>-250</v>
      </c>
      <c r="AV114" s="141">
        <v>-250</v>
      </c>
      <c r="AW114" s="141">
        <v>-250</v>
      </c>
      <c r="AX114" s="141">
        <v>-250</v>
      </c>
      <c r="AY114" s="141">
        <v>-250</v>
      </c>
      <c r="AZ114" s="141">
        <v>-250</v>
      </c>
      <c r="BA114" s="141">
        <v>-250</v>
      </c>
      <c r="BB114" s="141">
        <v>-250</v>
      </c>
      <c r="BC114" s="141">
        <v>-250</v>
      </c>
      <c r="BD114" s="141">
        <v>-250</v>
      </c>
      <c r="BE114" s="141">
        <v>-250</v>
      </c>
      <c r="BF114" s="141">
        <v>-250</v>
      </c>
      <c r="BG114" s="141">
        <v>-250</v>
      </c>
      <c r="BH114" s="141">
        <v>-250</v>
      </c>
      <c r="BI114" s="141">
        <v>-250</v>
      </c>
      <c r="BJ114" s="141">
        <v>-250</v>
      </c>
      <c r="BK114" s="141">
        <v>-250</v>
      </c>
      <c r="BL114" s="141">
        <v>-250</v>
      </c>
      <c r="BM114" s="141"/>
      <c r="BN114" s="141"/>
    </row>
    <row r="115" spans="2:66">
      <c r="C115" s="125" t="s">
        <v>302</v>
      </c>
      <c r="D115" s="155"/>
      <c r="E115" s="141">
        <v>-4500</v>
      </c>
      <c r="F115" s="141">
        <v>-4500</v>
      </c>
      <c r="G115" s="141">
        <v>-4500</v>
      </c>
      <c r="H115" s="141">
        <v>-4500</v>
      </c>
      <c r="I115" s="141">
        <v>-4500</v>
      </c>
      <c r="J115" s="141">
        <v>-4500</v>
      </c>
      <c r="K115" s="141">
        <v>-4500</v>
      </c>
      <c r="L115" s="141">
        <v>-4500</v>
      </c>
      <c r="M115" s="141">
        <v>-4500</v>
      </c>
      <c r="N115" s="141">
        <v>-4500</v>
      </c>
      <c r="O115" s="141">
        <v>-4500</v>
      </c>
      <c r="P115" s="141">
        <v>-4500</v>
      </c>
      <c r="Q115" s="141">
        <v>-4500</v>
      </c>
      <c r="R115" s="141">
        <v>-4500</v>
      </c>
      <c r="S115" s="141">
        <v>-4500</v>
      </c>
      <c r="T115" s="141">
        <v>-4500</v>
      </c>
      <c r="U115" s="141">
        <v>-4500</v>
      </c>
      <c r="V115" s="141">
        <v>-4500</v>
      </c>
      <c r="W115" s="141">
        <v>-4500</v>
      </c>
      <c r="X115" s="141">
        <v>-4500</v>
      </c>
      <c r="Y115" s="141">
        <v>-4500</v>
      </c>
      <c r="Z115" s="141">
        <v>-4500</v>
      </c>
      <c r="AA115" s="141">
        <v>-4500</v>
      </c>
      <c r="AB115" s="141">
        <v>-4500</v>
      </c>
      <c r="AC115" s="141">
        <v>-4500</v>
      </c>
      <c r="AD115" s="141">
        <v>-4500</v>
      </c>
      <c r="AE115" s="141">
        <v>-4500</v>
      </c>
      <c r="AF115" s="141">
        <v>-4500</v>
      </c>
      <c r="AG115" s="141">
        <v>-4500</v>
      </c>
      <c r="AH115" s="141">
        <v>-4500</v>
      </c>
      <c r="AI115" s="141">
        <v>-4500</v>
      </c>
      <c r="AJ115" s="141">
        <v>-4500</v>
      </c>
      <c r="AK115" s="141">
        <v>-4500</v>
      </c>
      <c r="AL115" s="141">
        <v>-4500</v>
      </c>
      <c r="AM115" s="141">
        <v>-4500</v>
      </c>
      <c r="AN115" s="141">
        <v>-4500</v>
      </c>
      <c r="AO115" s="141">
        <v>-4500</v>
      </c>
      <c r="AP115" s="141">
        <v>-4500</v>
      </c>
      <c r="AQ115" s="141">
        <v>-4500</v>
      </c>
      <c r="AR115" s="141">
        <v>-4500</v>
      </c>
      <c r="AS115" s="141">
        <v>-4500</v>
      </c>
      <c r="AT115" s="141">
        <v>-4500</v>
      </c>
      <c r="AU115" s="141">
        <v>-4500</v>
      </c>
      <c r="AV115" s="141">
        <v>-4500</v>
      </c>
      <c r="AW115" s="141">
        <v>-4500</v>
      </c>
      <c r="AX115" s="141">
        <v>-4500</v>
      </c>
      <c r="AY115" s="141">
        <v>-4500</v>
      </c>
      <c r="AZ115" s="141">
        <v>-4500</v>
      </c>
      <c r="BA115" s="141">
        <v>-4500</v>
      </c>
      <c r="BB115" s="141">
        <v>-4500</v>
      </c>
      <c r="BC115" s="141">
        <v>-4500</v>
      </c>
      <c r="BD115" s="141">
        <v>-4500</v>
      </c>
      <c r="BE115" s="141">
        <v>-4500</v>
      </c>
      <c r="BF115" s="141">
        <v>-4500</v>
      </c>
      <c r="BG115" s="141">
        <v>-4500</v>
      </c>
      <c r="BH115" s="141">
        <v>-4500</v>
      </c>
      <c r="BI115" s="141">
        <v>-4500</v>
      </c>
      <c r="BJ115" s="141">
        <v>-4500</v>
      </c>
      <c r="BK115" s="141">
        <v>-4500</v>
      </c>
      <c r="BL115" s="141">
        <v>-4500</v>
      </c>
      <c r="BM115" s="141"/>
      <c r="BN115" s="141"/>
    </row>
    <row r="116" spans="2:66">
      <c r="C116" s="125" t="s">
        <v>303</v>
      </c>
      <c r="D116" s="155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A116" s="141"/>
      <c r="BB116" s="141"/>
      <c r="BC116" s="141"/>
      <c r="BD116" s="141"/>
      <c r="BE116" s="141"/>
      <c r="BF116" s="141"/>
      <c r="BG116" s="141"/>
      <c r="BH116" s="141"/>
      <c r="BI116" s="141"/>
      <c r="BJ116" s="141"/>
      <c r="BK116" s="141"/>
      <c r="BL116" s="141"/>
      <c r="BM116" s="141"/>
      <c r="BN116" s="141"/>
    </row>
    <row r="117" spans="2:66">
      <c r="C117" s="125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  <c r="AE117" s="141"/>
      <c r="AF117" s="141"/>
      <c r="AG117" s="141"/>
      <c r="AH117" s="141"/>
      <c r="AI117" s="141"/>
      <c r="AJ117" s="141"/>
      <c r="AK117" s="141"/>
      <c r="AL117" s="141"/>
      <c r="AM117" s="141"/>
      <c r="AN117" s="141"/>
      <c r="AO117" s="141"/>
      <c r="AP117" s="141"/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A117" s="141"/>
      <c r="BB117" s="141"/>
      <c r="BC117" s="141"/>
      <c r="BD117" s="141"/>
      <c r="BE117" s="141"/>
      <c r="BF117" s="141"/>
      <c r="BG117" s="141"/>
      <c r="BH117" s="141"/>
      <c r="BI117" s="141"/>
      <c r="BJ117" s="141"/>
      <c r="BK117" s="141"/>
      <c r="BL117" s="141"/>
      <c r="BM117" s="141"/>
      <c r="BN117" s="141"/>
    </row>
    <row r="118" spans="2:66">
      <c r="B118" s="129">
        <f>SUM(E118:AN118)</f>
        <v>-21100</v>
      </c>
      <c r="C118" s="130" t="s">
        <v>304</v>
      </c>
      <c r="D118" s="131"/>
      <c r="E118" s="144">
        <f t="shared" ref="E118:AN118" si="93">SUM(E119:E123)</f>
        <v>-2200</v>
      </c>
      <c r="F118" s="144">
        <f t="shared" si="93"/>
        <v>-1000</v>
      </c>
      <c r="G118" s="144">
        <f t="shared" si="93"/>
        <v>-250</v>
      </c>
      <c r="H118" s="144">
        <f t="shared" si="93"/>
        <v>-250</v>
      </c>
      <c r="I118" s="144">
        <f t="shared" si="93"/>
        <v>-250</v>
      </c>
      <c r="J118" s="144">
        <f t="shared" si="93"/>
        <v>-250</v>
      </c>
      <c r="K118" s="144">
        <f t="shared" si="93"/>
        <v>-250</v>
      </c>
      <c r="L118" s="144">
        <f t="shared" si="93"/>
        <v>-250</v>
      </c>
      <c r="M118" s="144">
        <f t="shared" si="93"/>
        <v>-5250</v>
      </c>
      <c r="N118" s="144">
        <f t="shared" si="93"/>
        <v>-250</v>
      </c>
      <c r="O118" s="144">
        <f t="shared" si="93"/>
        <v>-250</v>
      </c>
      <c r="P118" s="144">
        <f t="shared" si="93"/>
        <v>-250</v>
      </c>
      <c r="Q118" s="144">
        <f t="shared" ref="Q118:AB118" si="94">SUM(Q119:Q123)</f>
        <v>-2450</v>
      </c>
      <c r="R118" s="144">
        <f t="shared" si="94"/>
        <v>-250</v>
      </c>
      <c r="S118" s="144">
        <f t="shared" si="94"/>
        <v>-250</v>
      </c>
      <c r="T118" s="144">
        <f t="shared" si="94"/>
        <v>-250</v>
      </c>
      <c r="U118" s="144">
        <f t="shared" si="94"/>
        <v>-250</v>
      </c>
      <c r="V118" s="144">
        <f t="shared" si="94"/>
        <v>-250</v>
      </c>
      <c r="W118" s="144">
        <f t="shared" si="94"/>
        <v>-250</v>
      </c>
      <c r="X118" s="144">
        <f t="shared" si="94"/>
        <v>-250</v>
      </c>
      <c r="Y118" s="144">
        <f t="shared" si="94"/>
        <v>-250</v>
      </c>
      <c r="Z118" s="144">
        <f t="shared" si="94"/>
        <v>-250</v>
      </c>
      <c r="AA118" s="144">
        <f t="shared" si="94"/>
        <v>-250</v>
      </c>
      <c r="AB118" s="144">
        <f t="shared" si="94"/>
        <v>-250</v>
      </c>
      <c r="AC118" s="144">
        <f t="shared" si="93"/>
        <v>-2450</v>
      </c>
      <c r="AD118" s="144">
        <f t="shared" si="93"/>
        <v>-250</v>
      </c>
      <c r="AE118" s="144">
        <f t="shared" si="93"/>
        <v>-250</v>
      </c>
      <c r="AF118" s="144">
        <f t="shared" si="93"/>
        <v>-250</v>
      </c>
      <c r="AG118" s="144">
        <f t="shared" si="93"/>
        <v>-250</v>
      </c>
      <c r="AH118" s="144">
        <f t="shared" si="93"/>
        <v>-250</v>
      </c>
      <c r="AI118" s="144">
        <f t="shared" si="93"/>
        <v>-250</v>
      </c>
      <c r="AJ118" s="144">
        <f t="shared" si="93"/>
        <v>-250</v>
      </c>
      <c r="AK118" s="144">
        <f t="shared" si="93"/>
        <v>-250</v>
      </c>
      <c r="AL118" s="144">
        <f t="shared" si="93"/>
        <v>-250</v>
      </c>
      <c r="AM118" s="144">
        <f t="shared" si="93"/>
        <v>-250</v>
      </c>
      <c r="AN118" s="144">
        <f t="shared" si="93"/>
        <v>-250</v>
      </c>
      <c r="AO118" s="144">
        <f t="shared" ref="AO118:BL118" si="95">SUM(AO119:AO123)</f>
        <v>-2450</v>
      </c>
      <c r="AP118" s="144">
        <f t="shared" si="95"/>
        <v>-250</v>
      </c>
      <c r="AQ118" s="144">
        <f t="shared" si="95"/>
        <v>-250</v>
      </c>
      <c r="AR118" s="144">
        <f t="shared" si="95"/>
        <v>-250</v>
      </c>
      <c r="AS118" s="144">
        <f t="shared" si="95"/>
        <v>-250</v>
      </c>
      <c r="AT118" s="144">
        <f t="shared" si="95"/>
        <v>-250</v>
      </c>
      <c r="AU118" s="144">
        <f t="shared" si="95"/>
        <v>-250</v>
      </c>
      <c r="AV118" s="144">
        <f t="shared" si="95"/>
        <v>-250</v>
      </c>
      <c r="AW118" s="144">
        <f t="shared" si="95"/>
        <v>-250</v>
      </c>
      <c r="AX118" s="144">
        <f t="shared" si="95"/>
        <v>-250</v>
      </c>
      <c r="AY118" s="144">
        <f t="shared" si="95"/>
        <v>-250</v>
      </c>
      <c r="AZ118" s="144">
        <f t="shared" si="95"/>
        <v>-250</v>
      </c>
      <c r="BA118" s="144">
        <f t="shared" si="95"/>
        <v>-2450</v>
      </c>
      <c r="BB118" s="144">
        <f t="shared" si="95"/>
        <v>-250</v>
      </c>
      <c r="BC118" s="144">
        <f t="shared" si="95"/>
        <v>-250</v>
      </c>
      <c r="BD118" s="144">
        <f t="shared" si="95"/>
        <v>-250</v>
      </c>
      <c r="BE118" s="144">
        <f t="shared" si="95"/>
        <v>-250</v>
      </c>
      <c r="BF118" s="144">
        <f t="shared" si="95"/>
        <v>-250</v>
      </c>
      <c r="BG118" s="144">
        <f t="shared" si="95"/>
        <v>-250</v>
      </c>
      <c r="BH118" s="144">
        <f t="shared" si="95"/>
        <v>-250</v>
      </c>
      <c r="BI118" s="144">
        <f t="shared" si="95"/>
        <v>-250</v>
      </c>
      <c r="BJ118" s="144">
        <f t="shared" si="95"/>
        <v>-250</v>
      </c>
      <c r="BK118" s="144">
        <f t="shared" si="95"/>
        <v>-250</v>
      </c>
      <c r="BL118" s="144">
        <f t="shared" si="95"/>
        <v>-250</v>
      </c>
      <c r="BM118" s="141"/>
      <c r="BN118" s="141"/>
    </row>
    <row r="119" spans="2:66">
      <c r="C119" s="127" t="s">
        <v>305</v>
      </c>
      <c r="D119" s="155"/>
      <c r="E119" s="141"/>
      <c r="F119" s="141">
        <v>-1000</v>
      </c>
      <c r="G119" s="141">
        <v>-250</v>
      </c>
      <c r="H119" s="141">
        <v>-250</v>
      </c>
      <c r="I119" s="141">
        <v>-250</v>
      </c>
      <c r="J119" s="141">
        <v>-250</v>
      </c>
      <c r="K119" s="141">
        <v>-250</v>
      </c>
      <c r="L119" s="141">
        <v>-250</v>
      </c>
      <c r="M119" s="141">
        <v>-250</v>
      </c>
      <c r="N119" s="141">
        <v>-250</v>
      </c>
      <c r="O119" s="141">
        <v>-250</v>
      </c>
      <c r="P119" s="141">
        <v>-250</v>
      </c>
      <c r="Q119" s="141">
        <v>-250</v>
      </c>
      <c r="R119" s="141">
        <v>-250</v>
      </c>
      <c r="S119" s="141">
        <v>-250</v>
      </c>
      <c r="T119" s="141">
        <v>-250</v>
      </c>
      <c r="U119" s="141">
        <v>-250</v>
      </c>
      <c r="V119" s="141">
        <v>-250</v>
      </c>
      <c r="W119" s="141">
        <v>-250</v>
      </c>
      <c r="X119" s="141">
        <v>-250</v>
      </c>
      <c r="Y119" s="141">
        <v>-250</v>
      </c>
      <c r="Z119" s="141">
        <v>-250</v>
      </c>
      <c r="AA119" s="141">
        <v>-250</v>
      </c>
      <c r="AB119" s="141">
        <v>-250</v>
      </c>
      <c r="AC119" s="141">
        <v>-250</v>
      </c>
      <c r="AD119" s="141">
        <v>-250</v>
      </c>
      <c r="AE119" s="141">
        <v>-250</v>
      </c>
      <c r="AF119" s="141">
        <v>-250</v>
      </c>
      <c r="AG119" s="141">
        <v>-250</v>
      </c>
      <c r="AH119" s="141">
        <v>-250</v>
      </c>
      <c r="AI119" s="141">
        <v>-250</v>
      </c>
      <c r="AJ119" s="141">
        <v>-250</v>
      </c>
      <c r="AK119" s="141">
        <v>-250</v>
      </c>
      <c r="AL119" s="141">
        <v>-250</v>
      </c>
      <c r="AM119" s="141">
        <v>-250</v>
      </c>
      <c r="AN119" s="141">
        <v>-250</v>
      </c>
      <c r="AO119" s="141">
        <v>-250</v>
      </c>
      <c r="AP119" s="141">
        <v>-250</v>
      </c>
      <c r="AQ119" s="141">
        <v>-250</v>
      </c>
      <c r="AR119" s="141">
        <v>-250</v>
      </c>
      <c r="AS119" s="141">
        <v>-250</v>
      </c>
      <c r="AT119" s="141">
        <v>-250</v>
      </c>
      <c r="AU119" s="141">
        <v>-250</v>
      </c>
      <c r="AV119" s="141">
        <v>-250</v>
      </c>
      <c r="AW119" s="141">
        <v>-250</v>
      </c>
      <c r="AX119" s="141">
        <v>-250</v>
      </c>
      <c r="AY119" s="141">
        <v>-250</v>
      </c>
      <c r="AZ119" s="141">
        <v>-250</v>
      </c>
      <c r="BA119" s="141">
        <v>-250</v>
      </c>
      <c r="BB119" s="141">
        <v>-250</v>
      </c>
      <c r="BC119" s="141">
        <v>-250</v>
      </c>
      <c r="BD119" s="141">
        <v>-250</v>
      </c>
      <c r="BE119" s="141">
        <v>-250</v>
      </c>
      <c r="BF119" s="141">
        <v>-250</v>
      </c>
      <c r="BG119" s="141">
        <v>-250</v>
      </c>
      <c r="BH119" s="141">
        <v>-250</v>
      </c>
      <c r="BI119" s="141">
        <v>-250</v>
      </c>
      <c r="BJ119" s="141">
        <v>-250</v>
      </c>
      <c r="BK119" s="141">
        <v>-250</v>
      </c>
      <c r="BL119" s="141">
        <v>-250</v>
      </c>
      <c r="BM119" s="141"/>
      <c r="BN119" s="141"/>
    </row>
    <row r="120" spans="2:66">
      <c r="C120" s="128" t="s">
        <v>306</v>
      </c>
      <c r="D120" s="155">
        <v>0</v>
      </c>
      <c r="E120" s="141"/>
      <c r="F120" s="141"/>
      <c r="G120" s="141"/>
      <c r="H120" s="141"/>
      <c r="I120" s="141"/>
      <c r="J120" s="141"/>
      <c r="K120" s="141"/>
      <c r="L120" s="141"/>
      <c r="M120" s="141">
        <v>-5000</v>
      </c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1"/>
      <c r="AM120" s="141"/>
      <c r="AN120" s="141"/>
      <c r="AO120" s="141"/>
      <c r="AP120" s="141"/>
      <c r="AQ120" s="141"/>
      <c r="AR120" s="141"/>
      <c r="AS120" s="141"/>
      <c r="AT120" s="141"/>
      <c r="AU120" s="141"/>
      <c r="AV120" s="141"/>
      <c r="AW120" s="141"/>
      <c r="AX120" s="141"/>
      <c r="AY120" s="141"/>
      <c r="AZ120" s="141"/>
      <c r="BA120" s="141"/>
      <c r="BB120" s="141"/>
      <c r="BC120" s="141"/>
      <c r="BD120" s="141"/>
      <c r="BE120" s="141"/>
      <c r="BF120" s="141"/>
      <c r="BG120" s="141"/>
      <c r="BH120" s="141"/>
      <c r="BI120" s="141"/>
      <c r="BJ120" s="141"/>
      <c r="BK120" s="141"/>
      <c r="BL120" s="141"/>
      <c r="BM120" s="141"/>
      <c r="BN120" s="141"/>
    </row>
    <row r="121" spans="2:66">
      <c r="C121" s="128" t="s">
        <v>307</v>
      </c>
      <c r="D121" s="155">
        <v>0</v>
      </c>
      <c r="E121" s="141">
        <v>-450</v>
      </c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>
        <v>-450</v>
      </c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>
        <v>-450</v>
      </c>
      <c r="AD121" s="141"/>
      <c r="AE121" s="141"/>
      <c r="AF121" s="141"/>
      <c r="AG121" s="141"/>
      <c r="AH121" s="141"/>
      <c r="AI121" s="141"/>
      <c r="AJ121" s="141"/>
      <c r="AK121" s="141"/>
      <c r="AL121" s="141"/>
      <c r="AM121" s="141"/>
      <c r="AN121" s="141"/>
      <c r="AO121" s="141">
        <v>-450</v>
      </c>
      <c r="AP121" s="141"/>
      <c r="AQ121" s="141"/>
      <c r="AR121" s="141"/>
      <c r="AS121" s="141"/>
      <c r="AT121" s="141"/>
      <c r="AU121" s="141"/>
      <c r="AV121" s="141"/>
      <c r="AW121" s="141"/>
      <c r="AX121" s="141"/>
      <c r="AY121" s="141"/>
      <c r="AZ121" s="141"/>
      <c r="BA121" s="141">
        <v>-450</v>
      </c>
      <c r="BB121" s="141"/>
      <c r="BC121" s="141"/>
      <c r="BD121" s="141"/>
      <c r="BE121" s="141"/>
      <c r="BF121" s="141"/>
      <c r="BG121" s="141"/>
      <c r="BH121" s="141"/>
      <c r="BI121" s="141"/>
      <c r="BJ121" s="141"/>
      <c r="BK121" s="141"/>
      <c r="BL121" s="141"/>
      <c r="BM121" s="141"/>
      <c r="BN121" s="141"/>
    </row>
    <row r="122" spans="2:66">
      <c r="C122" s="128" t="s">
        <v>308</v>
      </c>
      <c r="D122" s="155">
        <v>0</v>
      </c>
      <c r="E122" s="141">
        <v>-1500</v>
      </c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>
        <v>-1500</v>
      </c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>
        <v>-1500</v>
      </c>
      <c r="AD122" s="141"/>
      <c r="AE122" s="141"/>
      <c r="AF122" s="141"/>
      <c r="AG122" s="141"/>
      <c r="AH122" s="141"/>
      <c r="AI122" s="141"/>
      <c r="AJ122" s="141"/>
      <c r="AK122" s="141"/>
      <c r="AL122" s="141"/>
      <c r="AM122" s="141"/>
      <c r="AN122" s="141"/>
      <c r="AO122" s="141">
        <v>-1500</v>
      </c>
      <c r="AP122" s="141"/>
      <c r="AQ122" s="141"/>
      <c r="AR122" s="141"/>
      <c r="AS122" s="141"/>
      <c r="AT122" s="141"/>
      <c r="AU122" s="141"/>
      <c r="AV122" s="141"/>
      <c r="AW122" s="141"/>
      <c r="AX122" s="141"/>
      <c r="AY122" s="141"/>
      <c r="AZ122" s="141"/>
      <c r="BA122" s="141">
        <v>-1500</v>
      </c>
      <c r="BB122" s="141"/>
      <c r="BC122" s="141"/>
      <c r="BD122" s="141"/>
      <c r="BE122" s="141"/>
      <c r="BF122" s="141"/>
      <c r="BG122" s="141"/>
      <c r="BH122" s="141"/>
      <c r="BI122" s="141"/>
      <c r="BJ122" s="141"/>
      <c r="BK122" s="141"/>
      <c r="BL122" s="141"/>
      <c r="BM122" s="141"/>
      <c r="BN122" s="141"/>
    </row>
    <row r="123" spans="2:66">
      <c r="C123" s="128" t="s">
        <v>309</v>
      </c>
      <c r="D123" s="155">
        <v>0</v>
      </c>
      <c r="E123" s="141">
        <v>-250</v>
      </c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>
        <v>-250</v>
      </c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>
        <v>-250</v>
      </c>
      <c r="AD123" s="141"/>
      <c r="AE123" s="141"/>
      <c r="AF123" s="141"/>
      <c r="AG123" s="141"/>
      <c r="AH123" s="141"/>
      <c r="AI123" s="141"/>
      <c r="AJ123" s="141"/>
      <c r="AK123" s="141"/>
      <c r="AL123" s="141"/>
      <c r="AM123" s="141"/>
      <c r="AN123" s="141"/>
      <c r="AO123" s="141">
        <v>-250</v>
      </c>
      <c r="AP123" s="141"/>
      <c r="AQ123" s="141"/>
      <c r="AR123" s="141"/>
      <c r="AS123" s="141"/>
      <c r="AT123" s="141"/>
      <c r="AU123" s="141"/>
      <c r="AV123" s="141"/>
      <c r="AW123" s="141"/>
      <c r="AX123" s="141"/>
      <c r="AY123" s="141"/>
      <c r="AZ123" s="141"/>
      <c r="BA123" s="141">
        <v>-250</v>
      </c>
      <c r="BB123" s="141"/>
      <c r="BC123" s="141"/>
      <c r="BD123" s="141"/>
      <c r="BE123" s="141"/>
      <c r="BF123" s="141"/>
      <c r="BG123" s="141"/>
      <c r="BH123" s="141"/>
      <c r="BI123" s="141"/>
      <c r="BJ123" s="141"/>
      <c r="BK123" s="141"/>
      <c r="BL123" s="141"/>
      <c r="BM123" s="141"/>
      <c r="BN123" s="141"/>
    </row>
    <row r="124" spans="2:66">
      <c r="C124" s="128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41"/>
      <c r="AJ124" s="141"/>
      <c r="AK124" s="141"/>
      <c r="AL124" s="141"/>
      <c r="AM124" s="141"/>
      <c r="AN124" s="141"/>
      <c r="AO124" s="141"/>
      <c r="AP124" s="141"/>
      <c r="AQ124" s="141"/>
      <c r="AR124" s="141"/>
      <c r="AS124" s="141"/>
      <c r="AT124" s="141"/>
      <c r="AU124" s="141"/>
      <c r="AV124" s="141"/>
      <c r="AW124" s="141"/>
      <c r="AX124" s="141"/>
      <c r="AY124" s="141"/>
      <c r="AZ124" s="141"/>
      <c r="BA124" s="141"/>
      <c r="BB124" s="141"/>
      <c r="BC124" s="141"/>
      <c r="BD124" s="141"/>
      <c r="BE124" s="141"/>
      <c r="BF124" s="141"/>
      <c r="BG124" s="141"/>
      <c r="BH124" s="141"/>
      <c r="BI124" s="141"/>
      <c r="BJ124" s="141"/>
      <c r="BK124" s="141"/>
      <c r="BL124" s="141"/>
      <c r="BM124" s="141"/>
      <c r="BN124" s="141"/>
    </row>
    <row r="125" spans="2:66">
      <c r="C125" s="130" t="s">
        <v>310</v>
      </c>
      <c r="D125" s="131"/>
      <c r="E125" s="144">
        <f>SUM(E126:E130)</f>
        <v>-653.66666666666663</v>
      </c>
      <c r="F125" s="144">
        <f t="shared" ref="F125:AN125" si="96">SUM(F126:F130)</f>
        <v>-653.66666666666663</v>
      </c>
      <c r="G125" s="144">
        <f t="shared" si="96"/>
        <v>-653.66666666666663</v>
      </c>
      <c r="H125" s="144">
        <f t="shared" si="96"/>
        <v>-687.08333333333326</v>
      </c>
      <c r="I125" s="144">
        <f t="shared" si="96"/>
        <v>-687.08333333333326</v>
      </c>
      <c r="J125" s="144">
        <f t="shared" si="96"/>
        <v>-687.08333333333326</v>
      </c>
      <c r="K125" s="144">
        <f t="shared" si="96"/>
        <v>-787.33333333333326</v>
      </c>
      <c r="L125" s="144">
        <f t="shared" si="96"/>
        <v>-787.33333333333326</v>
      </c>
      <c r="M125" s="144">
        <f t="shared" si="96"/>
        <v>-787.33333333333326</v>
      </c>
      <c r="N125" s="144">
        <f t="shared" si="96"/>
        <v>-787.33333333333326</v>
      </c>
      <c r="O125" s="144">
        <f t="shared" si="96"/>
        <v>-787.33333333333326</v>
      </c>
      <c r="P125" s="144">
        <f t="shared" si="96"/>
        <v>-787.33333333333326</v>
      </c>
      <c r="Q125" s="144">
        <f t="shared" ref="Q125:AB125" si="97">SUM(Q126:Q130)</f>
        <v>-954.41666666666663</v>
      </c>
      <c r="R125" s="144">
        <f t="shared" si="97"/>
        <v>-954.41666666666663</v>
      </c>
      <c r="S125" s="144">
        <f t="shared" si="97"/>
        <v>-954.41666666666663</v>
      </c>
      <c r="T125" s="144">
        <f t="shared" si="97"/>
        <v>-954.41666666666663</v>
      </c>
      <c r="U125" s="144">
        <f t="shared" si="97"/>
        <v>-954.41666666666663</v>
      </c>
      <c r="V125" s="144">
        <f t="shared" si="97"/>
        <v>-954.41666666666663</v>
      </c>
      <c r="W125" s="144">
        <f t="shared" si="97"/>
        <v>-954.41666666666663</v>
      </c>
      <c r="X125" s="144">
        <f t="shared" si="97"/>
        <v>-954.41666666666663</v>
      </c>
      <c r="Y125" s="144">
        <f t="shared" si="97"/>
        <v>-954.41666666666663</v>
      </c>
      <c r="Z125" s="144">
        <f t="shared" si="97"/>
        <v>-954.41666666666663</v>
      </c>
      <c r="AA125" s="144">
        <f t="shared" si="97"/>
        <v>-954.41666666666663</v>
      </c>
      <c r="AB125" s="144">
        <f t="shared" si="97"/>
        <v>-954.41666666666663</v>
      </c>
      <c r="AC125" s="144">
        <f t="shared" si="96"/>
        <v>-1255.1666666666665</v>
      </c>
      <c r="AD125" s="144">
        <f t="shared" si="96"/>
        <v>-1255.1666666666665</v>
      </c>
      <c r="AE125" s="144">
        <f t="shared" si="96"/>
        <v>-1255.1666666666665</v>
      </c>
      <c r="AF125" s="144">
        <f t="shared" si="96"/>
        <v>-1255.1666666666665</v>
      </c>
      <c r="AG125" s="144">
        <f t="shared" si="96"/>
        <v>-1255.1666666666665</v>
      </c>
      <c r="AH125" s="144">
        <f t="shared" si="96"/>
        <v>-1255.1666666666665</v>
      </c>
      <c r="AI125" s="144">
        <f t="shared" si="96"/>
        <v>-1255.1666666666665</v>
      </c>
      <c r="AJ125" s="144">
        <f t="shared" si="96"/>
        <v>-1255.1666666666665</v>
      </c>
      <c r="AK125" s="144">
        <f t="shared" si="96"/>
        <v>-1255.1666666666665</v>
      </c>
      <c r="AL125" s="144">
        <f t="shared" si="96"/>
        <v>-1255.1666666666665</v>
      </c>
      <c r="AM125" s="144">
        <f t="shared" si="96"/>
        <v>-1255.1666666666665</v>
      </c>
      <c r="AN125" s="144">
        <f t="shared" si="96"/>
        <v>-1255.1666666666665</v>
      </c>
      <c r="AO125" s="144">
        <f t="shared" ref="AO125:BL125" si="98">SUM(AO126:AO130)</f>
        <v>-1555.9166666666665</v>
      </c>
      <c r="AP125" s="144">
        <f t="shared" si="98"/>
        <v>-1555.9166666666665</v>
      </c>
      <c r="AQ125" s="144">
        <f t="shared" si="98"/>
        <v>-1555.9166666666665</v>
      </c>
      <c r="AR125" s="144">
        <f t="shared" si="98"/>
        <v>-1555.9166666666665</v>
      </c>
      <c r="AS125" s="144">
        <f t="shared" si="98"/>
        <v>-1555.9166666666665</v>
      </c>
      <c r="AT125" s="144">
        <f t="shared" si="98"/>
        <v>-1555.9166666666665</v>
      </c>
      <c r="AU125" s="144">
        <f t="shared" si="98"/>
        <v>-1555.9166666666665</v>
      </c>
      <c r="AV125" s="144">
        <f t="shared" si="98"/>
        <v>-1555.9166666666665</v>
      </c>
      <c r="AW125" s="144">
        <f t="shared" si="98"/>
        <v>-1555.9166666666665</v>
      </c>
      <c r="AX125" s="144">
        <f t="shared" si="98"/>
        <v>-1555.9166666666665</v>
      </c>
      <c r="AY125" s="144">
        <f t="shared" si="98"/>
        <v>-1555.9166666666665</v>
      </c>
      <c r="AZ125" s="144">
        <f t="shared" si="98"/>
        <v>-1555.9166666666665</v>
      </c>
      <c r="BA125" s="144">
        <f t="shared" si="98"/>
        <v>-1856.6666666666665</v>
      </c>
      <c r="BB125" s="144">
        <f t="shared" si="98"/>
        <v>-1856.6666666666665</v>
      </c>
      <c r="BC125" s="144">
        <f t="shared" si="98"/>
        <v>-1856.6666666666665</v>
      </c>
      <c r="BD125" s="144">
        <f t="shared" si="98"/>
        <v>-1856.6666666666665</v>
      </c>
      <c r="BE125" s="144">
        <f t="shared" si="98"/>
        <v>-1856.6666666666665</v>
      </c>
      <c r="BF125" s="144">
        <f t="shared" si="98"/>
        <v>-1856.6666666666665</v>
      </c>
      <c r="BG125" s="144">
        <f t="shared" si="98"/>
        <v>-1856.6666666666665</v>
      </c>
      <c r="BH125" s="144">
        <f t="shared" si="98"/>
        <v>-1856.6666666666665</v>
      </c>
      <c r="BI125" s="144">
        <f t="shared" si="98"/>
        <v>-1856.6666666666665</v>
      </c>
      <c r="BJ125" s="144">
        <f t="shared" si="98"/>
        <v>-1856.6666666666665</v>
      </c>
      <c r="BK125" s="144">
        <f t="shared" si="98"/>
        <v>-1856.6666666666665</v>
      </c>
      <c r="BL125" s="144">
        <f t="shared" si="98"/>
        <v>-1856.6666666666665</v>
      </c>
      <c r="BM125" s="141"/>
      <c r="BN125" s="141"/>
    </row>
    <row r="126" spans="2:66">
      <c r="C126" s="128" t="s">
        <v>311</v>
      </c>
      <c r="D126" s="155">
        <v>-20</v>
      </c>
      <c r="E126" s="141">
        <f>$D126</f>
        <v>-20</v>
      </c>
      <c r="F126" s="141">
        <f t="shared" ref="F126:BL126" si="99">$D126</f>
        <v>-20</v>
      </c>
      <c r="G126" s="141">
        <f t="shared" si="99"/>
        <v>-20</v>
      </c>
      <c r="H126" s="141">
        <f t="shared" si="99"/>
        <v>-20</v>
      </c>
      <c r="I126" s="141">
        <f t="shared" si="99"/>
        <v>-20</v>
      </c>
      <c r="J126" s="141">
        <f t="shared" si="99"/>
        <v>-20</v>
      </c>
      <c r="K126" s="141">
        <f t="shared" si="99"/>
        <v>-20</v>
      </c>
      <c r="L126" s="141">
        <f t="shared" si="99"/>
        <v>-20</v>
      </c>
      <c r="M126" s="141">
        <f t="shared" si="99"/>
        <v>-20</v>
      </c>
      <c r="N126" s="141">
        <f t="shared" si="99"/>
        <v>-20</v>
      </c>
      <c r="O126" s="141">
        <f t="shared" si="99"/>
        <v>-20</v>
      </c>
      <c r="P126" s="141">
        <f t="shared" si="99"/>
        <v>-20</v>
      </c>
      <c r="Q126" s="141">
        <f t="shared" si="99"/>
        <v>-20</v>
      </c>
      <c r="R126" s="141">
        <f t="shared" si="99"/>
        <v>-20</v>
      </c>
      <c r="S126" s="141">
        <f t="shared" si="99"/>
        <v>-20</v>
      </c>
      <c r="T126" s="141">
        <f t="shared" si="99"/>
        <v>-20</v>
      </c>
      <c r="U126" s="141">
        <f t="shared" si="99"/>
        <v>-20</v>
      </c>
      <c r="V126" s="141">
        <f t="shared" si="99"/>
        <v>-20</v>
      </c>
      <c r="W126" s="141">
        <f t="shared" si="99"/>
        <v>-20</v>
      </c>
      <c r="X126" s="141">
        <f t="shared" si="99"/>
        <v>-20</v>
      </c>
      <c r="Y126" s="141">
        <f t="shared" si="99"/>
        <v>-20</v>
      </c>
      <c r="Z126" s="141">
        <f t="shared" si="99"/>
        <v>-20</v>
      </c>
      <c r="AA126" s="141">
        <f t="shared" si="99"/>
        <v>-20</v>
      </c>
      <c r="AB126" s="141">
        <f t="shared" si="99"/>
        <v>-20</v>
      </c>
      <c r="AC126" s="141">
        <f t="shared" si="99"/>
        <v>-20</v>
      </c>
      <c r="AD126" s="141">
        <f t="shared" si="99"/>
        <v>-20</v>
      </c>
      <c r="AE126" s="141">
        <f t="shared" si="99"/>
        <v>-20</v>
      </c>
      <c r="AF126" s="141">
        <f t="shared" si="99"/>
        <v>-20</v>
      </c>
      <c r="AG126" s="141">
        <f t="shared" si="99"/>
        <v>-20</v>
      </c>
      <c r="AH126" s="141">
        <f t="shared" si="99"/>
        <v>-20</v>
      </c>
      <c r="AI126" s="141">
        <f t="shared" si="99"/>
        <v>-20</v>
      </c>
      <c r="AJ126" s="141">
        <f t="shared" si="99"/>
        <v>-20</v>
      </c>
      <c r="AK126" s="141">
        <f t="shared" si="99"/>
        <v>-20</v>
      </c>
      <c r="AL126" s="141">
        <f t="shared" si="99"/>
        <v>-20</v>
      </c>
      <c r="AM126" s="141">
        <f t="shared" si="99"/>
        <v>-20</v>
      </c>
      <c r="AN126" s="141">
        <f t="shared" si="99"/>
        <v>-20</v>
      </c>
      <c r="AO126" s="141">
        <f t="shared" si="99"/>
        <v>-20</v>
      </c>
      <c r="AP126" s="141">
        <f t="shared" si="99"/>
        <v>-20</v>
      </c>
      <c r="AQ126" s="141">
        <f t="shared" si="99"/>
        <v>-20</v>
      </c>
      <c r="AR126" s="141">
        <f t="shared" si="99"/>
        <v>-20</v>
      </c>
      <c r="AS126" s="141">
        <f t="shared" si="99"/>
        <v>-20</v>
      </c>
      <c r="AT126" s="141">
        <f t="shared" si="99"/>
        <v>-20</v>
      </c>
      <c r="AU126" s="141">
        <f t="shared" si="99"/>
        <v>-20</v>
      </c>
      <c r="AV126" s="141">
        <f t="shared" si="99"/>
        <v>-20</v>
      </c>
      <c r="AW126" s="141">
        <f t="shared" si="99"/>
        <v>-20</v>
      </c>
      <c r="AX126" s="141">
        <f t="shared" si="99"/>
        <v>-20</v>
      </c>
      <c r="AY126" s="141">
        <f t="shared" si="99"/>
        <v>-20</v>
      </c>
      <c r="AZ126" s="141">
        <f t="shared" si="99"/>
        <v>-20</v>
      </c>
      <c r="BA126" s="141">
        <f t="shared" si="99"/>
        <v>-20</v>
      </c>
      <c r="BB126" s="141">
        <f t="shared" si="99"/>
        <v>-20</v>
      </c>
      <c r="BC126" s="141">
        <f t="shared" si="99"/>
        <v>-20</v>
      </c>
      <c r="BD126" s="141">
        <f t="shared" si="99"/>
        <v>-20</v>
      </c>
      <c r="BE126" s="141">
        <f t="shared" si="99"/>
        <v>-20</v>
      </c>
      <c r="BF126" s="141">
        <f t="shared" si="99"/>
        <v>-20</v>
      </c>
      <c r="BG126" s="141">
        <f t="shared" si="99"/>
        <v>-20</v>
      </c>
      <c r="BH126" s="141">
        <f t="shared" si="99"/>
        <v>-20</v>
      </c>
      <c r="BI126" s="141">
        <f t="shared" si="99"/>
        <v>-20</v>
      </c>
      <c r="BJ126" s="141">
        <f t="shared" si="99"/>
        <v>-20</v>
      </c>
      <c r="BK126" s="141">
        <f t="shared" si="99"/>
        <v>-20</v>
      </c>
      <c r="BL126" s="141">
        <f t="shared" si="99"/>
        <v>-20</v>
      </c>
      <c r="BM126" s="141"/>
      <c r="BN126" s="141"/>
    </row>
    <row r="127" spans="2:66">
      <c r="C127" s="128" t="s">
        <v>312</v>
      </c>
      <c r="D127" s="155">
        <v>-9</v>
      </c>
      <c r="E127" s="141">
        <f>SUM($D127*COUNTIF(E19:E58,"&lt;0"))</f>
        <v>-36</v>
      </c>
      <c r="F127" s="141">
        <f t="shared" ref="F127:BL127" si="100">SUM($D127*COUNTIF(F19:F58,"&lt;0"))</f>
        <v>-36</v>
      </c>
      <c r="G127" s="141">
        <f t="shared" si="100"/>
        <v>-36</v>
      </c>
      <c r="H127" s="141">
        <f t="shared" si="100"/>
        <v>-45</v>
      </c>
      <c r="I127" s="141">
        <f t="shared" si="100"/>
        <v>-45</v>
      </c>
      <c r="J127" s="141">
        <f t="shared" si="100"/>
        <v>-45</v>
      </c>
      <c r="K127" s="141">
        <f t="shared" si="100"/>
        <v>-72</v>
      </c>
      <c r="L127" s="141">
        <f t="shared" si="100"/>
        <v>-72</v>
      </c>
      <c r="M127" s="141">
        <f t="shared" si="100"/>
        <v>-72</v>
      </c>
      <c r="N127" s="141">
        <f t="shared" si="100"/>
        <v>-72</v>
      </c>
      <c r="O127" s="141">
        <f t="shared" si="100"/>
        <v>-72</v>
      </c>
      <c r="P127" s="141">
        <f t="shared" si="100"/>
        <v>-72</v>
      </c>
      <c r="Q127" s="141">
        <f t="shared" si="100"/>
        <v>-117</v>
      </c>
      <c r="R127" s="141">
        <f t="shared" si="100"/>
        <v>-117</v>
      </c>
      <c r="S127" s="141">
        <f t="shared" si="100"/>
        <v>-117</v>
      </c>
      <c r="T127" s="141">
        <f t="shared" si="100"/>
        <v>-117</v>
      </c>
      <c r="U127" s="141">
        <f t="shared" si="100"/>
        <v>-117</v>
      </c>
      <c r="V127" s="141">
        <f t="shared" si="100"/>
        <v>-117</v>
      </c>
      <c r="W127" s="141">
        <f t="shared" si="100"/>
        <v>-117</v>
      </c>
      <c r="X127" s="141">
        <f t="shared" si="100"/>
        <v>-117</v>
      </c>
      <c r="Y127" s="141">
        <f t="shared" si="100"/>
        <v>-117</v>
      </c>
      <c r="Z127" s="141">
        <f t="shared" si="100"/>
        <v>-117</v>
      </c>
      <c r="AA127" s="141">
        <f t="shared" si="100"/>
        <v>-117</v>
      </c>
      <c r="AB127" s="141">
        <f t="shared" si="100"/>
        <v>-117</v>
      </c>
      <c r="AC127" s="141">
        <f t="shared" si="100"/>
        <v>-198</v>
      </c>
      <c r="AD127" s="141">
        <f t="shared" si="100"/>
        <v>-198</v>
      </c>
      <c r="AE127" s="141">
        <f t="shared" si="100"/>
        <v>-198</v>
      </c>
      <c r="AF127" s="141">
        <f t="shared" si="100"/>
        <v>-198</v>
      </c>
      <c r="AG127" s="141">
        <f t="shared" si="100"/>
        <v>-198</v>
      </c>
      <c r="AH127" s="141">
        <f t="shared" si="100"/>
        <v>-198</v>
      </c>
      <c r="AI127" s="141">
        <f t="shared" si="100"/>
        <v>-198</v>
      </c>
      <c r="AJ127" s="141">
        <f t="shared" si="100"/>
        <v>-198</v>
      </c>
      <c r="AK127" s="141">
        <f t="shared" si="100"/>
        <v>-198</v>
      </c>
      <c r="AL127" s="141">
        <f t="shared" si="100"/>
        <v>-198</v>
      </c>
      <c r="AM127" s="141">
        <f t="shared" si="100"/>
        <v>-198</v>
      </c>
      <c r="AN127" s="141">
        <f t="shared" si="100"/>
        <v>-198</v>
      </c>
      <c r="AO127" s="141">
        <f t="shared" si="100"/>
        <v>-279</v>
      </c>
      <c r="AP127" s="141">
        <f t="shared" si="100"/>
        <v>-279</v>
      </c>
      <c r="AQ127" s="141">
        <f t="shared" si="100"/>
        <v>-279</v>
      </c>
      <c r="AR127" s="141">
        <f t="shared" si="100"/>
        <v>-279</v>
      </c>
      <c r="AS127" s="141">
        <f t="shared" si="100"/>
        <v>-279</v>
      </c>
      <c r="AT127" s="141">
        <f t="shared" si="100"/>
        <v>-279</v>
      </c>
      <c r="AU127" s="141">
        <f t="shared" si="100"/>
        <v>-279</v>
      </c>
      <c r="AV127" s="141">
        <f t="shared" si="100"/>
        <v>-279</v>
      </c>
      <c r="AW127" s="141">
        <f t="shared" si="100"/>
        <v>-279</v>
      </c>
      <c r="AX127" s="141">
        <f t="shared" si="100"/>
        <v>-279</v>
      </c>
      <c r="AY127" s="141">
        <f t="shared" si="100"/>
        <v>-279</v>
      </c>
      <c r="AZ127" s="141">
        <f t="shared" si="100"/>
        <v>-279</v>
      </c>
      <c r="BA127" s="141">
        <f t="shared" si="100"/>
        <v>-360</v>
      </c>
      <c r="BB127" s="141">
        <f t="shared" si="100"/>
        <v>-360</v>
      </c>
      <c r="BC127" s="141">
        <f t="shared" si="100"/>
        <v>-360</v>
      </c>
      <c r="BD127" s="141">
        <f t="shared" si="100"/>
        <v>-360</v>
      </c>
      <c r="BE127" s="141">
        <f t="shared" si="100"/>
        <v>-360</v>
      </c>
      <c r="BF127" s="141">
        <f t="shared" si="100"/>
        <v>-360</v>
      </c>
      <c r="BG127" s="141">
        <f t="shared" si="100"/>
        <v>-360</v>
      </c>
      <c r="BH127" s="141">
        <f t="shared" si="100"/>
        <v>-360</v>
      </c>
      <c r="BI127" s="141">
        <f t="shared" si="100"/>
        <v>-360</v>
      </c>
      <c r="BJ127" s="141">
        <f t="shared" si="100"/>
        <v>-360</v>
      </c>
      <c r="BK127" s="141">
        <f t="shared" si="100"/>
        <v>-360</v>
      </c>
      <c r="BL127" s="141">
        <f t="shared" si="100"/>
        <v>-360</v>
      </c>
      <c r="BM127" s="141"/>
      <c r="BN127" s="141"/>
    </row>
    <row r="128" spans="2:66">
      <c r="C128" s="128" t="s">
        <v>313</v>
      </c>
      <c r="D128" s="155">
        <v>-9</v>
      </c>
      <c r="E128" s="141">
        <f>SUM($D128*COUNTIF(E19:E58,"&lt;0"))</f>
        <v>-36</v>
      </c>
      <c r="F128" s="141">
        <f t="shared" ref="F128:BL128" si="101">SUM($D128*COUNTIF(F19:F58,"&lt;0"))</f>
        <v>-36</v>
      </c>
      <c r="G128" s="141">
        <f t="shared" si="101"/>
        <v>-36</v>
      </c>
      <c r="H128" s="141">
        <f t="shared" si="101"/>
        <v>-45</v>
      </c>
      <c r="I128" s="141">
        <f t="shared" si="101"/>
        <v>-45</v>
      </c>
      <c r="J128" s="141">
        <f t="shared" si="101"/>
        <v>-45</v>
      </c>
      <c r="K128" s="141">
        <f t="shared" si="101"/>
        <v>-72</v>
      </c>
      <c r="L128" s="141">
        <f t="shared" si="101"/>
        <v>-72</v>
      </c>
      <c r="M128" s="141">
        <f t="shared" si="101"/>
        <v>-72</v>
      </c>
      <c r="N128" s="141">
        <f t="shared" si="101"/>
        <v>-72</v>
      </c>
      <c r="O128" s="141">
        <f t="shared" si="101"/>
        <v>-72</v>
      </c>
      <c r="P128" s="141">
        <f t="shared" si="101"/>
        <v>-72</v>
      </c>
      <c r="Q128" s="141">
        <f t="shared" si="101"/>
        <v>-117</v>
      </c>
      <c r="R128" s="141">
        <f t="shared" si="101"/>
        <v>-117</v>
      </c>
      <c r="S128" s="141">
        <f t="shared" si="101"/>
        <v>-117</v>
      </c>
      <c r="T128" s="141">
        <f t="shared" si="101"/>
        <v>-117</v>
      </c>
      <c r="U128" s="141">
        <f t="shared" si="101"/>
        <v>-117</v>
      </c>
      <c r="V128" s="141">
        <f t="shared" si="101"/>
        <v>-117</v>
      </c>
      <c r="W128" s="141">
        <f t="shared" si="101"/>
        <v>-117</v>
      </c>
      <c r="X128" s="141">
        <f t="shared" si="101"/>
        <v>-117</v>
      </c>
      <c r="Y128" s="141">
        <f t="shared" si="101"/>
        <v>-117</v>
      </c>
      <c r="Z128" s="141">
        <f t="shared" si="101"/>
        <v>-117</v>
      </c>
      <c r="AA128" s="141">
        <f t="shared" si="101"/>
        <v>-117</v>
      </c>
      <c r="AB128" s="141">
        <f t="shared" si="101"/>
        <v>-117</v>
      </c>
      <c r="AC128" s="141">
        <f t="shared" si="101"/>
        <v>-198</v>
      </c>
      <c r="AD128" s="141">
        <f t="shared" si="101"/>
        <v>-198</v>
      </c>
      <c r="AE128" s="141">
        <f t="shared" si="101"/>
        <v>-198</v>
      </c>
      <c r="AF128" s="141">
        <f t="shared" si="101"/>
        <v>-198</v>
      </c>
      <c r="AG128" s="141">
        <f t="shared" si="101"/>
        <v>-198</v>
      </c>
      <c r="AH128" s="141">
        <f t="shared" si="101"/>
        <v>-198</v>
      </c>
      <c r="AI128" s="141">
        <f t="shared" si="101"/>
        <v>-198</v>
      </c>
      <c r="AJ128" s="141">
        <f t="shared" si="101"/>
        <v>-198</v>
      </c>
      <c r="AK128" s="141">
        <f t="shared" si="101"/>
        <v>-198</v>
      </c>
      <c r="AL128" s="141">
        <f t="shared" si="101"/>
        <v>-198</v>
      </c>
      <c r="AM128" s="141">
        <f t="shared" si="101"/>
        <v>-198</v>
      </c>
      <c r="AN128" s="141">
        <f t="shared" si="101"/>
        <v>-198</v>
      </c>
      <c r="AO128" s="141">
        <f t="shared" si="101"/>
        <v>-279</v>
      </c>
      <c r="AP128" s="141">
        <f t="shared" si="101"/>
        <v>-279</v>
      </c>
      <c r="AQ128" s="141">
        <f t="shared" si="101"/>
        <v>-279</v>
      </c>
      <c r="AR128" s="141">
        <f t="shared" si="101"/>
        <v>-279</v>
      </c>
      <c r="AS128" s="141">
        <f t="shared" si="101"/>
        <v>-279</v>
      </c>
      <c r="AT128" s="141">
        <f t="shared" si="101"/>
        <v>-279</v>
      </c>
      <c r="AU128" s="141">
        <f t="shared" si="101"/>
        <v>-279</v>
      </c>
      <c r="AV128" s="141">
        <f t="shared" si="101"/>
        <v>-279</v>
      </c>
      <c r="AW128" s="141">
        <f t="shared" si="101"/>
        <v>-279</v>
      </c>
      <c r="AX128" s="141">
        <f t="shared" si="101"/>
        <v>-279</v>
      </c>
      <c r="AY128" s="141">
        <f t="shared" si="101"/>
        <v>-279</v>
      </c>
      <c r="AZ128" s="141">
        <f t="shared" si="101"/>
        <v>-279</v>
      </c>
      <c r="BA128" s="141">
        <f t="shared" si="101"/>
        <v>-360</v>
      </c>
      <c r="BB128" s="141">
        <f t="shared" si="101"/>
        <v>-360</v>
      </c>
      <c r="BC128" s="141">
        <f t="shared" si="101"/>
        <v>-360</v>
      </c>
      <c r="BD128" s="141">
        <f t="shared" si="101"/>
        <v>-360</v>
      </c>
      <c r="BE128" s="141">
        <f t="shared" si="101"/>
        <v>-360</v>
      </c>
      <c r="BF128" s="141">
        <f t="shared" si="101"/>
        <v>-360</v>
      </c>
      <c r="BG128" s="141">
        <f t="shared" si="101"/>
        <v>-360</v>
      </c>
      <c r="BH128" s="141">
        <f t="shared" si="101"/>
        <v>-360</v>
      </c>
      <c r="BI128" s="141">
        <f t="shared" si="101"/>
        <v>-360</v>
      </c>
      <c r="BJ128" s="141">
        <f t="shared" si="101"/>
        <v>-360</v>
      </c>
      <c r="BK128" s="141">
        <f t="shared" si="101"/>
        <v>-360</v>
      </c>
      <c r="BL128" s="141">
        <f t="shared" si="101"/>
        <v>-360</v>
      </c>
      <c r="BM128" s="141"/>
      <c r="BN128" s="141"/>
    </row>
    <row r="129" spans="2:66">
      <c r="C129" s="128" t="s">
        <v>314</v>
      </c>
      <c r="D129" s="155">
        <f>SUM(-185/12)</f>
        <v>-15.416666666666666</v>
      </c>
      <c r="E129" s="141">
        <f>SUM($D129*COUNTIF(E19:E58,"&lt;0"))</f>
        <v>-61.666666666666664</v>
      </c>
      <c r="F129" s="141">
        <f t="shared" ref="F129:BL129" si="102">SUM($D129*COUNTIF(F19:F58,"&lt;0"))</f>
        <v>-61.666666666666664</v>
      </c>
      <c r="G129" s="141">
        <f t="shared" si="102"/>
        <v>-61.666666666666664</v>
      </c>
      <c r="H129" s="141">
        <f t="shared" si="102"/>
        <v>-77.083333333333329</v>
      </c>
      <c r="I129" s="141">
        <f t="shared" si="102"/>
        <v>-77.083333333333329</v>
      </c>
      <c r="J129" s="141">
        <f t="shared" si="102"/>
        <v>-77.083333333333329</v>
      </c>
      <c r="K129" s="141">
        <f t="shared" si="102"/>
        <v>-123.33333333333333</v>
      </c>
      <c r="L129" s="141">
        <f t="shared" si="102"/>
        <v>-123.33333333333333</v>
      </c>
      <c r="M129" s="141">
        <f t="shared" si="102"/>
        <v>-123.33333333333333</v>
      </c>
      <c r="N129" s="141">
        <f t="shared" si="102"/>
        <v>-123.33333333333333</v>
      </c>
      <c r="O129" s="141">
        <f t="shared" si="102"/>
        <v>-123.33333333333333</v>
      </c>
      <c r="P129" s="141">
        <f t="shared" si="102"/>
        <v>-123.33333333333333</v>
      </c>
      <c r="Q129" s="141">
        <f t="shared" si="102"/>
        <v>-200.41666666666666</v>
      </c>
      <c r="R129" s="141">
        <f t="shared" si="102"/>
        <v>-200.41666666666666</v>
      </c>
      <c r="S129" s="141">
        <f t="shared" si="102"/>
        <v>-200.41666666666666</v>
      </c>
      <c r="T129" s="141">
        <f t="shared" si="102"/>
        <v>-200.41666666666666</v>
      </c>
      <c r="U129" s="141">
        <f t="shared" si="102"/>
        <v>-200.41666666666666</v>
      </c>
      <c r="V129" s="141">
        <f t="shared" si="102"/>
        <v>-200.41666666666666</v>
      </c>
      <c r="W129" s="141">
        <f t="shared" si="102"/>
        <v>-200.41666666666666</v>
      </c>
      <c r="X129" s="141">
        <f t="shared" si="102"/>
        <v>-200.41666666666666</v>
      </c>
      <c r="Y129" s="141">
        <f t="shared" si="102"/>
        <v>-200.41666666666666</v>
      </c>
      <c r="Z129" s="141">
        <f t="shared" si="102"/>
        <v>-200.41666666666666</v>
      </c>
      <c r="AA129" s="141">
        <f t="shared" si="102"/>
        <v>-200.41666666666666</v>
      </c>
      <c r="AB129" s="141">
        <f t="shared" si="102"/>
        <v>-200.41666666666666</v>
      </c>
      <c r="AC129" s="141">
        <f t="shared" si="102"/>
        <v>-339.16666666666663</v>
      </c>
      <c r="AD129" s="141">
        <f t="shared" si="102"/>
        <v>-339.16666666666663</v>
      </c>
      <c r="AE129" s="141">
        <f t="shared" si="102"/>
        <v>-339.16666666666663</v>
      </c>
      <c r="AF129" s="141">
        <f t="shared" si="102"/>
        <v>-339.16666666666663</v>
      </c>
      <c r="AG129" s="141">
        <f t="shared" si="102"/>
        <v>-339.16666666666663</v>
      </c>
      <c r="AH129" s="141">
        <f t="shared" si="102"/>
        <v>-339.16666666666663</v>
      </c>
      <c r="AI129" s="141">
        <f t="shared" si="102"/>
        <v>-339.16666666666663</v>
      </c>
      <c r="AJ129" s="141">
        <f t="shared" si="102"/>
        <v>-339.16666666666663</v>
      </c>
      <c r="AK129" s="141">
        <f t="shared" si="102"/>
        <v>-339.16666666666663</v>
      </c>
      <c r="AL129" s="141">
        <f t="shared" si="102"/>
        <v>-339.16666666666663</v>
      </c>
      <c r="AM129" s="141">
        <f t="shared" si="102"/>
        <v>-339.16666666666663</v>
      </c>
      <c r="AN129" s="141">
        <f t="shared" si="102"/>
        <v>-339.16666666666663</v>
      </c>
      <c r="AO129" s="141">
        <f t="shared" si="102"/>
        <v>-477.91666666666663</v>
      </c>
      <c r="AP129" s="141">
        <f t="shared" si="102"/>
        <v>-477.91666666666663</v>
      </c>
      <c r="AQ129" s="141">
        <f t="shared" si="102"/>
        <v>-477.91666666666663</v>
      </c>
      <c r="AR129" s="141">
        <f t="shared" si="102"/>
        <v>-477.91666666666663</v>
      </c>
      <c r="AS129" s="141">
        <f t="shared" si="102"/>
        <v>-477.91666666666663</v>
      </c>
      <c r="AT129" s="141">
        <f t="shared" si="102"/>
        <v>-477.91666666666663</v>
      </c>
      <c r="AU129" s="141">
        <f t="shared" si="102"/>
        <v>-477.91666666666663</v>
      </c>
      <c r="AV129" s="141">
        <f t="shared" si="102"/>
        <v>-477.91666666666663</v>
      </c>
      <c r="AW129" s="141">
        <f t="shared" si="102"/>
        <v>-477.91666666666663</v>
      </c>
      <c r="AX129" s="141">
        <f t="shared" si="102"/>
        <v>-477.91666666666663</v>
      </c>
      <c r="AY129" s="141">
        <f t="shared" si="102"/>
        <v>-477.91666666666663</v>
      </c>
      <c r="AZ129" s="141">
        <f t="shared" si="102"/>
        <v>-477.91666666666663</v>
      </c>
      <c r="BA129" s="141">
        <f t="shared" si="102"/>
        <v>-616.66666666666663</v>
      </c>
      <c r="BB129" s="141">
        <f t="shared" si="102"/>
        <v>-616.66666666666663</v>
      </c>
      <c r="BC129" s="141">
        <f t="shared" si="102"/>
        <v>-616.66666666666663</v>
      </c>
      <c r="BD129" s="141">
        <f t="shared" si="102"/>
        <v>-616.66666666666663</v>
      </c>
      <c r="BE129" s="141">
        <f t="shared" si="102"/>
        <v>-616.66666666666663</v>
      </c>
      <c r="BF129" s="141">
        <f t="shared" si="102"/>
        <v>-616.66666666666663</v>
      </c>
      <c r="BG129" s="141">
        <f t="shared" si="102"/>
        <v>-616.66666666666663</v>
      </c>
      <c r="BH129" s="141">
        <f t="shared" si="102"/>
        <v>-616.66666666666663</v>
      </c>
      <c r="BI129" s="141">
        <f t="shared" si="102"/>
        <v>-616.66666666666663</v>
      </c>
      <c r="BJ129" s="141">
        <f t="shared" si="102"/>
        <v>-616.66666666666663</v>
      </c>
      <c r="BK129" s="141">
        <f t="shared" si="102"/>
        <v>-616.66666666666663</v>
      </c>
      <c r="BL129" s="141">
        <f t="shared" si="102"/>
        <v>-616.66666666666663</v>
      </c>
      <c r="BM129" s="141"/>
      <c r="BN129" s="141"/>
    </row>
    <row r="130" spans="2:66">
      <c r="C130" s="128" t="s">
        <v>315</v>
      </c>
      <c r="D130" s="155">
        <v>0</v>
      </c>
      <c r="E130" s="141">
        <v>-500</v>
      </c>
      <c r="F130" s="141">
        <v>-500</v>
      </c>
      <c r="G130" s="141">
        <v>-500</v>
      </c>
      <c r="H130" s="141">
        <v>-500</v>
      </c>
      <c r="I130" s="141">
        <v>-500</v>
      </c>
      <c r="J130" s="141">
        <v>-500</v>
      </c>
      <c r="K130" s="141">
        <v>-500</v>
      </c>
      <c r="L130" s="141">
        <v>-500</v>
      </c>
      <c r="M130" s="141">
        <v>-500</v>
      </c>
      <c r="N130" s="141">
        <v>-500</v>
      </c>
      <c r="O130" s="141">
        <v>-500</v>
      </c>
      <c r="P130" s="141">
        <v>-500</v>
      </c>
      <c r="Q130" s="141">
        <v>-500</v>
      </c>
      <c r="R130" s="141">
        <v>-500</v>
      </c>
      <c r="S130" s="141">
        <v>-500</v>
      </c>
      <c r="T130" s="141">
        <v>-500</v>
      </c>
      <c r="U130" s="141">
        <v>-500</v>
      </c>
      <c r="V130" s="141">
        <v>-500</v>
      </c>
      <c r="W130" s="141">
        <v>-500</v>
      </c>
      <c r="X130" s="141">
        <v>-500</v>
      </c>
      <c r="Y130" s="141">
        <v>-500</v>
      </c>
      <c r="Z130" s="141">
        <v>-500</v>
      </c>
      <c r="AA130" s="141">
        <v>-500</v>
      </c>
      <c r="AB130" s="141">
        <v>-500</v>
      </c>
      <c r="AC130" s="141">
        <v>-500</v>
      </c>
      <c r="AD130" s="141">
        <v>-500</v>
      </c>
      <c r="AE130" s="141">
        <v>-500</v>
      </c>
      <c r="AF130" s="141">
        <v>-500</v>
      </c>
      <c r="AG130" s="141">
        <v>-500</v>
      </c>
      <c r="AH130" s="141">
        <v>-500</v>
      </c>
      <c r="AI130" s="141">
        <v>-500</v>
      </c>
      <c r="AJ130" s="141">
        <v>-500</v>
      </c>
      <c r="AK130" s="141">
        <v>-500</v>
      </c>
      <c r="AL130" s="141">
        <v>-500</v>
      </c>
      <c r="AM130" s="141">
        <v>-500</v>
      </c>
      <c r="AN130" s="141">
        <v>-500</v>
      </c>
      <c r="AO130" s="141">
        <v>-500</v>
      </c>
      <c r="AP130" s="141">
        <v>-500</v>
      </c>
      <c r="AQ130" s="141">
        <v>-500</v>
      </c>
      <c r="AR130" s="141">
        <v>-500</v>
      </c>
      <c r="AS130" s="141">
        <v>-500</v>
      </c>
      <c r="AT130" s="141">
        <v>-500</v>
      </c>
      <c r="AU130" s="141">
        <v>-500</v>
      </c>
      <c r="AV130" s="141">
        <v>-500</v>
      </c>
      <c r="AW130" s="141">
        <v>-500</v>
      </c>
      <c r="AX130" s="141">
        <v>-500</v>
      </c>
      <c r="AY130" s="141">
        <v>-500</v>
      </c>
      <c r="AZ130" s="141">
        <v>-500</v>
      </c>
      <c r="BA130" s="141">
        <v>-500</v>
      </c>
      <c r="BB130" s="141">
        <v>-500</v>
      </c>
      <c r="BC130" s="141">
        <v>-500</v>
      </c>
      <c r="BD130" s="141">
        <v>-500</v>
      </c>
      <c r="BE130" s="141">
        <v>-500</v>
      </c>
      <c r="BF130" s="141">
        <v>-500</v>
      </c>
      <c r="BG130" s="141">
        <v>-500</v>
      </c>
      <c r="BH130" s="141">
        <v>-500</v>
      </c>
      <c r="BI130" s="141">
        <v>-500</v>
      </c>
      <c r="BJ130" s="141">
        <v>-500</v>
      </c>
      <c r="BK130" s="141">
        <v>-500</v>
      </c>
      <c r="BL130" s="141">
        <v>-500</v>
      </c>
      <c r="BM130" s="141"/>
      <c r="BN130" s="141"/>
    </row>
    <row r="131" spans="2:66">
      <c r="C131" s="128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41"/>
      <c r="AJ131" s="141"/>
      <c r="AK131" s="141"/>
      <c r="AL131" s="141"/>
      <c r="AM131" s="141"/>
      <c r="AN131" s="141"/>
      <c r="AO131" s="141"/>
      <c r="AP131" s="141"/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A131" s="141"/>
      <c r="BB131" s="141"/>
      <c r="BC131" s="141"/>
      <c r="BD131" s="141"/>
      <c r="BE131" s="141"/>
      <c r="BF131" s="141"/>
      <c r="BG131" s="141"/>
      <c r="BH131" s="141"/>
      <c r="BI131" s="141"/>
      <c r="BJ131" s="141"/>
      <c r="BK131" s="141"/>
      <c r="BL131" s="141"/>
      <c r="BM131" s="141"/>
      <c r="BN131" s="141"/>
    </row>
    <row r="132" spans="2:66">
      <c r="B132" s="129">
        <f>SUM(E132:AN132)</f>
        <v>-178099.59</v>
      </c>
      <c r="C132" s="130" t="s">
        <v>316</v>
      </c>
      <c r="D132" s="131"/>
      <c r="E132" s="144">
        <f t="shared" ref="E132:AJ132" si="103">SUM(E133:E145)</f>
        <v>0</v>
      </c>
      <c r="F132" s="144">
        <f t="shared" si="103"/>
        <v>0</v>
      </c>
      <c r="G132" s="144">
        <f t="shared" si="103"/>
        <v>0</v>
      </c>
      <c r="H132" s="144">
        <f t="shared" si="103"/>
        <v>-95</v>
      </c>
      <c r="I132" s="144">
        <f t="shared" si="103"/>
        <v>-95</v>
      </c>
      <c r="J132" s="144">
        <f t="shared" si="103"/>
        <v>-95</v>
      </c>
      <c r="K132" s="144">
        <f t="shared" si="103"/>
        <v>-667</v>
      </c>
      <c r="L132" s="144">
        <f t="shared" si="103"/>
        <v>-717</v>
      </c>
      <c r="M132" s="144">
        <f t="shared" si="103"/>
        <v>-772</v>
      </c>
      <c r="N132" s="144">
        <f t="shared" si="103"/>
        <v>-832.5</v>
      </c>
      <c r="O132" s="144">
        <f t="shared" si="103"/>
        <v>-899.05</v>
      </c>
      <c r="P132" s="144">
        <f t="shared" si="103"/>
        <v>-972.255</v>
      </c>
      <c r="Q132" s="144">
        <f t="shared" si="103"/>
        <v>-1262</v>
      </c>
      <c r="R132" s="144">
        <f t="shared" si="103"/>
        <v>-1362</v>
      </c>
      <c r="S132" s="144">
        <f t="shared" si="103"/>
        <v>-1472</v>
      </c>
      <c r="T132" s="144">
        <f t="shared" si="103"/>
        <v>-1593</v>
      </c>
      <c r="U132" s="144">
        <f t="shared" si="103"/>
        <v>-1726.1</v>
      </c>
      <c r="V132" s="144">
        <f t="shared" si="103"/>
        <v>-1872.51</v>
      </c>
      <c r="W132" s="144">
        <f t="shared" si="103"/>
        <v>-2762</v>
      </c>
      <c r="X132" s="144">
        <f t="shared" si="103"/>
        <v>-3012</v>
      </c>
      <c r="Y132" s="144">
        <f t="shared" si="103"/>
        <v>-3287</v>
      </c>
      <c r="Z132" s="144">
        <f t="shared" si="103"/>
        <v>-3589.5</v>
      </c>
      <c r="AA132" s="144">
        <f t="shared" si="103"/>
        <v>-3922.25</v>
      </c>
      <c r="AB132" s="144">
        <f t="shared" si="103"/>
        <v>-4288.2749999999996</v>
      </c>
      <c r="AC132" s="144">
        <f t="shared" si="103"/>
        <v>-7256</v>
      </c>
      <c r="AD132" s="144">
        <f t="shared" si="103"/>
        <v>-7756</v>
      </c>
      <c r="AE132" s="144">
        <f t="shared" si="103"/>
        <v>-8306</v>
      </c>
      <c r="AF132" s="144">
        <f t="shared" si="103"/>
        <v>-8911</v>
      </c>
      <c r="AG132" s="144">
        <f t="shared" si="103"/>
        <v>-9576.5</v>
      </c>
      <c r="AH132" s="144">
        <f t="shared" si="103"/>
        <v>-10308.549999999999</v>
      </c>
      <c r="AI132" s="144">
        <f t="shared" si="103"/>
        <v>-12256</v>
      </c>
      <c r="AJ132" s="144">
        <f t="shared" si="103"/>
        <v>-13256</v>
      </c>
      <c r="AK132" s="144">
        <f t="shared" ref="AK132:BP132" si="104">SUM(AK133:AK145)</f>
        <v>-14356</v>
      </c>
      <c r="AL132" s="144">
        <f t="shared" si="104"/>
        <v>-15566</v>
      </c>
      <c r="AM132" s="144">
        <f t="shared" si="104"/>
        <v>-16897</v>
      </c>
      <c r="AN132" s="144">
        <f t="shared" si="104"/>
        <v>-18361.099999999999</v>
      </c>
      <c r="AO132" s="144">
        <f t="shared" si="104"/>
        <v>-23306</v>
      </c>
      <c r="AP132" s="144">
        <f t="shared" si="104"/>
        <v>-24306</v>
      </c>
      <c r="AQ132" s="144">
        <f t="shared" si="104"/>
        <v>-25356</v>
      </c>
      <c r="AR132" s="144">
        <f t="shared" si="104"/>
        <v>-28306</v>
      </c>
      <c r="AS132" s="144">
        <f t="shared" si="104"/>
        <v>-29556</v>
      </c>
      <c r="AT132" s="144">
        <f t="shared" si="104"/>
        <v>-30868.5</v>
      </c>
      <c r="AU132" s="144">
        <f t="shared" si="104"/>
        <v>-33306</v>
      </c>
      <c r="AV132" s="144">
        <f t="shared" si="104"/>
        <v>-34806</v>
      </c>
      <c r="AW132" s="144">
        <f t="shared" si="104"/>
        <v>-36381</v>
      </c>
      <c r="AX132" s="144">
        <f t="shared" si="104"/>
        <v>-38306</v>
      </c>
      <c r="AY132" s="144">
        <f t="shared" si="104"/>
        <v>-40056</v>
      </c>
      <c r="AZ132" s="144">
        <f t="shared" si="104"/>
        <v>-41893.5</v>
      </c>
      <c r="BA132" s="144">
        <f t="shared" si="104"/>
        <v>-49276</v>
      </c>
      <c r="BB132" s="144">
        <f t="shared" si="104"/>
        <v>-51526</v>
      </c>
      <c r="BC132" s="144">
        <f t="shared" si="104"/>
        <v>-53888.5</v>
      </c>
      <c r="BD132" s="144">
        <f t="shared" si="104"/>
        <v>-54276</v>
      </c>
      <c r="BE132" s="144">
        <f t="shared" si="104"/>
        <v>-56776</v>
      </c>
      <c r="BF132" s="144">
        <f t="shared" si="104"/>
        <v>-59401</v>
      </c>
      <c r="BG132" s="144">
        <f t="shared" si="104"/>
        <v>-74276</v>
      </c>
      <c r="BH132" s="144">
        <f t="shared" si="104"/>
        <v>-77776</v>
      </c>
      <c r="BI132" s="144">
        <f t="shared" si="104"/>
        <v>-81451</v>
      </c>
      <c r="BJ132" s="144">
        <f t="shared" si="104"/>
        <v>-85309.75</v>
      </c>
      <c r="BK132" s="144">
        <f t="shared" si="104"/>
        <v>-89361.4375</v>
      </c>
      <c r="BL132" s="144">
        <f t="shared" si="104"/>
        <v>-93615.709375000006</v>
      </c>
      <c r="BM132" s="141"/>
      <c r="BN132" s="141"/>
    </row>
    <row r="133" spans="2:66">
      <c r="C133" s="8" t="s">
        <v>317</v>
      </c>
      <c r="D133" s="155"/>
      <c r="E133" s="14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 s="141"/>
      <c r="BN133" s="141"/>
    </row>
    <row r="134" spans="2:66">
      <c r="C134" s="126" t="s">
        <v>318</v>
      </c>
      <c r="D134" s="380">
        <v>-0.01</v>
      </c>
      <c r="E134" s="141"/>
      <c r="F134" s="376"/>
      <c r="G134" s="376"/>
      <c r="H134" s="376"/>
      <c r="I134" s="376"/>
      <c r="J134" s="376"/>
      <c r="K134" s="381">
        <f>'Rev Forecast'!$L15*$D$134</f>
        <v>-500</v>
      </c>
      <c r="L134" s="382">
        <f>K134+(K134*0.1)</f>
        <v>-550</v>
      </c>
      <c r="M134" s="382">
        <f t="shared" ref="M134:P134" si="105">L134+(L134*0.1)</f>
        <v>-605</v>
      </c>
      <c r="N134" s="382">
        <f t="shared" si="105"/>
        <v>-665.5</v>
      </c>
      <c r="O134" s="382">
        <f t="shared" si="105"/>
        <v>-732.05</v>
      </c>
      <c r="P134" s="382">
        <f t="shared" si="105"/>
        <v>-805.255</v>
      </c>
      <c r="Q134" s="381">
        <f>'Rev Forecast'!$R15*$D$134</f>
        <v>-1000</v>
      </c>
      <c r="R134" s="382">
        <f>Q134+(Q134*0.1)</f>
        <v>-1100</v>
      </c>
      <c r="S134" s="382">
        <f t="shared" ref="S134:AN134" si="106">R134+(R134*0.1)</f>
        <v>-1210</v>
      </c>
      <c r="T134" s="382">
        <f t="shared" si="106"/>
        <v>-1331</v>
      </c>
      <c r="U134" s="382">
        <f t="shared" si="106"/>
        <v>-1464.1</v>
      </c>
      <c r="V134" s="382">
        <f t="shared" si="106"/>
        <v>-1610.51</v>
      </c>
      <c r="W134" s="381">
        <f>'Rev Forecast'!$X15*$D$134</f>
        <v>-2500</v>
      </c>
      <c r="X134" s="382">
        <f t="shared" si="106"/>
        <v>-2750</v>
      </c>
      <c r="Y134" s="382">
        <f t="shared" si="106"/>
        <v>-3025</v>
      </c>
      <c r="Z134" s="382">
        <f t="shared" si="106"/>
        <v>-3327.5</v>
      </c>
      <c r="AA134" s="382">
        <f t="shared" si="106"/>
        <v>-3660.25</v>
      </c>
      <c r="AB134" s="382">
        <f t="shared" si="106"/>
        <v>-4026.2750000000001</v>
      </c>
      <c r="AC134" s="381">
        <f>'Rev Forecast'!$AD15*$D$134</f>
        <v>-5000</v>
      </c>
      <c r="AD134" s="382">
        <f t="shared" si="106"/>
        <v>-5500</v>
      </c>
      <c r="AE134" s="382">
        <f t="shared" si="106"/>
        <v>-6050</v>
      </c>
      <c r="AF134" s="382">
        <f t="shared" si="106"/>
        <v>-6655</v>
      </c>
      <c r="AG134" s="382">
        <f t="shared" si="106"/>
        <v>-7320.5</v>
      </c>
      <c r="AH134" s="382">
        <f t="shared" si="106"/>
        <v>-8052.55</v>
      </c>
      <c r="AI134" s="381">
        <f>'Rev Forecast'!$AJ15*$D$134</f>
        <v>-10000</v>
      </c>
      <c r="AJ134" s="382">
        <f t="shared" si="106"/>
        <v>-11000</v>
      </c>
      <c r="AK134" s="382">
        <f t="shared" si="106"/>
        <v>-12100</v>
      </c>
      <c r="AL134" s="382">
        <f t="shared" si="106"/>
        <v>-13310</v>
      </c>
      <c r="AM134" s="382">
        <f t="shared" si="106"/>
        <v>-14641</v>
      </c>
      <c r="AN134" s="382">
        <f t="shared" si="106"/>
        <v>-16105.1</v>
      </c>
      <c r="AO134" s="381">
        <f>'Rev Forecast'!$AP15*$D$134</f>
        <v>-20000</v>
      </c>
      <c r="AP134" s="382">
        <f>AO134+(AO134*0.05)</f>
        <v>-21000</v>
      </c>
      <c r="AQ134" s="382">
        <f>AP134+(AP134*0.05)</f>
        <v>-22050</v>
      </c>
      <c r="AR134" s="382">
        <f>'Rev Forecast'!$AS15*$D$134</f>
        <v>-25000</v>
      </c>
      <c r="AS134" s="382">
        <f>AR134+(AR134*0.05)</f>
        <v>-26250</v>
      </c>
      <c r="AT134" s="382">
        <f>AS134+(AS134*0.05)</f>
        <v>-27562.5</v>
      </c>
      <c r="AU134" s="381">
        <f>'Rev Forecast'!$AV15*$D$134</f>
        <v>-30000</v>
      </c>
      <c r="AV134" s="382">
        <f t="shared" ref="AV134:AW134" si="107">AU134+(AU134*0.05)</f>
        <v>-31500</v>
      </c>
      <c r="AW134" s="382">
        <f t="shared" si="107"/>
        <v>-33075</v>
      </c>
      <c r="AX134" s="381">
        <f>'Rev Forecast'!$AY15*$D$134</f>
        <v>-35000</v>
      </c>
      <c r="AY134" s="382">
        <f t="shared" ref="AY134:AZ134" si="108">AX134+(AX134*0.05)</f>
        <v>-36750</v>
      </c>
      <c r="AZ134" s="382">
        <f t="shared" si="108"/>
        <v>-38587.5</v>
      </c>
      <c r="BA134" s="381">
        <f>'Rev Forecast'!$BB15*$D$134</f>
        <v>-45000</v>
      </c>
      <c r="BB134" s="382">
        <f t="shared" ref="BB134:BC134" si="109">BA134+(BA134*0.05)</f>
        <v>-47250</v>
      </c>
      <c r="BC134" s="382">
        <f t="shared" si="109"/>
        <v>-49612.5</v>
      </c>
      <c r="BD134" s="381">
        <f>'Rev Forecast'!$BE15*$D$134</f>
        <v>-50000</v>
      </c>
      <c r="BE134" s="382">
        <f t="shared" ref="BE134:BL134" si="110">BD134+(BD134*0.05)</f>
        <v>-52500</v>
      </c>
      <c r="BF134" s="382">
        <f t="shared" si="110"/>
        <v>-55125</v>
      </c>
      <c r="BG134" s="381">
        <f>'Rev Forecast'!$BH15*$D$134</f>
        <v>-70000</v>
      </c>
      <c r="BH134" s="382">
        <f t="shared" si="110"/>
        <v>-73500</v>
      </c>
      <c r="BI134" s="382">
        <f t="shared" si="110"/>
        <v>-77175</v>
      </c>
      <c r="BJ134" s="382">
        <f t="shared" si="110"/>
        <v>-81033.75</v>
      </c>
      <c r="BK134" s="382">
        <f t="shared" si="110"/>
        <v>-85085.4375</v>
      </c>
      <c r="BL134" s="382">
        <f t="shared" si="110"/>
        <v>-89339.709375000006</v>
      </c>
      <c r="BM134" s="141"/>
      <c r="BN134" s="141"/>
    </row>
    <row r="135" spans="2:66">
      <c r="C135" s="126" t="s">
        <v>319</v>
      </c>
      <c r="D135" s="155">
        <v>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 s="141"/>
      <c r="BN135" s="141"/>
    </row>
    <row r="136" spans="2:66">
      <c r="C136" s="126"/>
      <c r="D136" s="155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 s="141"/>
      <c r="BN136" s="141"/>
    </row>
    <row r="137" spans="2:66">
      <c r="C137" s="126" t="s">
        <v>320</v>
      </c>
      <c r="D137" s="155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 s="141"/>
      <c r="BN137" s="141"/>
    </row>
    <row r="138" spans="2:66">
      <c r="C138" s="126" t="s">
        <v>321</v>
      </c>
      <c r="D138" s="155">
        <v>-19</v>
      </c>
      <c r="E138"/>
      <c r="F138"/>
      <c r="G138"/>
      <c r="H138" s="379">
        <f>COUNT(H19:H58)*$D$138</f>
        <v>-95</v>
      </c>
      <c r="I138" s="379">
        <f t="shared" ref="I138:AB138" si="111">COUNT(I19:I58)*$D$138</f>
        <v>-95</v>
      </c>
      <c r="J138" s="379">
        <f t="shared" si="111"/>
        <v>-95</v>
      </c>
      <c r="K138" s="379">
        <f t="shared" si="111"/>
        <v>-152</v>
      </c>
      <c r="L138" s="379">
        <f t="shared" si="111"/>
        <v>-152</v>
      </c>
      <c r="M138" s="379">
        <f t="shared" si="111"/>
        <v>-152</v>
      </c>
      <c r="N138" s="379">
        <f t="shared" si="111"/>
        <v>-152</v>
      </c>
      <c r="O138" s="379">
        <f t="shared" si="111"/>
        <v>-152</v>
      </c>
      <c r="P138" s="379">
        <f t="shared" si="111"/>
        <v>-152</v>
      </c>
      <c r="Q138" s="379">
        <f t="shared" si="111"/>
        <v>-247</v>
      </c>
      <c r="R138" s="379">
        <f t="shared" si="111"/>
        <v>-247</v>
      </c>
      <c r="S138" s="379">
        <f t="shared" si="111"/>
        <v>-247</v>
      </c>
      <c r="T138" s="379">
        <f t="shared" si="111"/>
        <v>-247</v>
      </c>
      <c r="U138" s="379">
        <f t="shared" si="111"/>
        <v>-247</v>
      </c>
      <c r="V138" s="379">
        <f t="shared" si="111"/>
        <v>-247</v>
      </c>
      <c r="W138" s="379">
        <f t="shared" si="111"/>
        <v>-247</v>
      </c>
      <c r="X138" s="379">
        <f t="shared" si="111"/>
        <v>-247</v>
      </c>
      <c r="Y138" s="379">
        <f t="shared" si="111"/>
        <v>-247</v>
      </c>
      <c r="Z138" s="379">
        <f t="shared" si="111"/>
        <v>-247</v>
      </c>
      <c r="AA138" s="379">
        <f t="shared" si="111"/>
        <v>-247</v>
      </c>
      <c r="AB138" s="379">
        <f t="shared" si="111"/>
        <v>-247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 s="141"/>
      <c r="BN138" s="141"/>
    </row>
    <row r="139" spans="2:66">
      <c r="C139" s="126" t="s">
        <v>322</v>
      </c>
      <c r="D139" s="155">
        <v>-99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 s="379">
        <f>COUNT(AC20:AC59)*$D$139</f>
        <v>-2178</v>
      </c>
      <c r="AD139" s="379">
        <f t="shared" ref="AD139:BL139" si="112">COUNT(AD20:AD59)*$D$139</f>
        <v>-2178</v>
      </c>
      <c r="AE139" s="379">
        <f t="shared" si="112"/>
        <v>-2178</v>
      </c>
      <c r="AF139" s="379">
        <f t="shared" si="112"/>
        <v>-2178</v>
      </c>
      <c r="AG139" s="379">
        <f t="shared" si="112"/>
        <v>-2178</v>
      </c>
      <c r="AH139" s="379">
        <f t="shared" si="112"/>
        <v>-2178</v>
      </c>
      <c r="AI139" s="379">
        <f t="shared" si="112"/>
        <v>-2178</v>
      </c>
      <c r="AJ139" s="379">
        <f t="shared" si="112"/>
        <v>-2178</v>
      </c>
      <c r="AK139" s="379">
        <f t="shared" si="112"/>
        <v>-2178</v>
      </c>
      <c r="AL139" s="379">
        <f t="shared" si="112"/>
        <v>-2178</v>
      </c>
      <c r="AM139" s="379">
        <f t="shared" si="112"/>
        <v>-2178</v>
      </c>
      <c r="AN139" s="379">
        <f t="shared" si="112"/>
        <v>-2178</v>
      </c>
      <c r="AO139" s="379">
        <f t="shared" si="112"/>
        <v>-3069</v>
      </c>
      <c r="AP139" s="379">
        <f t="shared" si="112"/>
        <v>-3069</v>
      </c>
      <c r="AQ139" s="379">
        <f t="shared" si="112"/>
        <v>-3069</v>
      </c>
      <c r="AR139" s="379">
        <f t="shared" si="112"/>
        <v>-3069</v>
      </c>
      <c r="AS139" s="379">
        <f t="shared" si="112"/>
        <v>-3069</v>
      </c>
      <c r="AT139" s="379">
        <f t="shared" si="112"/>
        <v>-3069</v>
      </c>
      <c r="AU139" s="379">
        <f t="shared" si="112"/>
        <v>-3069</v>
      </c>
      <c r="AV139" s="379">
        <f t="shared" si="112"/>
        <v>-3069</v>
      </c>
      <c r="AW139" s="379">
        <f t="shared" si="112"/>
        <v>-3069</v>
      </c>
      <c r="AX139" s="379">
        <f t="shared" si="112"/>
        <v>-3069</v>
      </c>
      <c r="AY139" s="379">
        <f t="shared" si="112"/>
        <v>-3069</v>
      </c>
      <c r="AZ139" s="379">
        <f t="shared" si="112"/>
        <v>-3069</v>
      </c>
      <c r="BA139" s="379">
        <f t="shared" si="112"/>
        <v>-3960</v>
      </c>
      <c r="BB139" s="379">
        <f t="shared" si="112"/>
        <v>-3960</v>
      </c>
      <c r="BC139" s="379">
        <f t="shared" si="112"/>
        <v>-3960</v>
      </c>
      <c r="BD139" s="379">
        <f t="shared" si="112"/>
        <v>-3960</v>
      </c>
      <c r="BE139" s="379">
        <f t="shared" si="112"/>
        <v>-3960</v>
      </c>
      <c r="BF139" s="379">
        <f t="shared" si="112"/>
        <v>-3960</v>
      </c>
      <c r="BG139" s="379">
        <f t="shared" si="112"/>
        <v>-3960</v>
      </c>
      <c r="BH139" s="379">
        <f t="shared" si="112"/>
        <v>-3960</v>
      </c>
      <c r="BI139" s="379">
        <f t="shared" si="112"/>
        <v>-3960</v>
      </c>
      <c r="BJ139" s="379">
        <f t="shared" si="112"/>
        <v>-3960</v>
      </c>
      <c r="BK139" s="379">
        <f t="shared" si="112"/>
        <v>-3960</v>
      </c>
      <c r="BL139" s="379">
        <f t="shared" si="112"/>
        <v>-3960</v>
      </c>
      <c r="BM139" s="141"/>
      <c r="BN139" s="141"/>
    </row>
    <row r="140" spans="2:66">
      <c r="C140" s="125"/>
      <c r="D140" s="155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 s="141"/>
      <c r="BN140" s="141"/>
    </row>
    <row r="141" spans="2:66">
      <c r="C141" s="126" t="s">
        <v>323</v>
      </c>
      <c r="D141" s="155"/>
      <c r="E141"/>
      <c r="F141" t="s">
        <v>324</v>
      </c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 s="141"/>
      <c r="BN141" s="141"/>
    </row>
    <row r="142" spans="2:66">
      <c r="C142" s="123" t="s">
        <v>325</v>
      </c>
      <c r="D142" s="155">
        <v>-15</v>
      </c>
      <c r="E142" s="378"/>
      <c r="F142" s="378"/>
      <c r="G142" s="378"/>
      <c r="H142" s="378"/>
      <c r="I142" s="378"/>
      <c r="J142" s="378"/>
      <c r="K142" s="378">
        <f t="shared" ref="K142:AB142" si="113">$D142</f>
        <v>-15</v>
      </c>
      <c r="L142" s="378">
        <f t="shared" si="113"/>
        <v>-15</v>
      </c>
      <c r="M142" s="378">
        <f t="shared" si="113"/>
        <v>-15</v>
      </c>
      <c r="N142" s="378">
        <f t="shared" si="113"/>
        <v>-15</v>
      </c>
      <c r="O142" s="378">
        <f t="shared" si="113"/>
        <v>-15</v>
      </c>
      <c r="P142" s="378">
        <f t="shared" si="113"/>
        <v>-15</v>
      </c>
      <c r="Q142" s="378">
        <f t="shared" si="113"/>
        <v>-15</v>
      </c>
      <c r="R142" s="378">
        <f t="shared" si="113"/>
        <v>-15</v>
      </c>
      <c r="S142" s="378">
        <f t="shared" si="113"/>
        <v>-15</v>
      </c>
      <c r="T142" s="378">
        <f t="shared" si="113"/>
        <v>-15</v>
      </c>
      <c r="U142" s="378">
        <f t="shared" si="113"/>
        <v>-15</v>
      </c>
      <c r="V142" s="378">
        <f t="shared" si="113"/>
        <v>-15</v>
      </c>
      <c r="W142" s="378">
        <f t="shared" si="113"/>
        <v>-15</v>
      </c>
      <c r="X142" s="378">
        <f t="shared" si="113"/>
        <v>-15</v>
      </c>
      <c r="Y142" s="378">
        <f t="shared" si="113"/>
        <v>-15</v>
      </c>
      <c r="Z142" s="378">
        <f t="shared" si="113"/>
        <v>-15</v>
      </c>
      <c r="AA142" s="378">
        <f t="shared" si="113"/>
        <v>-15</v>
      </c>
      <c r="AB142" s="378">
        <f t="shared" si="113"/>
        <v>-15</v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 s="141"/>
      <c r="BN142" s="141"/>
    </row>
    <row r="143" spans="2:66">
      <c r="C143" s="123" t="s">
        <v>326</v>
      </c>
      <c r="D143" s="155">
        <v>-39</v>
      </c>
      <c r="E143" s="146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378">
        <f>$D143*2</f>
        <v>-78</v>
      </c>
      <c r="AD143" s="378">
        <f t="shared" ref="AD143:AN143" si="114">$D143*2</f>
        <v>-78</v>
      </c>
      <c r="AE143" s="378">
        <f t="shared" si="114"/>
        <v>-78</v>
      </c>
      <c r="AF143" s="378">
        <f t="shared" si="114"/>
        <v>-78</v>
      </c>
      <c r="AG143" s="378">
        <f t="shared" si="114"/>
        <v>-78</v>
      </c>
      <c r="AH143" s="378">
        <f t="shared" si="114"/>
        <v>-78</v>
      </c>
      <c r="AI143" s="378">
        <f t="shared" si="114"/>
        <v>-78</v>
      </c>
      <c r="AJ143" s="378">
        <f t="shared" si="114"/>
        <v>-78</v>
      </c>
      <c r="AK143" s="378">
        <f t="shared" si="114"/>
        <v>-78</v>
      </c>
      <c r="AL143" s="378">
        <f t="shared" si="114"/>
        <v>-78</v>
      </c>
      <c r="AM143" s="378">
        <f t="shared" si="114"/>
        <v>-78</v>
      </c>
      <c r="AN143" s="378">
        <f t="shared" si="114"/>
        <v>-78</v>
      </c>
      <c r="AO143" s="141"/>
      <c r="AP143" s="141"/>
      <c r="AQ143" s="141"/>
      <c r="AR143" s="141"/>
      <c r="AS143" s="141"/>
      <c r="AT143" s="141"/>
      <c r="AU143" s="141"/>
      <c r="AV143" s="141"/>
      <c r="AW143" s="141"/>
      <c r="AX143" s="141"/>
      <c r="AY143" s="141"/>
      <c r="AZ143" s="141"/>
      <c r="BA143" s="141"/>
      <c r="BB143" s="141"/>
      <c r="BC143" s="141"/>
      <c r="BD143" s="141"/>
      <c r="BE143" s="141"/>
      <c r="BF143" s="141"/>
      <c r="BG143" s="141"/>
      <c r="BH143" s="141"/>
      <c r="BI143" s="141"/>
      <c r="BJ143" s="141"/>
      <c r="BK143" s="141"/>
      <c r="BL143" s="141"/>
      <c r="BM143" s="141"/>
      <c r="BN143" s="141"/>
    </row>
    <row r="144" spans="2:66">
      <c r="C144" s="123" t="s">
        <v>327</v>
      </c>
      <c r="D144" s="155">
        <v>-79</v>
      </c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  <c r="AF144" s="141"/>
      <c r="AG144" s="141"/>
      <c r="AH144" s="141"/>
      <c r="AI144" s="141"/>
      <c r="AJ144" s="141"/>
      <c r="AK144" s="141"/>
      <c r="AL144" s="141"/>
      <c r="AM144" s="141"/>
      <c r="AN144" s="141"/>
      <c r="AO144" s="378">
        <f>$D144*3</f>
        <v>-237</v>
      </c>
      <c r="AP144" s="378">
        <f t="shared" ref="AP144:AZ144" si="115">$D144*3</f>
        <v>-237</v>
      </c>
      <c r="AQ144" s="378">
        <f t="shared" si="115"/>
        <v>-237</v>
      </c>
      <c r="AR144" s="378">
        <f t="shared" si="115"/>
        <v>-237</v>
      </c>
      <c r="AS144" s="378">
        <f t="shared" si="115"/>
        <v>-237</v>
      </c>
      <c r="AT144" s="378">
        <f t="shared" si="115"/>
        <v>-237</v>
      </c>
      <c r="AU144" s="378">
        <f t="shared" si="115"/>
        <v>-237</v>
      </c>
      <c r="AV144" s="378">
        <f t="shared" si="115"/>
        <v>-237</v>
      </c>
      <c r="AW144" s="378">
        <f t="shared" si="115"/>
        <v>-237</v>
      </c>
      <c r="AX144" s="378">
        <f t="shared" si="115"/>
        <v>-237</v>
      </c>
      <c r="AY144" s="378">
        <f t="shared" si="115"/>
        <v>-237</v>
      </c>
      <c r="AZ144" s="378">
        <f t="shared" si="115"/>
        <v>-237</v>
      </c>
      <c r="BA144" s="378">
        <f>$D144*4</f>
        <v>-316</v>
      </c>
      <c r="BB144" s="378">
        <f t="shared" ref="BB144:BL144" si="116">$D144*4</f>
        <v>-316</v>
      </c>
      <c r="BC144" s="378">
        <f t="shared" si="116"/>
        <v>-316</v>
      </c>
      <c r="BD144" s="378">
        <f t="shared" si="116"/>
        <v>-316</v>
      </c>
      <c r="BE144" s="378">
        <f t="shared" si="116"/>
        <v>-316</v>
      </c>
      <c r="BF144" s="378">
        <f t="shared" si="116"/>
        <v>-316</v>
      </c>
      <c r="BG144" s="378">
        <f t="shared" si="116"/>
        <v>-316</v>
      </c>
      <c r="BH144" s="378">
        <f t="shared" si="116"/>
        <v>-316</v>
      </c>
      <c r="BI144" s="378">
        <f t="shared" si="116"/>
        <v>-316</v>
      </c>
      <c r="BJ144" s="378">
        <f t="shared" si="116"/>
        <v>-316</v>
      </c>
      <c r="BK144" s="378">
        <f t="shared" si="116"/>
        <v>-316</v>
      </c>
      <c r="BL144" s="378">
        <f t="shared" si="116"/>
        <v>-316</v>
      </c>
      <c r="BM144" s="141"/>
      <c r="BN144" s="141"/>
    </row>
    <row r="145" spans="2:66">
      <c r="C145" s="126"/>
      <c r="D145" s="155">
        <v>0</v>
      </c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  <c r="AF145" s="141"/>
      <c r="AG145" s="141"/>
      <c r="AH145" s="141"/>
      <c r="AI145" s="141"/>
      <c r="AJ145" s="141"/>
      <c r="AK145" s="141"/>
      <c r="AL145" s="141"/>
      <c r="AM145" s="141"/>
      <c r="AN145" s="141"/>
      <c r="AO145" s="141"/>
      <c r="AP145" s="141"/>
      <c r="AQ145" s="141"/>
      <c r="AR145" s="141"/>
      <c r="AS145" s="141"/>
      <c r="AT145" s="141"/>
      <c r="AU145" s="141"/>
      <c r="AV145" s="141"/>
      <c r="AW145" s="141"/>
      <c r="AX145" s="141"/>
      <c r="AY145" s="141"/>
      <c r="AZ145" s="141"/>
      <c r="BA145" s="141"/>
      <c r="BB145" s="141"/>
      <c r="BC145" s="141"/>
      <c r="BD145" s="141"/>
      <c r="BE145" s="141"/>
      <c r="BF145" s="141"/>
      <c r="BG145" s="141"/>
      <c r="BH145" s="141"/>
      <c r="BI145" s="141"/>
      <c r="BJ145" s="141"/>
      <c r="BK145" s="141"/>
      <c r="BL145" s="141"/>
      <c r="BM145" s="141"/>
      <c r="BN145" s="141"/>
    </row>
    <row r="146" spans="2:66">
      <c r="C146" s="126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41"/>
      <c r="AJ146" s="141"/>
      <c r="AK146" s="141"/>
      <c r="AL146" s="141"/>
      <c r="AM146" s="141"/>
      <c r="AN146" s="141"/>
      <c r="AO146" s="141"/>
      <c r="AP146" s="141"/>
      <c r="AQ146" s="141"/>
      <c r="AR146" s="141"/>
      <c r="AS146" s="141"/>
      <c r="AT146" s="141"/>
      <c r="AU146" s="141"/>
      <c r="AV146" s="141"/>
      <c r="AW146" s="141"/>
      <c r="AX146" s="141"/>
      <c r="AY146" s="141"/>
      <c r="AZ146" s="141"/>
      <c r="BA146" s="141"/>
      <c r="BB146" s="141"/>
      <c r="BC146" s="141"/>
      <c r="BD146" s="141"/>
      <c r="BE146" s="141"/>
      <c r="BF146" s="141"/>
      <c r="BG146" s="141"/>
      <c r="BH146" s="141"/>
      <c r="BI146" s="141"/>
      <c r="BJ146" s="141"/>
      <c r="BK146" s="141"/>
      <c r="BL146" s="141"/>
      <c r="BM146" s="141"/>
      <c r="BN146" s="141"/>
    </row>
    <row r="147" spans="2:66">
      <c r="B147" s="129">
        <f>SUM(E147:AN147)</f>
        <v>-540000</v>
      </c>
      <c r="C147" s="130" t="s">
        <v>328</v>
      </c>
      <c r="D147" s="131"/>
      <c r="E147" s="144">
        <f t="shared" ref="E147:AJ147" si="117">SUM(E148:E153)</f>
        <v>-10000</v>
      </c>
      <c r="F147" s="144">
        <f t="shared" si="117"/>
        <v>-10000</v>
      </c>
      <c r="G147" s="144">
        <f t="shared" si="117"/>
        <v>-10000</v>
      </c>
      <c r="H147" s="144">
        <f t="shared" si="117"/>
        <v>-10000</v>
      </c>
      <c r="I147" s="144">
        <f t="shared" si="117"/>
        <v>-10000</v>
      </c>
      <c r="J147" s="144">
        <f t="shared" si="117"/>
        <v>-10000</v>
      </c>
      <c r="K147" s="144">
        <f t="shared" si="117"/>
        <v>-10000</v>
      </c>
      <c r="L147" s="144">
        <f t="shared" si="117"/>
        <v>-10000</v>
      </c>
      <c r="M147" s="144">
        <f t="shared" si="117"/>
        <v>-10000</v>
      </c>
      <c r="N147" s="144">
        <f t="shared" si="117"/>
        <v>-10000</v>
      </c>
      <c r="O147" s="144">
        <f t="shared" si="117"/>
        <v>-10000</v>
      </c>
      <c r="P147" s="144">
        <f t="shared" si="117"/>
        <v>-10000</v>
      </c>
      <c r="Q147" s="144">
        <f t="shared" si="117"/>
        <v>-15000</v>
      </c>
      <c r="R147" s="144">
        <f t="shared" si="117"/>
        <v>-15000</v>
      </c>
      <c r="S147" s="144">
        <f t="shared" si="117"/>
        <v>-15000</v>
      </c>
      <c r="T147" s="144">
        <f t="shared" si="117"/>
        <v>-15000</v>
      </c>
      <c r="U147" s="144">
        <f t="shared" si="117"/>
        <v>-15000</v>
      </c>
      <c r="V147" s="144">
        <f t="shared" si="117"/>
        <v>-15000</v>
      </c>
      <c r="W147" s="144">
        <f t="shared" si="117"/>
        <v>-15000</v>
      </c>
      <c r="X147" s="144">
        <f t="shared" si="117"/>
        <v>-15000</v>
      </c>
      <c r="Y147" s="144">
        <f t="shared" si="117"/>
        <v>-15000</v>
      </c>
      <c r="Z147" s="144">
        <f t="shared" si="117"/>
        <v>-15000</v>
      </c>
      <c r="AA147" s="144">
        <f t="shared" si="117"/>
        <v>-15000</v>
      </c>
      <c r="AB147" s="144">
        <f t="shared" si="117"/>
        <v>-15000</v>
      </c>
      <c r="AC147" s="144">
        <f t="shared" si="117"/>
        <v>-20000</v>
      </c>
      <c r="AD147" s="144">
        <f t="shared" si="117"/>
        <v>-20000</v>
      </c>
      <c r="AE147" s="144">
        <f t="shared" si="117"/>
        <v>-20000</v>
      </c>
      <c r="AF147" s="144">
        <f t="shared" si="117"/>
        <v>-20000</v>
      </c>
      <c r="AG147" s="144">
        <f t="shared" si="117"/>
        <v>-20000</v>
      </c>
      <c r="AH147" s="144">
        <f t="shared" si="117"/>
        <v>-20000</v>
      </c>
      <c r="AI147" s="144">
        <f t="shared" si="117"/>
        <v>-20000</v>
      </c>
      <c r="AJ147" s="144">
        <f t="shared" si="117"/>
        <v>-20000</v>
      </c>
      <c r="AK147" s="144">
        <f t="shared" ref="AK147:BP147" si="118">SUM(AK148:AK153)</f>
        <v>-20000</v>
      </c>
      <c r="AL147" s="144">
        <f t="shared" si="118"/>
        <v>-20000</v>
      </c>
      <c r="AM147" s="144">
        <f t="shared" si="118"/>
        <v>-20000</v>
      </c>
      <c r="AN147" s="144">
        <f t="shared" si="118"/>
        <v>-20000</v>
      </c>
      <c r="AO147" s="144">
        <f t="shared" si="118"/>
        <v>-30000</v>
      </c>
      <c r="AP147" s="144">
        <f t="shared" si="118"/>
        <v>-30000</v>
      </c>
      <c r="AQ147" s="144">
        <f t="shared" si="118"/>
        <v>-30000</v>
      </c>
      <c r="AR147" s="144">
        <f t="shared" si="118"/>
        <v>-30000</v>
      </c>
      <c r="AS147" s="144">
        <f t="shared" si="118"/>
        <v>-30000</v>
      </c>
      <c r="AT147" s="144">
        <f t="shared" si="118"/>
        <v>-30000</v>
      </c>
      <c r="AU147" s="144">
        <f t="shared" si="118"/>
        <v>-30000</v>
      </c>
      <c r="AV147" s="144">
        <f t="shared" si="118"/>
        <v>-30000</v>
      </c>
      <c r="AW147" s="144">
        <f t="shared" si="118"/>
        <v>-30000</v>
      </c>
      <c r="AX147" s="144">
        <f t="shared" si="118"/>
        <v>-30000</v>
      </c>
      <c r="AY147" s="144">
        <f t="shared" si="118"/>
        <v>-30000</v>
      </c>
      <c r="AZ147" s="144">
        <f t="shared" si="118"/>
        <v>-30000</v>
      </c>
      <c r="BA147" s="144">
        <f t="shared" si="118"/>
        <v>-50000</v>
      </c>
      <c r="BB147" s="144">
        <f t="shared" si="118"/>
        <v>-50000</v>
      </c>
      <c r="BC147" s="144">
        <f t="shared" si="118"/>
        <v>-50000</v>
      </c>
      <c r="BD147" s="144">
        <f t="shared" si="118"/>
        <v>-50000</v>
      </c>
      <c r="BE147" s="144">
        <f t="shared" si="118"/>
        <v>-50000</v>
      </c>
      <c r="BF147" s="144">
        <f t="shared" si="118"/>
        <v>-50000</v>
      </c>
      <c r="BG147" s="144">
        <f t="shared" si="118"/>
        <v>-50000</v>
      </c>
      <c r="BH147" s="144">
        <f t="shared" si="118"/>
        <v>-50000</v>
      </c>
      <c r="BI147" s="144">
        <f t="shared" si="118"/>
        <v>-50000</v>
      </c>
      <c r="BJ147" s="144">
        <f t="shared" si="118"/>
        <v>-50000</v>
      </c>
      <c r="BK147" s="144">
        <f t="shared" si="118"/>
        <v>-50000</v>
      </c>
      <c r="BL147" s="144">
        <f t="shared" si="118"/>
        <v>-50000</v>
      </c>
      <c r="BM147" s="141"/>
      <c r="BN147" s="141"/>
    </row>
    <row r="148" spans="2:66">
      <c r="C148" s="7" t="s">
        <v>329</v>
      </c>
      <c r="D148" s="155">
        <v>-10000</v>
      </c>
      <c r="E148" s="141">
        <f>$D$148</f>
        <v>-10000</v>
      </c>
      <c r="F148" s="141">
        <f t="shared" ref="F148:P148" si="119">$D$148</f>
        <v>-10000</v>
      </c>
      <c r="G148" s="141">
        <f t="shared" si="119"/>
        <v>-10000</v>
      </c>
      <c r="H148" s="141">
        <f t="shared" si="119"/>
        <v>-10000</v>
      </c>
      <c r="I148" s="141">
        <f t="shared" si="119"/>
        <v>-10000</v>
      </c>
      <c r="J148" s="141">
        <f t="shared" si="119"/>
        <v>-10000</v>
      </c>
      <c r="K148" s="141">
        <f t="shared" si="119"/>
        <v>-10000</v>
      </c>
      <c r="L148" s="141">
        <f t="shared" si="119"/>
        <v>-10000</v>
      </c>
      <c r="M148" s="141">
        <f t="shared" si="119"/>
        <v>-10000</v>
      </c>
      <c r="N148" s="141">
        <f t="shared" si="119"/>
        <v>-10000</v>
      </c>
      <c r="O148" s="141">
        <f t="shared" si="119"/>
        <v>-10000</v>
      </c>
      <c r="P148" s="141">
        <f t="shared" si="119"/>
        <v>-10000</v>
      </c>
      <c r="Q148" s="141">
        <f>$D$148*1.5</f>
        <v>-15000</v>
      </c>
      <c r="R148" s="141">
        <f t="shared" ref="R148:AB148" si="120">$D$148*1.5</f>
        <v>-15000</v>
      </c>
      <c r="S148" s="141">
        <f t="shared" si="120"/>
        <v>-15000</v>
      </c>
      <c r="T148" s="141">
        <f t="shared" si="120"/>
        <v>-15000</v>
      </c>
      <c r="U148" s="141">
        <f t="shared" si="120"/>
        <v>-15000</v>
      </c>
      <c r="V148" s="141">
        <f t="shared" si="120"/>
        <v>-15000</v>
      </c>
      <c r="W148" s="141">
        <f t="shared" si="120"/>
        <v>-15000</v>
      </c>
      <c r="X148" s="141">
        <f t="shared" si="120"/>
        <v>-15000</v>
      </c>
      <c r="Y148" s="141">
        <f t="shared" si="120"/>
        <v>-15000</v>
      </c>
      <c r="Z148" s="141">
        <f t="shared" si="120"/>
        <v>-15000</v>
      </c>
      <c r="AA148" s="141">
        <f t="shared" si="120"/>
        <v>-15000</v>
      </c>
      <c r="AB148" s="141">
        <f t="shared" si="120"/>
        <v>-15000</v>
      </c>
      <c r="AC148" s="141">
        <f t="shared" ref="AC148:AN148" si="121">$D$148*2</f>
        <v>-20000</v>
      </c>
      <c r="AD148" s="141">
        <f t="shared" si="121"/>
        <v>-20000</v>
      </c>
      <c r="AE148" s="141">
        <f t="shared" si="121"/>
        <v>-20000</v>
      </c>
      <c r="AF148" s="141">
        <f t="shared" si="121"/>
        <v>-20000</v>
      </c>
      <c r="AG148" s="141">
        <f t="shared" si="121"/>
        <v>-20000</v>
      </c>
      <c r="AH148" s="141">
        <f t="shared" si="121"/>
        <v>-20000</v>
      </c>
      <c r="AI148" s="141">
        <f t="shared" si="121"/>
        <v>-20000</v>
      </c>
      <c r="AJ148" s="141">
        <f t="shared" si="121"/>
        <v>-20000</v>
      </c>
      <c r="AK148" s="141">
        <f t="shared" si="121"/>
        <v>-20000</v>
      </c>
      <c r="AL148" s="141">
        <f t="shared" si="121"/>
        <v>-20000</v>
      </c>
      <c r="AM148" s="141">
        <f t="shared" si="121"/>
        <v>-20000</v>
      </c>
      <c r="AN148" s="141">
        <f t="shared" si="121"/>
        <v>-20000</v>
      </c>
      <c r="AO148" s="141">
        <f>$D$148*3</f>
        <v>-30000</v>
      </c>
      <c r="AP148" s="141">
        <f t="shared" ref="AP148:AZ148" si="122">$D$148*3</f>
        <v>-30000</v>
      </c>
      <c r="AQ148" s="141">
        <f t="shared" si="122"/>
        <v>-30000</v>
      </c>
      <c r="AR148" s="141">
        <f t="shared" si="122"/>
        <v>-30000</v>
      </c>
      <c r="AS148" s="141">
        <f t="shared" si="122"/>
        <v>-30000</v>
      </c>
      <c r="AT148" s="141">
        <f t="shared" si="122"/>
        <v>-30000</v>
      </c>
      <c r="AU148" s="141">
        <f t="shared" si="122"/>
        <v>-30000</v>
      </c>
      <c r="AV148" s="141">
        <f t="shared" si="122"/>
        <v>-30000</v>
      </c>
      <c r="AW148" s="141">
        <f t="shared" si="122"/>
        <v>-30000</v>
      </c>
      <c r="AX148" s="141">
        <f t="shared" si="122"/>
        <v>-30000</v>
      </c>
      <c r="AY148" s="141">
        <f t="shared" si="122"/>
        <v>-30000</v>
      </c>
      <c r="AZ148" s="141">
        <f t="shared" si="122"/>
        <v>-30000</v>
      </c>
      <c r="BA148" s="141">
        <f>$D$148*5</f>
        <v>-50000</v>
      </c>
      <c r="BB148" s="141">
        <f t="shared" ref="BB148:BL148" si="123">$D$148*5</f>
        <v>-50000</v>
      </c>
      <c r="BC148" s="141">
        <f t="shared" si="123"/>
        <v>-50000</v>
      </c>
      <c r="BD148" s="141">
        <f t="shared" si="123"/>
        <v>-50000</v>
      </c>
      <c r="BE148" s="141">
        <f t="shared" si="123"/>
        <v>-50000</v>
      </c>
      <c r="BF148" s="141">
        <f t="shared" si="123"/>
        <v>-50000</v>
      </c>
      <c r="BG148" s="141">
        <f t="shared" si="123"/>
        <v>-50000</v>
      </c>
      <c r="BH148" s="141">
        <f t="shared" si="123"/>
        <v>-50000</v>
      </c>
      <c r="BI148" s="141">
        <f t="shared" si="123"/>
        <v>-50000</v>
      </c>
      <c r="BJ148" s="141">
        <f t="shared" si="123"/>
        <v>-50000</v>
      </c>
      <c r="BK148" s="141">
        <f t="shared" si="123"/>
        <v>-50000</v>
      </c>
      <c r="BL148" s="141">
        <f t="shared" si="123"/>
        <v>-50000</v>
      </c>
      <c r="BM148" s="141"/>
      <c r="BN148" s="141"/>
    </row>
    <row r="149" spans="2:66">
      <c r="C149" s="7" t="s">
        <v>138</v>
      </c>
      <c r="D149" s="155">
        <v>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 s="141"/>
      <c r="BN149" s="141"/>
    </row>
    <row r="150" spans="2:66">
      <c r="C150" s="7" t="s">
        <v>138</v>
      </c>
      <c r="D150" s="155">
        <v>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 s="141"/>
      <c r="BN150" s="141"/>
    </row>
    <row r="151" spans="2:66">
      <c r="C151" s="7" t="s">
        <v>138</v>
      </c>
      <c r="D151" s="155">
        <v>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 s="141"/>
      <c r="BN151" s="141"/>
    </row>
    <row r="152" spans="2:66">
      <c r="C152" s="7" t="s">
        <v>138</v>
      </c>
      <c r="D152" s="155">
        <v>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 s="141"/>
      <c r="BN152" s="141"/>
    </row>
    <row r="153" spans="2:66">
      <c r="C153" s="7" t="s">
        <v>138</v>
      </c>
      <c r="D153" s="155">
        <v>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 s="141"/>
      <c r="BN153" s="141"/>
    </row>
    <row r="154" spans="2:66">
      <c r="C154" s="8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41"/>
      <c r="AJ154" s="141"/>
      <c r="AK154" s="141"/>
      <c r="AL154" s="141"/>
      <c r="AM154" s="141"/>
      <c r="AN154" s="141"/>
      <c r="AO154" s="141"/>
      <c r="AP154" s="141"/>
      <c r="AQ154" s="141"/>
      <c r="AR154" s="141"/>
      <c r="AS154" s="141"/>
      <c r="AT154" s="141"/>
      <c r="AU154" s="141"/>
      <c r="AV154" s="141"/>
      <c r="AW154" s="141"/>
      <c r="AX154" s="141"/>
      <c r="AY154" s="141"/>
      <c r="AZ154" s="141"/>
      <c r="BA154" s="141"/>
      <c r="BB154" s="141"/>
      <c r="BC154" s="141"/>
      <c r="BD154" s="141"/>
      <c r="BE154" s="141"/>
      <c r="BF154" s="141"/>
      <c r="BG154" s="141"/>
      <c r="BH154" s="141"/>
      <c r="BI154" s="141"/>
      <c r="BJ154" s="141"/>
      <c r="BK154" s="141"/>
      <c r="BL154" s="141"/>
      <c r="BM154" s="141"/>
      <c r="BN154" s="141"/>
    </row>
    <row r="155" spans="2:66">
      <c r="B155" s="129">
        <f>SUM(E155:AN155)</f>
        <v>-1441003.4090000002</v>
      </c>
      <c r="C155" s="130" t="s">
        <v>330</v>
      </c>
      <c r="D155" s="131"/>
      <c r="E155" s="144">
        <f>SUM(E156:E167)</f>
        <v>-15857.856000000003</v>
      </c>
      <c r="F155" s="144">
        <f t="shared" ref="F155:AN155" si="124">SUM(F156:F167)</f>
        <v>-9617.8559999999998</v>
      </c>
      <c r="G155" s="144">
        <f t="shared" si="124"/>
        <v>-10417.856</v>
      </c>
      <c r="H155" s="144">
        <f t="shared" si="124"/>
        <v>-12396.656666666668</v>
      </c>
      <c r="I155" s="144">
        <f t="shared" si="124"/>
        <v>-13296.656666666668</v>
      </c>
      <c r="J155" s="144">
        <f t="shared" si="124"/>
        <v>-12671.656666666668</v>
      </c>
      <c r="K155" s="144">
        <f t="shared" si="124"/>
        <v>-20386.758666666672</v>
      </c>
      <c r="L155" s="144">
        <f t="shared" si="124"/>
        <v>-18591.758666666672</v>
      </c>
      <c r="M155" s="144">
        <f t="shared" si="124"/>
        <v>-19972.258666666672</v>
      </c>
      <c r="N155" s="144">
        <f t="shared" si="124"/>
        <v>-18603.308666666671</v>
      </c>
      <c r="O155" s="144">
        <f t="shared" si="124"/>
        <v>-18609.96366666667</v>
      </c>
      <c r="P155" s="144">
        <f t="shared" si="124"/>
        <v>-25412.284166666672</v>
      </c>
      <c r="Q155" s="144">
        <f t="shared" ref="Q155:AB155" si="125">SUM(Q156:Q167)</f>
        <v>-50136.088666666663</v>
      </c>
      <c r="R155" s="144">
        <f t="shared" si="125"/>
        <v>-34711.08866666667</v>
      </c>
      <c r="S155" s="144">
        <f t="shared" si="125"/>
        <v>-35797.08866666667</v>
      </c>
      <c r="T155" s="144">
        <f t="shared" si="125"/>
        <v>-34934.188666666669</v>
      </c>
      <c r="U155" s="144">
        <f t="shared" si="125"/>
        <v>-34947.498666666666</v>
      </c>
      <c r="V155" s="144">
        <f t="shared" si="125"/>
        <v>-35837.13966666667</v>
      </c>
      <c r="W155" s="144">
        <f t="shared" si="125"/>
        <v>-35051.08866666667</v>
      </c>
      <c r="X155" s="144">
        <f t="shared" si="125"/>
        <v>-35076.08866666667</v>
      </c>
      <c r="Y155" s="144">
        <f t="shared" si="125"/>
        <v>-35978.58866666667</v>
      </c>
      <c r="Z155" s="144">
        <f t="shared" si="125"/>
        <v>-32630.912000000008</v>
      </c>
      <c r="AA155" s="144">
        <f t="shared" si="125"/>
        <v>-32664.187000000005</v>
      </c>
      <c r="AB155" s="144">
        <f t="shared" si="125"/>
        <v>-43195.789499999999</v>
      </c>
      <c r="AC155" s="144">
        <f t="shared" si="124"/>
        <v>-85665.448000000019</v>
      </c>
      <c r="AD155" s="144">
        <f t="shared" si="124"/>
        <v>-62885.448000000004</v>
      </c>
      <c r="AE155" s="144">
        <f t="shared" si="124"/>
        <v>-64015.448000000004</v>
      </c>
      <c r="AF155" s="144">
        <f t="shared" si="124"/>
        <v>-63200.948000000004</v>
      </c>
      <c r="AG155" s="144">
        <f t="shared" si="124"/>
        <v>-63267.498000000007</v>
      </c>
      <c r="AH155" s="144">
        <f t="shared" si="124"/>
        <v>-64215.703000000009</v>
      </c>
      <c r="AI155" s="144">
        <f t="shared" si="124"/>
        <v>-63535.448000000004</v>
      </c>
      <c r="AJ155" s="144">
        <f t="shared" si="124"/>
        <v>-63635.448000000004</v>
      </c>
      <c r="AK155" s="144">
        <f t="shared" si="124"/>
        <v>-64620.448000000004</v>
      </c>
      <c r="AL155" s="144">
        <f t="shared" si="124"/>
        <v>-63866.448000000004</v>
      </c>
      <c r="AM155" s="144">
        <f t="shared" si="124"/>
        <v>-63999.548000000003</v>
      </c>
      <c r="AN155" s="144">
        <f t="shared" si="124"/>
        <v>-81300.958000000013</v>
      </c>
      <c r="AO155" s="144">
        <f t="shared" ref="AO155:BL155" si="126">SUM(AO156:AO167)</f>
        <v>-132196.53399999999</v>
      </c>
      <c r="AP155" s="144">
        <f t="shared" si="126"/>
        <v>-104471.534</v>
      </c>
      <c r="AQ155" s="144">
        <f t="shared" si="126"/>
        <v>-105651.534</v>
      </c>
      <c r="AR155" s="144">
        <f t="shared" si="126"/>
        <v>-105071.534</v>
      </c>
      <c r="AS155" s="144">
        <f t="shared" si="126"/>
        <v>-105196.534</v>
      </c>
      <c r="AT155" s="144">
        <f t="shared" si="126"/>
        <v>-106202.784</v>
      </c>
      <c r="AU155" s="144">
        <f t="shared" si="126"/>
        <v>-105571.534</v>
      </c>
      <c r="AV155" s="144">
        <f t="shared" si="126"/>
        <v>-105721.534</v>
      </c>
      <c r="AW155" s="144">
        <f t="shared" si="126"/>
        <v>-106754.034</v>
      </c>
      <c r="AX155" s="144">
        <f t="shared" si="126"/>
        <v>-106071.534</v>
      </c>
      <c r="AY155" s="144">
        <f t="shared" si="126"/>
        <v>-106246.534</v>
      </c>
      <c r="AZ155" s="144">
        <f t="shared" si="126"/>
        <v>-130245.28399999999</v>
      </c>
      <c r="BA155" s="144">
        <f t="shared" si="126"/>
        <v>-179716.69333333333</v>
      </c>
      <c r="BB155" s="144">
        <f t="shared" si="126"/>
        <v>-147121.69333333333</v>
      </c>
      <c r="BC155" s="144">
        <f t="shared" si="126"/>
        <v>-148432.94333333333</v>
      </c>
      <c r="BD155" s="144">
        <f t="shared" si="126"/>
        <v>-147596.69333333333</v>
      </c>
      <c r="BE155" s="144">
        <f t="shared" si="126"/>
        <v>-147846.69333333333</v>
      </c>
      <c r="BF155" s="144">
        <f t="shared" si="126"/>
        <v>-148984.19333333333</v>
      </c>
      <c r="BG155" s="144">
        <f t="shared" si="126"/>
        <v>-149596.69333333333</v>
      </c>
      <c r="BH155" s="144">
        <f t="shared" si="126"/>
        <v>-149946.69333333333</v>
      </c>
      <c r="BI155" s="144">
        <f t="shared" si="126"/>
        <v>-151189.19333333333</v>
      </c>
      <c r="BJ155" s="144">
        <f t="shared" si="126"/>
        <v>-150700.06833333333</v>
      </c>
      <c r="BK155" s="144">
        <f t="shared" si="126"/>
        <v>-151105.23708333334</v>
      </c>
      <c r="BL155" s="144">
        <f t="shared" si="126"/>
        <v>-182005.66427083331</v>
      </c>
      <c r="BM155" s="141"/>
      <c r="BN155" s="141"/>
    </row>
    <row r="156" spans="2:66">
      <c r="C156" s="124" t="str">
        <f>C10</f>
        <v>Equipment</v>
      </c>
      <c r="D156" s="154">
        <v>0.12</v>
      </c>
      <c r="E156" s="137">
        <f t="shared" ref="E156:AJ156" si="127">E10*$D156</f>
        <v>-2400</v>
      </c>
      <c r="F156" s="137">
        <f t="shared" si="127"/>
        <v>0</v>
      </c>
      <c r="G156" s="137">
        <f t="shared" si="127"/>
        <v>0</v>
      </c>
      <c r="H156" s="137">
        <f t="shared" si="127"/>
        <v>-600</v>
      </c>
      <c r="I156" s="137">
        <f t="shared" si="127"/>
        <v>0</v>
      </c>
      <c r="J156" s="137">
        <f t="shared" si="127"/>
        <v>0</v>
      </c>
      <c r="K156" s="137">
        <f t="shared" si="127"/>
        <v>-1800</v>
      </c>
      <c r="L156" s="137">
        <f t="shared" si="127"/>
        <v>0</v>
      </c>
      <c r="M156" s="137">
        <f t="shared" si="127"/>
        <v>0</v>
      </c>
      <c r="N156" s="137">
        <f t="shared" si="127"/>
        <v>0</v>
      </c>
      <c r="O156" s="137">
        <f t="shared" si="127"/>
        <v>0</v>
      </c>
      <c r="P156" s="137">
        <f t="shared" si="127"/>
        <v>0</v>
      </c>
      <c r="Q156" s="137">
        <f t="shared" si="127"/>
        <v>-3000</v>
      </c>
      <c r="R156" s="137">
        <f t="shared" si="127"/>
        <v>0</v>
      </c>
      <c r="S156" s="137">
        <f t="shared" si="127"/>
        <v>0</v>
      </c>
      <c r="T156" s="137">
        <f t="shared" si="127"/>
        <v>0</v>
      </c>
      <c r="U156" s="137">
        <f t="shared" si="127"/>
        <v>0</v>
      </c>
      <c r="V156" s="137">
        <f t="shared" si="127"/>
        <v>0</v>
      </c>
      <c r="W156" s="137">
        <f t="shared" si="127"/>
        <v>0</v>
      </c>
      <c r="X156" s="137">
        <f t="shared" si="127"/>
        <v>0</v>
      </c>
      <c r="Y156" s="137">
        <f t="shared" si="127"/>
        <v>0</v>
      </c>
      <c r="Z156" s="137">
        <f t="shared" si="127"/>
        <v>0</v>
      </c>
      <c r="AA156" s="137">
        <f t="shared" si="127"/>
        <v>0</v>
      </c>
      <c r="AB156" s="137">
        <f t="shared" si="127"/>
        <v>0</v>
      </c>
      <c r="AC156" s="137">
        <f t="shared" si="127"/>
        <v>-5400</v>
      </c>
      <c r="AD156" s="137">
        <f t="shared" si="127"/>
        <v>0</v>
      </c>
      <c r="AE156" s="137">
        <f t="shared" si="127"/>
        <v>0</v>
      </c>
      <c r="AF156" s="137">
        <f t="shared" si="127"/>
        <v>0</v>
      </c>
      <c r="AG156" s="137">
        <f t="shared" si="127"/>
        <v>0</v>
      </c>
      <c r="AH156" s="137">
        <f t="shared" si="127"/>
        <v>0</v>
      </c>
      <c r="AI156" s="137">
        <f t="shared" si="127"/>
        <v>0</v>
      </c>
      <c r="AJ156" s="137">
        <f t="shared" si="127"/>
        <v>0</v>
      </c>
      <c r="AK156" s="137">
        <f t="shared" ref="AK156:BL156" si="128">AK10*$D156</f>
        <v>0</v>
      </c>
      <c r="AL156" s="137">
        <f t="shared" si="128"/>
        <v>0</v>
      </c>
      <c r="AM156" s="137">
        <f t="shared" si="128"/>
        <v>0</v>
      </c>
      <c r="AN156" s="137">
        <f t="shared" si="128"/>
        <v>0</v>
      </c>
      <c r="AO156" s="137">
        <f t="shared" si="128"/>
        <v>-5400</v>
      </c>
      <c r="AP156" s="137">
        <f t="shared" si="128"/>
        <v>0</v>
      </c>
      <c r="AQ156" s="137">
        <f t="shared" si="128"/>
        <v>0</v>
      </c>
      <c r="AR156" s="137">
        <f t="shared" si="128"/>
        <v>0</v>
      </c>
      <c r="AS156" s="137">
        <f t="shared" si="128"/>
        <v>0</v>
      </c>
      <c r="AT156" s="137">
        <f t="shared" si="128"/>
        <v>0</v>
      </c>
      <c r="AU156" s="137">
        <f t="shared" si="128"/>
        <v>0</v>
      </c>
      <c r="AV156" s="137">
        <f t="shared" si="128"/>
        <v>0</v>
      </c>
      <c r="AW156" s="137">
        <f t="shared" si="128"/>
        <v>0</v>
      </c>
      <c r="AX156" s="137">
        <f t="shared" si="128"/>
        <v>0</v>
      </c>
      <c r="AY156" s="137">
        <f t="shared" si="128"/>
        <v>0</v>
      </c>
      <c r="AZ156" s="137">
        <f t="shared" si="128"/>
        <v>0</v>
      </c>
      <c r="BA156" s="137">
        <f t="shared" si="128"/>
        <v>-5400</v>
      </c>
      <c r="BB156" s="137">
        <f t="shared" si="128"/>
        <v>0</v>
      </c>
      <c r="BC156" s="137">
        <f t="shared" si="128"/>
        <v>0</v>
      </c>
      <c r="BD156" s="137">
        <f t="shared" si="128"/>
        <v>0</v>
      </c>
      <c r="BE156" s="137">
        <f t="shared" si="128"/>
        <v>0</v>
      </c>
      <c r="BF156" s="137">
        <f t="shared" si="128"/>
        <v>0</v>
      </c>
      <c r="BG156" s="137">
        <f t="shared" si="128"/>
        <v>0</v>
      </c>
      <c r="BH156" s="137">
        <f t="shared" si="128"/>
        <v>0</v>
      </c>
      <c r="BI156" s="137">
        <f t="shared" si="128"/>
        <v>0</v>
      </c>
      <c r="BJ156" s="137">
        <f t="shared" si="128"/>
        <v>0</v>
      </c>
      <c r="BK156" s="137">
        <f t="shared" si="128"/>
        <v>0</v>
      </c>
      <c r="BL156" s="137">
        <f t="shared" si="128"/>
        <v>0</v>
      </c>
      <c r="BM156" s="141"/>
      <c r="BN156" s="141"/>
    </row>
    <row r="157" spans="2:66">
      <c r="C157" s="124" t="str">
        <f>C18</f>
        <v>HR</v>
      </c>
      <c r="D157" s="154">
        <v>0.37</v>
      </c>
      <c r="E157" s="137">
        <f t="shared" ref="E157:AJ157" si="129">E18*$D157</f>
        <v>-7541.3893333333353</v>
      </c>
      <c r="F157" s="137">
        <f t="shared" si="129"/>
        <v>-5321.3893333333335</v>
      </c>
      <c r="G157" s="137">
        <f t="shared" si="129"/>
        <v>-5321.3893333333335</v>
      </c>
      <c r="H157" s="137">
        <f t="shared" si="129"/>
        <v>-7561.0733333333337</v>
      </c>
      <c r="I157" s="137">
        <f t="shared" si="129"/>
        <v>-7561.0733333333337</v>
      </c>
      <c r="J157" s="137">
        <f t="shared" si="129"/>
        <v>-7561.0733333333337</v>
      </c>
      <c r="K157" s="137">
        <f t="shared" si="129"/>
        <v>-14280.125333333337</v>
      </c>
      <c r="L157" s="137">
        <f t="shared" si="129"/>
        <v>-14280.125333333337</v>
      </c>
      <c r="M157" s="137">
        <f t="shared" si="129"/>
        <v>-14280.125333333337</v>
      </c>
      <c r="N157" s="137">
        <f t="shared" si="129"/>
        <v>-14280.125333333337</v>
      </c>
      <c r="O157" s="137">
        <f t="shared" si="129"/>
        <v>-14280.125333333337</v>
      </c>
      <c r="P157" s="137">
        <f t="shared" si="129"/>
        <v>-20200.125333333337</v>
      </c>
      <c r="Q157" s="137">
        <f t="shared" si="129"/>
        <v>-36276.872000000003</v>
      </c>
      <c r="R157" s="137">
        <f t="shared" si="129"/>
        <v>-29061.872000000003</v>
      </c>
      <c r="S157" s="137">
        <f t="shared" si="129"/>
        <v>-29061.872000000003</v>
      </c>
      <c r="T157" s="137">
        <f t="shared" si="129"/>
        <v>-29061.872000000003</v>
      </c>
      <c r="U157" s="137">
        <f t="shared" si="129"/>
        <v>-29061.872000000003</v>
      </c>
      <c r="V157" s="137">
        <f t="shared" si="129"/>
        <v>-29061.872000000003</v>
      </c>
      <c r="W157" s="137">
        <f t="shared" si="129"/>
        <v>-29061.872000000003</v>
      </c>
      <c r="X157" s="137">
        <f t="shared" si="129"/>
        <v>-29061.872000000003</v>
      </c>
      <c r="Y157" s="137">
        <f t="shared" si="129"/>
        <v>-29061.872000000003</v>
      </c>
      <c r="Z157" s="137">
        <f t="shared" si="129"/>
        <v>-26558.94533333334</v>
      </c>
      <c r="AA157" s="137">
        <f t="shared" si="129"/>
        <v>-26558.94533333334</v>
      </c>
      <c r="AB157" s="137">
        <f t="shared" si="129"/>
        <v>-36178.945333333337</v>
      </c>
      <c r="AC157" s="137">
        <f t="shared" si="129"/>
        <v>-67515.281333333347</v>
      </c>
      <c r="AD157" s="137">
        <f t="shared" si="129"/>
        <v>-55305.281333333332</v>
      </c>
      <c r="AE157" s="137">
        <f t="shared" si="129"/>
        <v>-55305.281333333332</v>
      </c>
      <c r="AF157" s="137">
        <f t="shared" si="129"/>
        <v>-55305.281333333332</v>
      </c>
      <c r="AG157" s="137">
        <f t="shared" si="129"/>
        <v>-55305.281333333332</v>
      </c>
      <c r="AH157" s="137">
        <f t="shared" si="129"/>
        <v>-55305.281333333332</v>
      </c>
      <c r="AI157" s="137">
        <f t="shared" si="129"/>
        <v>-55305.281333333332</v>
      </c>
      <c r="AJ157" s="137">
        <f t="shared" si="129"/>
        <v>-55305.281333333332</v>
      </c>
      <c r="AK157" s="137">
        <f t="shared" ref="AK157:BL157" si="130">AK18*$D157</f>
        <v>-55305.281333333332</v>
      </c>
      <c r="AL157" s="137">
        <f t="shared" si="130"/>
        <v>-55305.281333333332</v>
      </c>
      <c r="AM157" s="137">
        <f t="shared" si="130"/>
        <v>-55305.281333333332</v>
      </c>
      <c r="AN157" s="137">
        <f t="shared" si="130"/>
        <v>-71585.281333333347</v>
      </c>
      <c r="AO157" s="137">
        <f t="shared" si="130"/>
        <v>-109899.81733333333</v>
      </c>
      <c r="AP157" s="137">
        <f t="shared" si="130"/>
        <v>-92694.81733333334</v>
      </c>
      <c r="AQ157" s="137">
        <f t="shared" si="130"/>
        <v>-92694.81733333334</v>
      </c>
      <c r="AR157" s="137">
        <f t="shared" si="130"/>
        <v>-92694.81733333334</v>
      </c>
      <c r="AS157" s="137">
        <f t="shared" si="130"/>
        <v>-92694.81733333334</v>
      </c>
      <c r="AT157" s="137">
        <f t="shared" si="130"/>
        <v>-92694.81733333334</v>
      </c>
      <c r="AU157" s="137">
        <f t="shared" si="130"/>
        <v>-92694.81733333334</v>
      </c>
      <c r="AV157" s="137">
        <f t="shared" si="130"/>
        <v>-92694.81733333334</v>
      </c>
      <c r="AW157" s="137">
        <f t="shared" si="130"/>
        <v>-92694.81733333334</v>
      </c>
      <c r="AX157" s="137">
        <f t="shared" si="130"/>
        <v>-92694.81733333334</v>
      </c>
      <c r="AY157" s="137">
        <f t="shared" si="130"/>
        <v>-92694.81733333334</v>
      </c>
      <c r="AZ157" s="137">
        <f t="shared" si="130"/>
        <v>-115634.81733333333</v>
      </c>
      <c r="BA157" s="137">
        <f t="shared" si="130"/>
        <v>-149781.42666666667</v>
      </c>
      <c r="BB157" s="137">
        <f t="shared" si="130"/>
        <v>-127581.42666666667</v>
      </c>
      <c r="BC157" s="137">
        <f t="shared" si="130"/>
        <v>-127581.42666666667</v>
      </c>
      <c r="BD157" s="137">
        <f t="shared" si="130"/>
        <v>-127581.42666666667</v>
      </c>
      <c r="BE157" s="137">
        <f t="shared" si="130"/>
        <v>-127581.42666666667</v>
      </c>
      <c r="BF157" s="137">
        <f t="shared" si="130"/>
        <v>-127581.42666666667</v>
      </c>
      <c r="BG157" s="137">
        <f t="shared" si="130"/>
        <v>-127581.42666666667</v>
      </c>
      <c r="BH157" s="137">
        <f t="shared" si="130"/>
        <v>-127581.42666666667</v>
      </c>
      <c r="BI157" s="137">
        <f t="shared" si="130"/>
        <v>-127581.42666666667</v>
      </c>
      <c r="BJ157" s="137">
        <f t="shared" si="130"/>
        <v>-127581.42666666667</v>
      </c>
      <c r="BK157" s="137">
        <f t="shared" si="130"/>
        <v>-127581.42666666667</v>
      </c>
      <c r="BL157" s="137">
        <f t="shared" si="130"/>
        <v>-157181.42666666667</v>
      </c>
      <c r="BM157" s="141"/>
      <c r="BN157" s="141"/>
    </row>
    <row r="158" spans="2:66">
      <c r="C158" s="126" t="str">
        <f>C70</f>
        <v>Legal, Finance &amp; HR</v>
      </c>
      <c r="D158" s="154">
        <v>0.1</v>
      </c>
      <c r="E158" s="138">
        <f t="shared" ref="E158:AJ158" si="131">E70*$D158</f>
        <v>-1550</v>
      </c>
      <c r="F158" s="138">
        <f t="shared" si="131"/>
        <v>-50</v>
      </c>
      <c r="G158" s="138">
        <f t="shared" si="131"/>
        <v>-50</v>
      </c>
      <c r="H158" s="138">
        <f t="shared" si="131"/>
        <v>-50</v>
      </c>
      <c r="I158" s="138">
        <f t="shared" si="131"/>
        <v>-1550</v>
      </c>
      <c r="J158" s="138">
        <f t="shared" si="131"/>
        <v>-50</v>
      </c>
      <c r="K158" s="138">
        <f t="shared" si="131"/>
        <v>-50</v>
      </c>
      <c r="L158" s="138">
        <f t="shared" si="131"/>
        <v>-50</v>
      </c>
      <c r="M158" s="138">
        <f t="shared" si="131"/>
        <v>-50</v>
      </c>
      <c r="N158" s="138">
        <f t="shared" si="131"/>
        <v>-50</v>
      </c>
      <c r="O158" s="138">
        <f t="shared" si="131"/>
        <v>-50</v>
      </c>
      <c r="P158" s="138">
        <f t="shared" si="131"/>
        <v>-50</v>
      </c>
      <c r="Q158" s="138">
        <f t="shared" si="131"/>
        <v>-5050</v>
      </c>
      <c r="R158" s="138">
        <f t="shared" si="131"/>
        <v>-50</v>
      </c>
      <c r="S158" s="138">
        <f t="shared" si="131"/>
        <v>-250</v>
      </c>
      <c r="T158" s="138">
        <f t="shared" si="131"/>
        <v>-250</v>
      </c>
      <c r="U158" s="138">
        <f t="shared" si="131"/>
        <v>-250</v>
      </c>
      <c r="V158" s="138">
        <f t="shared" si="131"/>
        <v>-250</v>
      </c>
      <c r="W158" s="138">
        <f t="shared" si="131"/>
        <v>-250</v>
      </c>
      <c r="X158" s="138">
        <f t="shared" si="131"/>
        <v>-250</v>
      </c>
      <c r="Y158" s="138">
        <f t="shared" si="131"/>
        <v>-250</v>
      </c>
      <c r="Z158" s="138">
        <f t="shared" si="131"/>
        <v>-250</v>
      </c>
      <c r="AA158" s="138">
        <f t="shared" si="131"/>
        <v>-250</v>
      </c>
      <c r="AB158" s="138">
        <f t="shared" si="131"/>
        <v>-250</v>
      </c>
      <c r="AC158" s="138">
        <f t="shared" si="131"/>
        <v>-5050</v>
      </c>
      <c r="AD158" s="138">
        <f t="shared" si="131"/>
        <v>-50</v>
      </c>
      <c r="AE158" s="138">
        <f t="shared" si="131"/>
        <v>-250</v>
      </c>
      <c r="AF158" s="138">
        <f t="shared" si="131"/>
        <v>-250</v>
      </c>
      <c r="AG158" s="138">
        <f t="shared" si="131"/>
        <v>-250</v>
      </c>
      <c r="AH158" s="138">
        <f t="shared" si="131"/>
        <v>-250</v>
      </c>
      <c r="AI158" s="138">
        <f t="shared" si="131"/>
        <v>-250</v>
      </c>
      <c r="AJ158" s="138">
        <f t="shared" si="131"/>
        <v>-250</v>
      </c>
      <c r="AK158" s="138">
        <f t="shared" ref="AK158:BL158" si="132">AK70*$D158</f>
        <v>-250</v>
      </c>
      <c r="AL158" s="138">
        <f t="shared" si="132"/>
        <v>-250</v>
      </c>
      <c r="AM158" s="138">
        <f t="shared" si="132"/>
        <v>-250</v>
      </c>
      <c r="AN158" s="138">
        <f t="shared" si="132"/>
        <v>-250</v>
      </c>
      <c r="AO158" s="138">
        <f t="shared" si="132"/>
        <v>-5050</v>
      </c>
      <c r="AP158" s="138">
        <f t="shared" si="132"/>
        <v>-50</v>
      </c>
      <c r="AQ158" s="138">
        <f t="shared" si="132"/>
        <v>-250</v>
      </c>
      <c r="AR158" s="138">
        <f t="shared" si="132"/>
        <v>-250</v>
      </c>
      <c r="AS158" s="138">
        <f t="shared" si="132"/>
        <v>-250</v>
      </c>
      <c r="AT158" s="138">
        <f t="shared" si="132"/>
        <v>-250</v>
      </c>
      <c r="AU158" s="138">
        <f t="shared" si="132"/>
        <v>-250</v>
      </c>
      <c r="AV158" s="138">
        <f t="shared" si="132"/>
        <v>-250</v>
      </c>
      <c r="AW158" s="138">
        <f t="shared" si="132"/>
        <v>-250</v>
      </c>
      <c r="AX158" s="138">
        <f t="shared" si="132"/>
        <v>-250</v>
      </c>
      <c r="AY158" s="138">
        <f t="shared" si="132"/>
        <v>-250</v>
      </c>
      <c r="AZ158" s="138">
        <f t="shared" si="132"/>
        <v>-250</v>
      </c>
      <c r="BA158" s="138">
        <f t="shared" si="132"/>
        <v>-5050</v>
      </c>
      <c r="BB158" s="138">
        <f t="shared" si="132"/>
        <v>-50</v>
      </c>
      <c r="BC158" s="138">
        <f t="shared" si="132"/>
        <v>-250</v>
      </c>
      <c r="BD158" s="138">
        <f t="shared" si="132"/>
        <v>-250</v>
      </c>
      <c r="BE158" s="138">
        <f t="shared" si="132"/>
        <v>-250</v>
      </c>
      <c r="BF158" s="138">
        <f t="shared" si="132"/>
        <v>-250</v>
      </c>
      <c r="BG158" s="138">
        <f t="shared" si="132"/>
        <v>-250</v>
      </c>
      <c r="BH158" s="138">
        <f t="shared" si="132"/>
        <v>-250</v>
      </c>
      <c r="BI158" s="138">
        <f t="shared" si="132"/>
        <v>-250</v>
      </c>
      <c r="BJ158" s="138">
        <f t="shared" si="132"/>
        <v>-250</v>
      </c>
      <c r="BK158" s="138">
        <f t="shared" si="132"/>
        <v>-250</v>
      </c>
      <c r="BL158" s="138">
        <f t="shared" si="132"/>
        <v>-250</v>
      </c>
      <c r="BM158" s="141"/>
      <c r="BN158" s="141"/>
    </row>
    <row r="159" spans="2:66">
      <c r="C159" s="120" t="str">
        <f>C80</f>
        <v>Consultants &amp; NEDS</v>
      </c>
      <c r="D159" s="154">
        <v>0.1</v>
      </c>
      <c r="E159" s="139">
        <f t="shared" ref="E159:AJ159" si="133">E80*$D159</f>
        <v>-500</v>
      </c>
      <c r="F159" s="139">
        <f t="shared" si="133"/>
        <v>-500</v>
      </c>
      <c r="G159" s="139">
        <f t="shared" si="133"/>
        <v>-500</v>
      </c>
      <c r="H159" s="139">
        <f t="shared" si="133"/>
        <v>-500</v>
      </c>
      <c r="I159" s="139">
        <f t="shared" si="133"/>
        <v>-500</v>
      </c>
      <c r="J159" s="139">
        <f t="shared" si="133"/>
        <v>-500</v>
      </c>
      <c r="K159" s="139">
        <f t="shared" si="133"/>
        <v>-500</v>
      </c>
      <c r="L159" s="139">
        <f t="shared" si="133"/>
        <v>-500</v>
      </c>
      <c r="M159" s="139">
        <f t="shared" si="133"/>
        <v>-500</v>
      </c>
      <c r="N159" s="139">
        <f t="shared" si="133"/>
        <v>-500</v>
      </c>
      <c r="O159" s="139">
        <f t="shared" si="133"/>
        <v>-500</v>
      </c>
      <c r="P159" s="139">
        <f t="shared" si="133"/>
        <v>-500</v>
      </c>
      <c r="Q159" s="139">
        <f t="shared" si="133"/>
        <v>-500</v>
      </c>
      <c r="R159" s="139">
        <f t="shared" si="133"/>
        <v>-500</v>
      </c>
      <c r="S159" s="139">
        <f t="shared" si="133"/>
        <v>-500</v>
      </c>
      <c r="T159" s="139">
        <f t="shared" si="133"/>
        <v>-500</v>
      </c>
      <c r="U159" s="139">
        <f t="shared" si="133"/>
        <v>-500</v>
      </c>
      <c r="V159" s="139">
        <f t="shared" si="133"/>
        <v>-500</v>
      </c>
      <c r="W159" s="139">
        <f t="shared" si="133"/>
        <v>-500</v>
      </c>
      <c r="X159" s="139">
        <f t="shared" si="133"/>
        <v>-500</v>
      </c>
      <c r="Y159" s="139">
        <f t="shared" si="133"/>
        <v>-500</v>
      </c>
      <c r="Z159" s="139">
        <f t="shared" si="133"/>
        <v>-500</v>
      </c>
      <c r="AA159" s="139">
        <f t="shared" si="133"/>
        <v>-500</v>
      </c>
      <c r="AB159" s="139">
        <f t="shared" si="133"/>
        <v>-500</v>
      </c>
      <c r="AC159" s="139">
        <f t="shared" si="133"/>
        <v>-500</v>
      </c>
      <c r="AD159" s="139">
        <f t="shared" si="133"/>
        <v>-500</v>
      </c>
      <c r="AE159" s="139">
        <f t="shared" si="133"/>
        <v>-500</v>
      </c>
      <c r="AF159" s="139">
        <f t="shared" si="133"/>
        <v>-500</v>
      </c>
      <c r="AG159" s="139">
        <f t="shared" si="133"/>
        <v>-500</v>
      </c>
      <c r="AH159" s="139">
        <f t="shared" si="133"/>
        <v>-500</v>
      </c>
      <c r="AI159" s="139">
        <f t="shared" si="133"/>
        <v>-500</v>
      </c>
      <c r="AJ159" s="139">
        <f t="shared" si="133"/>
        <v>-500</v>
      </c>
      <c r="AK159" s="139">
        <f t="shared" ref="AK159:BL159" si="134">AK80*$D159</f>
        <v>-500</v>
      </c>
      <c r="AL159" s="139">
        <f t="shared" si="134"/>
        <v>-500</v>
      </c>
      <c r="AM159" s="139">
        <f t="shared" si="134"/>
        <v>-500</v>
      </c>
      <c r="AN159" s="139">
        <f t="shared" si="134"/>
        <v>-500</v>
      </c>
      <c r="AO159" s="139">
        <f t="shared" si="134"/>
        <v>-500</v>
      </c>
      <c r="AP159" s="139">
        <f t="shared" si="134"/>
        <v>-500</v>
      </c>
      <c r="AQ159" s="139">
        <f t="shared" si="134"/>
        <v>-500</v>
      </c>
      <c r="AR159" s="139">
        <f t="shared" si="134"/>
        <v>-500</v>
      </c>
      <c r="AS159" s="139">
        <f t="shared" si="134"/>
        <v>-500</v>
      </c>
      <c r="AT159" s="139">
        <f t="shared" si="134"/>
        <v>-500</v>
      </c>
      <c r="AU159" s="139">
        <f t="shared" si="134"/>
        <v>-500</v>
      </c>
      <c r="AV159" s="139">
        <f t="shared" si="134"/>
        <v>-500</v>
      </c>
      <c r="AW159" s="139">
        <f t="shared" si="134"/>
        <v>-500</v>
      </c>
      <c r="AX159" s="139">
        <f t="shared" si="134"/>
        <v>-500</v>
      </c>
      <c r="AY159" s="139">
        <f t="shared" si="134"/>
        <v>-500</v>
      </c>
      <c r="AZ159" s="139">
        <f t="shared" si="134"/>
        <v>-500</v>
      </c>
      <c r="BA159" s="139">
        <f t="shared" si="134"/>
        <v>-500</v>
      </c>
      <c r="BB159" s="139">
        <f t="shared" si="134"/>
        <v>-500</v>
      </c>
      <c r="BC159" s="139">
        <f t="shared" si="134"/>
        <v>-500</v>
      </c>
      <c r="BD159" s="139">
        <f t="shared" si="134"/>
        <v>-500</v>
      </c>
      <c r="BE159" s="139">
        <f t="shared" si="134"/>
        <v>-500</v>
      </c>
      <c r="BF159" s="139">
        <f t="shared" si="134"/>
        <v>-500</v>
      </c>
      <c r="BG159" s="139">
        <f t="shared" si="134"/>
        <v>-500</v>
      </c>
      <c r="BH159" s="139">
        <f t="shared" si="134"/>
        <v>-500</v>
      </c>
      <c r="BI159" s="139">
        <f t="shared" si="134"/>
        <v>-500</v>
      </c>
      <c r="BJ159" s="139">
        <f t="shared" si="134"/>
        <v>-500</v>
      </c>
      <c r="BK159" s="139">
        <f t="shared" si="134"/>
        <v>-500</v>
      </c>
      <c r="BL159" s="139">
        <f t="shared" si="134"/>
        <v>-500</v>
      </c>
      <c r="BM159" s="141"/>
      <c r="BN159" s="141"/>
    </row>
    <row r="160" spans="2:66">
      <c r="C160" s="120" t="str">
        <f>C88</f>
        <v xml:space="preserve">Office </v>
      </c>
      <c r="D160" s="154">
        <v>0.15</v>
      </c>
      <c r="E160" s="139">
        <f t="shared" ref="E160:AJ160" si="135">E88*$D160</f>
        <v>0</v>
      </c>
      <c r="F160" s="139">
        <f t="shared" si="135"/>
        <v>0</v>
      </c>
      <c r="G160" s="139">
        <f t="shared" si="135"/>
        <v>0</v>
      </c>
      <c r="H160" s="139">
        <f t="shared" si="135"/>
        <v>0</v>
      </c>
      <c r="I160" s="139">
        <f t="shared" si="135"/>
        <v>0</v>
      </c>
      <c r="J160" s="139">
        <f t="shared" si="135"/>
        <v>0</v>
      </c>
      <c r="K160" s="139">
        <f t="shared" si="135"/>
        <v>0</v>
      </c>
      <c r="L160" s="139">
        <f t="shared" si="135"/>
        <v>0</v>
      </c>
      <c r="M160" s="139">
        <f t="shared" si="135"/>
        <v>0</v>
      </c>
      <c r="N160" s="139">
        <f t="shared" si="135"/>
        <v>0</v>
      </c>
      <c r="O160" s="139">
        <f t="shared" si="135"/>
        <v>0</v>
      </c>
      <c r="P160" s="139">
        <f t="shared" si="135"/>
        <v>0</v>
      </c>
      <c r="Q160" s="139">
        <f t="shared" si="135"/>
        <v>0</v>
      </c>
      <c r="R160" s="139">
        <f t="shared" si="135"/>
        <v>0</v>
      </c>
      <c r="S160" s="139">
        <f t="shared" si="135"/>
        <v>0</v>
      </c>
      <c r="T160" s="139">
        <f t="shared" si="135"/>
        <v>0</v>
      </c>
      <c r="U160" s="139">
        <f t="shared" si="135"/>
        <v>0</v>
      </c>
      <c r="V160" s="139">
        <f t="shared" si="135"/>
        <v>0</v>
      </c>
      <c r="W160" s="139">
        <f t="shared" si="135"/>
        <v>0</v>
      </c>
      <c r="X160" s="139">
        <f t="shared" si="135"/>
        <v>0</v>
      </c>
      <c r="Y160" s="139">
        <f t="shared" si="135"/>
        <v>0</v>
      </c>
      <c r="Z160" s="139">
        <f t="shared" si="135"/>
        <v>0</v>
      </c>
      <c r="AA160" s="139">
        <f t="shared" si="135"/>
        <v>0</v>
      </c>
      <c r="AB160" s="139">
        <f t="shared" si="135"/>
        <v>0</v>
      </c>
      <c r="AC160" s="139">
        <f t="shared" si="135"/>
        <v>0</v>
      </c>
      <c r="AD160" s="139">
        <f t="shared" si="135"/>
        <v>0</v>
      </c>
      <c r="AE160" s="139">
        <f t="shared" si="135"/>
        <v>0</v>
      </c>
      <c r="AF160" s="139">
        <f t="shared" si="135"/>
        <v>0</v>
      </c>
      <c r="AG160" s="139">
        <f t="shared" si="135"/>
        <v>0</v>
      </c>
      <c r="AH160" s="139">
        <f t="shared" si="135"/>
        <v>0</v>
      </c>
      <c r="AI160" s="139">
        <f t="shared" si="135"/>
        <v>0</v>
      </c>
      <c r="AJ160" s="139">
        <f t="shared" si="135"/>
        <v>0</v>
      </c>
      <c r="AK160" s="139">
        <f t="shared" ref="AK160:BL160" si="136">AK88*$D160</f>
        <v>0</v>
      </c>
      <c r="AL160" s="139">
        <f t="shared" si="136"/>
        <v>0</v>
      </c>
      <c r="AM160" s="139">
        <f t="shared" si="136"/>
        <v>0</v>
      </c>
      <c r="AN160" s="139">
        <f t="shared" si="136"/>
        <v>0</v>
      </c>
      <c r="AO160" s="139">
        <f t="shared" si="136"/>
        <v>0</v>
      </c>
      <c r="AP160" s="139">
        <f t="shared" si="136"/>
        <v>0</v>
      </c>
      <c r="AQ160" s="139">
        <f t="shared" si="136"/>
        <v>0</v>
      </c>
      <c r="AR160" s="139">
        <f t="shared" si="136"/>
        <v>0</v>
      </c>
      <c r="AS160" s="139">
        <f t="shared" si="136"/>
        <v>0</v>
      </c>
      <c r="AT160" s="139">
        <f t="shared" si="136"/>
        <v>0</v>
      </c>
      <c r="AU160" s="139">
        <f t="shared" si="136"/>
        <v>0</v>
      </c>
      <c r="AV160" s="139">
        <f t="shared" si="136"/>
        <v>0</v>
      </c>
      <c r="AW160" s="139">
        <f t="shared" si="136"/>
        <v>0</v>
      </c>
      <c r="AX160" s="139">
        <f t="shared" si="136"/>
        <v>0</v>
      </c>
      <c r="AY160" s="139">
        <f t="shared" si="136"/>
        <v>0</v>
      </c>
      <c r="AZ160" s="139">
        <f t="shared" si="136"/>
        <v>0</v>
      </c>
      <c r="BA160" s="139">
        <f t="shared" si="136"/>
        <v>0</v>
      </c>
      <c r="BB160" s="139">
        <f t="shared" si="136"/>
        <v>0</v>
      </c>
      <c r="BC160" s="139">
        <f t="shared" si="136"/>
        <v>0</v>
      </c>
      <c r="BD160" s="139">
        <f t="shared" si="136"/>
        <v>0</v>
      </c>
      <c r="BE160" s="139">
        <f t="shared" si="136"/>
        <v>0</v>
      </c>
      <c r="BF160" s="139">
        <f t="shared" si="136"/>
        <v>0</v>
      </c>
      <c r="BG160" s="139">
        <f t="shared" si="136"/>
        <v>0</v>
      </c>
      <c r="BH160" s="139">
        <f t="shared" si="136"/>
        <v>0</v>
      </c>
      <c r="BI160" s="139">
        <f t="shared" si="136"/>
        <v>0</v>
      </c>
      <c r="BJ160" s="139">
        <f t="shared" si="136"/>
        <v>0</v>
      </c>
      <c r="BK160" s="139">
        <f t="shared" si="136"/>
        <v>0</v>
      </c>
      <c r="BL160" s="139">
        <f t="shared" si="136"/>
        <v>0</v>
      </c>
      <c r="BM160" s="141"/>
      <c r="BN160" s="141"/>
    </row>
    <row r="161" spans="3:66">
      <c r="C161" s="120" t="str">
        <f>C101</f>
        <v>Travel</v>
      </c>
      <c r="D161" s="154">
        <v>0.25</v>
      </c>
      <c r="E161" s="139">
        <f t="shared" ref="E161:AJ161" si="137">E101*$D161</f>
        <v>-350</v>
      </c>
      <c r="F161" s="139">
        <f t="shared" si="137"/>
        <v>-350</v>
      </c>
      <c r="G161" s="139">
        <f t="shared" si="137"/>
        <v>-1225</v>
      </c>
      <c r="H161" s="139">
        <f t="shared" si="137"/>
        <v>-350</v>
      </c>
      <c r="I161" s="139">
        <f t="shared" si="137"/>
        <v>-350</v>
      </c>
      <c r="J161" s="139">
        <f t="shared" si="137"/>
        <v>-1225</v>
      </c>
      <c r="K161" s="139">
        <f t="shared" si="137"/>
        <v>-350</v>
      </c>
      <c r="L161" s="139">
        <f t="shared" si="137"/>
        <v>-350</v>
      </c>
      <c r="M161" s="139">
        <f t="shared" si="137"/>
        <v>-1225</v>
      </c>
      <c r="N161" s="139">
        <f t="shared" si="137"/>
        <v>-350</v>
      </c>
      <c r="O161" s="139">
        <f t="shared" si="137"/>
        <v>-350</v>
      </c>
      <c r="P161" s="139">
        <f t="shared" si="137"/>
        <v>-1225</v>
      </c>
      <c r="Q161" s="139">
        <f t="shared" si="137"/>
        <v>-350</v>
      </c>
      <c r="R161" s="139">
        <f t="shared" si="137"/>
        <v>-350</v>
      </c>
      <c r="S161" s="139">
        <f t="shared" si="137"/>
        <v>-1225</v>
      </c>
      <c r="T161" s="139">
        <f t="shared" si="137"/>
        <v>-350</v>
      </c>
      <c r="U161" s="139">
        <f t="shared" si="137"/>
        <v>-350</v>
      </c>
      <c r="V161" s="139">
        <f t="shared" si="137"/>
        <v>-1225</v>
      </c>
      <c r="W161" s="139">
        <f t="shared" si="137"/>
        <v>-350</v>
      </c>
      <c r="X161" s="139">
        <f t="shared" si="137"/>
        <v>-350</v>
      </c>
      <c r="Y161" s="139">
        <f t="shared" si="137"/>
        <v>-1225</v>
      </c>
      <c r="Z161" s="139">
        <f t="shared" si="137"/>
        <v>-350</v>
      </c>
      <c r="AA161" s="139">
        <f t="shared" si="137"/>
        <v>-350</v>
      </c>
      <c r="AB161" s="139">
        <f t="shared" si="137"/>
        <v>-1225</v>
      </c>
      <c r="AC161" s="139">
        <f t="shared" si="137"/>
        <v>-350</v>
      </c>
      <c r="AD161" s="139">
        <f t="shared" si="137"/>
        <v>-350</v>
      </c>
      <c r="AE161" s="139">
        <f t="shared" si="137"/>
        <v>-1225</v>
      </c>
      <c r="AF161" s="139">
        <f t="shared" si="137"/>
        <v>-350</v>
      </c>
      <c r="AG161" s="139">
        <f t="shared" si="137"/>
        <v>-350</v>
      </c>
      <c r="AH161" s="139">
        <f t="shared" si="137"/>
        <v>-1225</v>
      </c>
      <c r="AI161" s="139">
        <f t="shared" si="137"/>
        <v>-350</v>
      </c>
      <c r="AJ161" s="139">
        <f t="shared" si="137"/>
        <v>-350</v>
      </c>
      <c r="AK161" s="139">
        <f t="shared" ref="AK161:BL161" si="138">AK101*$D161</f>
        <v>-1225</v>
      </c>
      <c r="AL161" s="139">
        <f t="shared" si="138"/>
        <v>-350</v>
      </c>
      <c r="AM161" s="139">
        <f t="shared" si="138"/>
        <v>-350</v>
      </c>
      <c r="AN161" s="139">
        <f t="shared" si="138"/>
        <v>-1225</v>
      </c>
      <c r="AO161" s="139">
        <f t="shared" si="138"/>
        <v>-350</v>
      </c>
      <c r="AP161" s="139">
        <f t="shared" si="138"/>
        <v>-350</v>
      </c>
      <c r="AQ161" s="139">
        <f t="shared" si="138"/>
        <v>-1225</v>
      </c>
      <c r="AR161" s="139">
        <f t="shared" si="138"/>
        <v>-350</v>
      </c>
      <c r="AS161" s="139">
        <f t="shared" si="138"/>
        <v>-350</v>
      </c>
      <c r="AT161" s="139">
        <f t="shared" si="138"/>
        <v>-1225</v>
      </c>
      <c r="AU161" s="139">
        <f t="shared" si="138"/>
        <v>-350</v>
      </c>
      <c r="AV161" s="139">
        <f t="shared" si="138"/>
        <v>-350</v>
      </c>
      <c r="AW161" s="139">
        <f t="shared" si="138"/>
        <v>-1225</v>
      </c>
      <c r="AX161" s="139">
        <f t="shared" si="138"/>
        <v>-350</v>
      </c>
      <c r="AY161" s="139">
        <f t="shared" si="138"/>
        <v>-350</v>
      </c>
      <c r="AZ161" s="139">
        <f t="shared" si="138"/>
        <v>-1225</v>
      </c>
      <c r="BA161" s="139">
        <f t="shared" si="138"/>
        <v>-350</v>
      </c>
      <c r="BB161" s="139">
        <f t="shared" si="138"/>
        <v>-350</v>
      </c>
      <c r="BC161" s="139">
        <f t="shared" si="138"/>
        <v>-1225</v>
      </c>
      <c r="BD161" s="139">
        <f t="shared" si="138"/>
        <v>-350</v>
      </c>
      <c r="BE161" s="139">
        <f t="shared" si="138"/>
        <v>-350</v>
      </c>
      <c r="BF161" s="139">
        <f t="shared" si="138"/>
        <v>-1225</v>
      </c>
      <c r="BG161" s="139">
        <f t="shared" si="138"/>
        <v>-350</v>
      </c>
      <c r="BH161" s="139">
        <f t="shared" si="138"/>
        <v>-350</v>
      </c>
      <c r="BI161" s="139">
        <f t="shared" si="138"/>
        <v>-1225</v>
      </c>
      <c r="BJ161" s="139">
        <f t="shared" si="138"/>
        <v>-350</v>
      </c>
      <c r="BK161" s="139">
        <f t="shared" si="138"/>
        <v>-350</v>
      </c>
      <c r="BL161" s="139">
        <f t="shared" si="138"/>
        <v>-1225</v>
      </c>
      <c r="BM161" s="141"/>
      <c r="BN161" s="141"/>
    </row>
    <row r="162" spans="3:66">
      <c r="C162" s="120" t="str">
        <f>C110</f>
        <v>Finance</v>
      </c>
      <c r="D162" s="154">
        <v>0.1</v>
      </c>
      <c r="E162" s="139">
        <f t="shared" ref="E162:AJ162" si="139">E110*$D163</f>
        <v>-731.1</v>
      </c>
      <c r="F162" s="139">
        <f t="shared" si="139"/>
        <v>-731.1</v>
      </c>
      <c r="G162" s="139">
        <f t="shared" si="139"/>
        <v>-731.1</v>
      </c>
      <c r="H162" s="139">
        <f t="shared" si="139"/>
        <v>-732.375</v>
      </c>
      <c r="I162" s="139">
        <f t="shared" si="139"/>
        <v>-732.375</v>
      </c>
      <c r="J162" s="139">
        <f t="shared" si="139"/>
        <v>-732.375</v>
      </c>
      <c r="K162" s="139">
        <f t="shared" si="139"/>
        <v>-736.19999999999993</v>
      </c>
      <c r="L162" s="139">
        <f t="shared" si="139"/>
        <v>-736.19999999999993</v>
      </c>
      <c r="M162" s="139">
        <f t="shared" si="139"/>
        <v>-736.19999999999993</v>
      </c>
      <c r="N162" s="139">
        <f t="shared" si="139"/>
        <v>-736.19999999999993</v>
      </c>
      <c r="O162" s="139">
        <f t="shared" si="139"/>
        <v>-736.19999999999993</v>
      </c>
      <c r="P162" s="139">
        <f t="shared" si="139"/>
        <v>-736.19999999999993</v>
      </c>
      <c r="Q162" s="139">
        <f t="shared" si="139"/>
        <v>-742.57499999999993</v>
      </c>
      <c r="R162" s="139">
        <f t="shared" si="139"/>
        <v>-742.57499999999993</v>
      </c>
      <c r="S162" s="139">
        <f t="shared" si="139"/>
        <v>-742.57499999999993</v>
      </c>
      <c r="T162" s="139">
        <f t="shared" si="139"/>
        <v>-742.57499999999993</v>
      </c>
      <c r="U162" s="139">
        <f t="shared" si="139"/>
        <v>-742.57499999999993</v>
      </c>
      <c r="V162" s="139">
        <f t="shared" si="139"/>
        <v>-742.57499999999993</v>
      </c>
      <c r="W162" s="139">
        <f t="shared" si="139"/>
        <v>-742.57499999999993</v>
      </c>
      <c r="X162" s="139">
        <f t="shared" si="139"/>
        <v>-742.57499999999993</v>
      </c>
      <c r="Y162" s="139">
        <f t="shared" si="139"/>
        <v>-742.57499999999993</v>
      </c>
      <c r="Z162" s="139">
        <f t="shared" si="139"/>
        <v>-742.57499999999993</v>
      </c>
      <c r="AA162" s="139">
        <f t="shared" si="139"/>
        <v>-742.57499999999993</v>
      </c>
      <c r="AB162" s="139">
        <f t="shared" si="139"/>
        <v>-742.57499999999993</v>
      </c>
      <c r="AC162" s="139">
        <f t="shared" si="139"/>
        <v>-754.05</v>
      </c>
      <c r="AD162" s="139">
        <f t="shared" si="139"/>
        <v>-754.05</v>
      </c>
      <c r="AE162" s="139">
        <f t="shared" si="139"/>
        <v>-754.05</v>
      </c>
      <c r="AF162" s="139">
        <f t="shared" si="139"/>
        <v>-754.05</v>
      </c>
      <c r="AG162" s="139">
        <f t="shared" si="139"/>
        <v>-754.05</v>
      </c>
      <c r="AH162" s="139">
        <f t="shared" si="139"/>
        <v>-754.05</v>
      </c>
      <c r="AI162" s="139">
        <f t="shared" si="139"/>
        <v>-754.05</v>
      </c>
      <c r="AJ162" s="139">
        <f t="shared" si="139"/>
        <v>-754.05</v>
      </c>
      <c r="AK162" s="139">
        <f t="shared" ref="AK162:BP162" si="140">AK110*$D163</f>
        <v>-754.05</v>
      </c>
      <c r="AL162" s="139">
        <f t="shared" si="140"/>
        <v>-754.05</v>
      </c>
      <c r="AM162" s="139">
        <f t="shared" si="140"/>
        <v>-754.05</v>
      </c>
      <c r="AN162" s="139">
        <f t="shared" si="140"/>
        <v>-754.05</v>
      </c>
      <c r="AO162" s="139">
        <f t="shared" si="140"/>
        <v>-765.52499999999998</v>
      </c>
      <c r="AP162" s="139">
        <f t="shared" si="140"/>
        <v>-765.52499999999998</v>
      </c>
      <c r="AQ162" s="139">
        <f t="shared" si="140"/>
        <v>-765.52499999999998</v>
      </c>
      <c r="AR162" s="139">
        <f t="shared" si="140"/>
        <v>-765.52499999999998</v>
      </c>
      <c r="AS162" s="139">
        <f t="shared" si="140"/>
        <v>-765.52499999999998</v>
      </c>
      <c r="AT162" s="139">
        <f t="shared" si="140"/>
        <v>-765.52499999999998</v>
      </c>
      <c r="AU162" s="139">
        <f t="shared" si="140"/>
        <v>-765.52499999999998</v>
      </c>
      <c r="AV162" s="139">
        <f t="shared" si="140"/>
        <v>-765.52499999999998</v>
      </c>
      <c r="AW162" s="139">
        <f t="shared" si="140"/>
        <v>-765.52499999999998</v>
      </c>
      <c r="AX162" s="139">
        <f t="shared" si="140"/>
        <v>-765.52499999999998</v>
      </c>
      <c r="AY162" s="139">
        <f t="shared" si="140"/>
        <v>-765.52499999999998</v>
      </c>
      <c r="AZ162" s="139">
        <f t="shared" si="140"/>
        <v>-765.52499999999998</v>
      </c>
      <c r="BA162" s="139">
        <f t="shared" si="140"/>
        <v>-777</v>
      </c>
      <c r="BB162" s="139">
        <f t="shared" si="140"/>
        <v>-777</v>
      </c>
      <c r="BC162" s="139">
        <f t="shared" si="140"/>
        <v>-777</v>
      </c>
      <c r="BD162" s="139">
        <f t="shared" si="140"/>
        <v>-777</v>
      </c>
      <c r="BE162" s="139">
        <f t="shared" si="140"/>
        <v>-777</v>
      </c>
      <c r="BF162" s="139">
        <f t="shared" si="140"/>
        <v>-777</v>
      </c>
      <c r="BG162" s="139">
        <f t="shared" si="140"/>
        <v>-777</v>
      </c>
      <c r="BH162" s="139">
        <f t="shared" si="140"/>
        <v>-777</v>
      </c>
      <c r="BI162" s="139">
        <f t="shared" si="140"/>
        <v>-777</v>
      </c>
      <c r="BJ162" s="139">
        <f t="shared" si="140"/>
        <v>-777</v>
      </c>
      <c r="BK162" s="139">
        <f t="shared" si="140"/>
        <v>-777</v>
      </c>
      <c r="BL162" s="139">
        <f t="shared" si="140"/>
        <v>-777</v>
      </c>
      <c r="BM162" s="141"/>
      <c r="BN162" s="141"/>
    </row>
    <row r="163" spans="3:66">
      <c r="C163" s="120" t="str">
        <f>C118</f>
        <v>Compliance &amp; Regulation</v>
      </c>
      <c r="D163" s="154">
        <v>0.15</v>
      </c>
      <c r="E163" s="139">
        <f t="shared" ref="E163:AJ163" si="141">E118*$D164</f>
        <v>-220</v>
      </c>
      <c r="F163" s="139">
        <f t="shared" si="141"/>
        <v>-100</v>
      </c>
      <c r="G163" s="139">
        <f t="shared" si="141"/>
        <v>-25</v>
      </c>
      <c r="H163" s="139">
        <f t="shared" si="141"/>
        <v>-25</v>
      </c>
      <c r="I163" s="139">
        <f t="shared" si="141"/>
        <v>-25</v>
      </c>
      <c r="J163" s="139">
        <f t="shared" si="141"/>
        <v>-25</v>
      </c>
      <c r="K163" s="139">
        <f t="shared" si="141"/>
        <v>-25</v>
      </c>
      <c r="L163" s="139">
        <f t="shared" si="141"/>
        <v>-25</v>
      </c>
      <c r="M163" s="139">
        <f t="shared" si="141"/>
        <v>-525</v>
      </c>
      <c r="N163" s="139">
        <f t="shared" si="141"/>
        <v>-25</v>
      </c>
      <c r="O163" s="139">
        <f t="shared" si="141"/>
        <v>-25</v>
      </c>
      <c r="P163" s="139">
        <f t="shared" si="141"/>
        <v>-25</v>
      </c>
      <c r="Q163" s="139">
        <f t="shared" si="141"/>
        <v>-245</v>
      </c>
      <c r="R163" s="139">
        <f t="shared" si="141"/>
        <v>-25</v>
      </c>
      <c r="S163" s="139">
        <f t="shared" si="141"/>
        <v>-25</v>
      </c>
      <c r="T163" s="139">
        <f t="shared" si="141"/>
        <v>-25</v>
      </c>
      <c r="U163" s="139">
        <f t="shared" si="141"/>
        <v>-25</v>
      </c>
      <c r="V163" s="139">
        <f t="shared" si="141"/>
        <v>-25</v>
      </c>
      <c r="W163" s="139">
        <f t="shared" si="141"/>
        <v>-25</v>
      </c>
      <c r="X163" s="139">
        <f t="shared" si="141"/>
        <v>-25</v>
      </c>
      <c r="Y163" s="139">
        <f t="shared" si="141"/>
        <v>-25</v>
      </c>
      <c r="Z163" s="139">
        <f t="shared" si="141"/>
        <v>-25</v>
      </c>
      <c r="AA163" s="139">
        <f t="shared" si="141"/>
        <v>-25</v>
      </c>
      <c r="AB163" s="139">
        <f t="shared" si="141"/>
        <v>-25</v>
      </c>
      <c r="AC163" s="139">
        <f t="shared" si="141"/>
        <v>-245</v>
      </c>
      <c r="AD163" s="139">
        <f t="shared" si="141"/>
        <v>-25</v>
      </c>
      <c r="AE163" s="139">
        <f t="shared" si="141"/>
        <v>-25</v>
      </c>
      <c r="AF163" s="139">
        <f t="shared" si="141"/>
        <v>-25</v>
      </c>
      <c r="AG163" s="139">
        <f t="shared" si="141"/>
        <v>-25</v>
      </c>
      <c r="AH163" s="139">
        <f t="shared" si="141"/>
        <v>-25</v>
      </c>
      <c r="AI163" s="139">
        <f t="shared" si="141"/>
        <v>-25</v>
      </c>
      <c r="AJ163" s="139">
        <f t="shared" si="141"/>
        <v>-25</v>
      </c>
      <c r="AK163" s="139">
        <f t="shared" ref="AK163:BP163" si="142">AK118*$D164</f>
        <v>-25</v>
      </c>
      <c r="AL163" s="139">
        <f t="shared" si="142"/>
        <v>-25</v>
      </c>
      <c r="AM163" s="139">
        <f t="shared" si="142"/>
        <v>-25</v>
      </c>
      <c r="AN163" s="139">
        <f t="shared" si="142"/>
        <v>-25</v>
      </c>
      <c r="AO163" s="139">
        <f t="shared" si="142"/>
        <v>-245</v>
      </c>
      <c r="AP163" s="139">
        <f t="shared" si="142"/>
        <v>-25</v>
      </c>
      <c r="AQ163" s="139">
        <f t="shared" si="142"/>
        <v>-25</v>
      </c>
      <c r="AR163" s="139">
        <f t="shared" si="142"/>
        <v>-25</v>
      </c>
      <c r="AS163" s="139">
        <f t="shared" si="142"/>
        <v>-25</v>
      </c>
      <c r="AT163" s="139">
        <f t="shared" si="142"/>
        <v>-25</v>
      </c>
      <c r="AU163" s="139">
        <f t="shared" si="142"/>
        <v>-25</v>
      </c>
      <c r="AV163" s="139">
        <f t="shared" si="142"/>
        <v>-25</v>
      </c>
      <c r="AW163" s="139">
        <f t="shared" si="142"/>
        <v>-25</v>
      </c>
      <c r="AX163" s="139">
        <f t="shared" si="142"/>
        <v>-25</v>
      </c>
      <c r="AY163" s="139">
        <f t="shared" si="142"/>
        <v>-25</v>
      </c>
      <c r="AZ163" s="139">
        <f t="shared" si="142"/>
        <v>-25</v>
      </c>
      <c r="BA163" s="139">
        <f t="shared" si="142"/>
        <v>-245</v>
      </c>
      <c r="BB163" s="139">
        <f t="shared" si="142"/>
        <v>-25</v>
      </c>
      <c r="BC163" s="139">
        <f t="shared" si="142"/>
        <v>-25</v>
      </c>
      <c r="BD163" s="139">
        <f t="shared" si="142"/>
        <v>-25</v>
      </c>
      <c r="BE163" s="139">
        <f t="shared" si="142"/>
        <v>-25</v>
      </c>
      <c r="BF163" s="139">
        <f t="shared" si="142"/>
        <v>-25</v>
      </c>
      <c r="BG163" s="139">
        <f t="shared" si="142"/>
        <v>-25</v>
      </c>
      <c r="BH163" s="139">
        <f t="shared" si="142"/>
        <v>-25</v>
      </c>
      <c r="BI163" s="139">
        <f t="shared" si="142"/>
        <v>-25</v>
      </c>
      <c r="BJ163" s="139">
        <f t="shared" si="142"/>
        <v>-25</v>
      </c>
      <c r="BK163" s="139">
        <f t="shared" si="142"/>
        <v>-25</v>
      </c>
      <c r="BL163" s="139">
        <f t="shared" si="142"/>
        <v>-25</v>
      </c>
      <c r="BM163" s="141"/>
      <c r="BN163" s="141"/>
    </row>
    <row r="164" spans="3:66">
      <c r="C164" s="120" t="str">
        <f>C125</f>
        <v>Tooling</v>
      </c>
      <c r="D164" s="154">
        <v>0.1</v>
      </c>
      <c r="E164" s="139">
        <f t="shared" ref="E164:AJ164" si="143">E125*$D164</f>
        <v>-65.36666666666666</v>
      </c>
      <c r="F164" s="139">
        <f t="shared" si="143"/>
        <v>-65.36666666666666</v>
      </c>
      <c r="G164" s="139">
        <f t="shared" si="143"/>
        <v>-65.36666666666666</v>
      </c>
      <c r="H164" s="139">
        <f t="shared" si="143"/>
        <v>-68.708333333333329</v>
      </c>
      <c r="I164" s="139">
        <f t="shared" si="143"/>
        <v>-68.708333333333329</v>
      </c>
      <c r="J164" s="139">
        <f t="shared" si="143"/>
        <v>-68.708333333333329</v>
      </c>
      <c r="K164" s="139">
        <f t="shared" si="143"/>
        <v>-78.733333333333334</v>
      </c>
      <c r="L164" s="139">
        <f t="shared" si="143"/>
        <v>-78.733333333333334</v>
      </c>
      <c r="M164" s="139">
        <f t="shared" si="143"/>
        <v>-78.733333333333334</v>
      </c>
      <c r="N164" s="139">
        <f t="shared" si="143"/>
        <v>-78.733333333333334</v>
      </c>
      <c r="O164" s="139">
        <f t="shared" si="143"/>
        <v>-78.733333333333334</v>
      </c>
      <c r="P164" s="139">
        <f t="shared" si="143"/>
        <v>-78.733333333333334</v>
      </c>
      <c r="Q164" s="139">
        <f t="shared" si="143"/>
        <v>-95.441666666666663</v>
      </c>
      <c r="R164" s="139">
        <f t="shared" si="143"/>
        <v>-95.441666666666663</v>
      </c>
      <c r="S164" s="139">
        <f t="shared" si="143"/>
        <v>-95.441666666666663</v>
      </c>
      <c r="T164" s="139">
        <f t="shared" si="143"/>
        <v>-95.441666666666663</v>
      </c>
      <c r="U164" s="139">
        <f t="shared" si="143"/>
        <v>-95.441666666666663</v>
      </c>
      <c r="V164" s="139">
        <f t="shared" si="143"/>
        <v>-95.441666666666663</v>
      </c>
      <c r="W164" s="139">
        <f t="shared" si="143"/>
        <v>-95.441666666666663</v>
      </c>
      <c r="X164" s="139">
        <f t="shared" si="143"/>
        <v>-95.441666666666663</v>
      </c>
      <c r="Y164" s="139">
        <f t="shared" si="143"/>
        <v>-95.441666666666663</v>
      </c>
      <c r="Z164" s="139">
        <f t="shared" si="143"/>
        <v>-95.441666666666663</v>
      </c>
      <c r="AA164" s="139">
        <f t="shared" si="143"/>
        <v>-95.441666666666663</v>
      </c>
      <c r="AB164" s="139">
        <f t="shared" si="143"/>
        <v>-95.441666666666663</v>
      </c>
      <c r="AC164" s="139">
        <f t="shared" si="143"/>
        <v>-125.51666666666665</v>
      </c>
      <c r="AD164" s="139">
        <f t="shared" si="143"/>
        <v>-125.51666666666665</v>
      </c>
      <c r="AE164" s="139">
        <f t="shared" si="143"/>
        <v>-125.51666666666665</v>
      </c>
      <c r="AF164" s="139">
        <f t="shared" si="143"/>
        <v>-125.51666666666665</v>
      </c>
      <c r="AG164" s="139">
        <f t="shared" si="143"/>
        <v>-125.51666666666665</v>
      </c>
      <c r="AH164" s="139">
        <f t="shared" si="143"/>
        <v>-125.51666666666665</v>
      </c>
      <c r="AI164" s="139">
        <f t="shared" si="143"/>
        <v>-125.51666666666665</v>
      </c>
      <c r="AJ164" s="139">
        <f t="shared" si="143"/>
        <v>-125.51666666666665</v>
      </c>
      <c r="AK164" s="139">
        <f t="shared" ref="AK164:BL164" si="144">AK125*$D164</f>
        <v>-125.51666666666665</v>
      </c>
      <c r="AL164" s="139">
        <f t="shared" si="144"/>
        <v>-125.51666666666665</v>
      </c>
      <c r="AM164" s="139">
        <f t="shared" si="144"/>
        <v>-125.51666666666665</v>
      </c>
      <c r="AN164" s="139">
        <f t="shared" si="144"/>
        <v>-125.51666666666665</v>
      </c>
      <c r="AO164" s="139">
        <f t="shared" si="144"/>
        <v>-155.59166666666667</v>
      </c>
      <c r="AP164" s="139">
        <f t="shared" si="144"/>
        <v>-155.59166666666667</v>
      </c>
      <c r="AQ164" s="139">
        <f t="shared" si="144"/>
        <v>-155.59166666666667</v>
      </c>
      <c r="AR164" s="139">
        <f t="shared" si="144"/>
        <v>-155.59166666666667</v>
      </c>
      <c r="AS164" s="139">
        <f t="shared" si="144"/>
        <v>-155.59166666666667</v>
      </c>
      <c r="AT164" s="139">
        <f t="shared" si="144"/>
        <v>-155.59166666666667</v>
      </c>
      <c r="AU164" s="139">
        <f t="shared" si="144"/>
        <v>-155.59166666666667</v>
      </c>
      <c r="AV164" s="139">
        <f t="shared" si="144"/>
        <v>-155.59166666666667</v>
      </c>
      <c r="AW164" s="139">
        <f t="shared" si="144"/>
        <v>-155.59166666666667</v>
      </c>
      <c r="AX164" s="139">
        <f t="shared" si="144"/>
        <v>-155.59166666666667</v>
      </c>
      <c r="AY164" s="139">
        <f t="shared" si="144"/>
        <v>-155.59166666666667</v>
      </c>
      <c r="AZ164" s="139">
        <f t="shared" si="144"/>
        <v>-155.59166666666667</v>
      </c>
      <c r="BA164" s="139">
        <f t="shared" si="144"/>
        <v>-185.66666666666666</v>
      </c>
      <c r="BB164" s="139">
        <f t="shared" si="144"/>
        <v>-185.66666666666666</v>
      </c>
      <c r="BC164" s="139">
        <f t="shared" si="144"/>
        <v>-185.66666666666666</v>
      </c>
      <c r="BD164" s="139">
        <f t="shared" si="144"/>
        <v>-185.66666666666666</v>
      </c>
      <c r="BE164" s="139">
        <f t="shared" si="144"/>
        <v>-185.66666666666666</v>
      </c>
      <c r="BF164" s="139">
        <f t="shared" si="144"/>
        <v>-185.66666666666666</v>
      </c>
      <c r="BG164" s="139">
        <f t="shared" si="144"/>
        <v>-185.66666666666666</v>
      </c>
      <c r="BH164" s="139">
        <f t="shared" si="144"/>
        <v>-185.66666666666666</v>
      </c>
      <c r="BI164" s="139">
        <f t="shared" si="144"/>
        <v>-185.66666666666666</v>
      </c>
      <c r="BJ164" s="139">
        <f t="shared" si="144"/>
        <v>-185.66666666666666</v>
      </c>
      <c r="BK164" s="139">
        <f t="shared" si="144"/>
        <v>-185.66666666666666</v>
      </c>
      <c r="BL164" s="139">
        <f t="shared" si="144"/>
        <v>-185.66666666666666</v>
      </c>
      <c r="BM164" s="141"/>
      <c r="BN164" s="141"/>
    </row>
    <row r="165" spans="3:66">
      <c r="C165" s="120" t="str">
        <f>C132</f>
        <v xml:space="preserve">Product </v>
      </c>
      <c r="D165" s="154">
        <v>0.1</v>
      </c>
      <c r="E165" s="139">
        <f t="shared" ref="E165:AJ165" si="145">E132*$D165</f>
        <v>0</v>
      </c>
      <c r="F165" s="139">
        <f t="shared" si="145"/>
        <v>0</v>
      </c>
      <c r="G165" s="139">
        <f t="shared" si="145"/>
        <v>0</v>
      </c>
      <c r="H165" s="139">
        <f t="shared" si="145"/>
        <v>-9.5</v>
      </c>
      <c r="I165" s="139">
        <f t="shared" si="145"/>
        <v>-9.5</v>
      </c>
      <c r="J165" s="139">
        <f t="shared" si="145"/>
        <v>-9.5</v>
      </c>
      <c r="K165" s="139">
        <f t="shared" si="145"/>
        <v>-66.7</v>
      </c>
      <c r="L165" s="139">
        <f t="shared" si="145"/>
        <v>-71.7</v>
      </c>
      <c r="M165" s="139">
        <f t="shared" si="145"/>
        <v>-77.2</v>
      </c>
      <c r="N165" s="139">
        <f t="shared" si="145"/>
        <v>-83.25</v>
      </c>
      <c r="O165" s="139">
        <f t="shared" si="145"/>
        <v>-89.905000000000001</v>
      </c>
      <c r="P165" s="139">
        <f t="shared" si="145"/>
        <v>-97.225500000000011</v>
      </c>
      <c r="Q165" s="139">
        <f t="shared" si="145"/>
        <v>-126.2</v>
      </c>
      <c r="R165" s="139">
        <f t="shared" si="145"/>
        <v>-136.20000000000002</v>
      </c>
      <c r="S165" s="139">
        <f t="shared" si="145"/>
        <v>-147.20000000000002</v>
      </c>
      <c r="T165" s="139">
        <f t="shared" si="145"/>
        <v>-159.30000000000001</v>
      </c>
      <c r="U165" s="139">
        <f t="shared" si="145"/>
        <v>-172.61</v>
      </c>
      <c r="V165" s="139">
        <f t="shared" si="145"/>
        <v>-187.251</v>
      </c>
      <c r="W165" s="139">
        <f t="shared" si="145"/>
        <v>-276.2</v>
      </c>
      <c r="X165" s="139">
        <f t="shared" si="145"/>
        <v>-301.2</v>
      </c>
      <c r="Y165" s="139">
        <f t="shared" si="145"/>
        <v>-328.70000000000005</v>
      </c>
      <c r="Z165" s="139">
        <f t="shared" si="145"/>
        <v>-358.95000000000005</v>
      </c>
      <c r="AA165" s="139">
        <f t="shared" si="145"/>
        <v>-392.22500000000002</v>
      </c>
      <c r="AB165" s="139">
        <f t="shared" si="145"/>
        <v>-428.82749999999999</v>
      </c>
      <c r="AC165" s="139">
        <f t="shared" si="145"/>
        <v>-725.6</v>
      </c>
      <c r="AD165" s="139">
        <f t="shared" si="145"/>
        <v>-775.6</v>
      </c>
      <c r="AE165" s="139">
        <f t="shared" si="145"/>
        <v>-830.6</v>
      </c>
      <c r="AF165" s="139">
        <f t="shared" si="145"/>
        <v>-891.1</v>
      </c>
      <c r="AG165" s="139">
        <f t="shared" si="145"/>
        <v>-957.65000000000009</v>
      </c>
      <c r="AH165" s="139">
        <f t="shared" si="145"/>
        <v>-1030.855</v>
      </c>
      <c r="AI165" s="139">
        <f t="shared" si="145"/>
        <v>-1225.6000000000001</v>
      </c>
      <c r="AJ165" s="139">
        <f t="shared" si="145"/>
        <v>-1325.6000000000001</v>
      </c>
      <c r="AK165" s="139">
        <f t="shared" ref="AK165:BL165" si="146">AK132*$D165</f>
        <v>-1435.6000000000001</v>
      </c>
      <c r="AL165" s="139">
        <f t="shared" si="146"/>
        <v>-1556.6000000000001</v>
      </c>
      <c r="AM165" s="139">
        <f t="shared" si="146"/>
        <v>-1689.7</v>
      </c>
      <c r="AN165" s="139">
        <f t="shared" si="146"/>
        <v>-1836.11</v>
      </c>
      <c r="AO165" s="139">
        <f t="shared" si="146"/>
        <v>-2330.6</v>
      </c>
      <c r="AP165" s="139">
        <f t="shared" si="146"/>
        <v>-2430.6</v>
      </c>
      <c r="AQ165" s="139">
        <f t="shared" si="146"/>
        <v>-2535.6000000000004</v>
      </c>
      <c r="AR165" s="139">
        <f t="shared" si="146"/>
        <v>-2830.6000000000004</v>
      </c>
      <c r="AS165" s="139">
        <f t="shared" si="146"/>
        <v>-2955.6000000000004</v>
      </c>
      <c r="AT165" s="139">
        <f t="shared" si="146"/>
        <v>-3086.8500000000004</v>
      </c>
      <c r="AU165" s="139">
        <f t="shared" si="146"/>
        <v>-3330.6000000000004</v>
      </c>
      <c r="AV165" s="139">
        <f t="shared" si="146"/>
        <v>-3480.6000000000004</v>
      </c>
      <c r="AW165" s="139">
        <f t="shared" si="146"/>
        <v>-3638.1000000000004</v>
      </c>
      <c r="AX165" s="139">
        <f t="shared" si="146"/>
        <v>-3830.6000000000004</v>
      </c>
      <c r="AY165" s="139">
        <f t="shared" si="146"/>
        <v>-4005.6000000000004</v>
      </c>
      <c r="AZ165" s="139">
        <f t="shared" si="146"/>
        <v>-4189.3500000000004</v>
      </c>
      <c r="BA165" s="139">
        <f t="shared" si="146"/>
        <v>-4927.6000000000004</v>
      </c>
      <c r="BB165" s="139">
        <f t="shared" si="146"/>
        <v>-5152.6000000000004</v>
      </c>
      <c r="BC165" s="139">
        <f t="shared" si="146"/>
        <v>-5388.85</v>
      </c>
      <c r="BD165" s="139">
        <f t="shared" si="146"/>
        <v>-5427.6</v>
      </c>
      <c r="BE165" s="139">
        <f t="shared" si="146"/>
        <v>-5677.6</v>
      </c>
      <c r="BF165" s="139">
        <f t="shared" si="146"/>
        <v>-5940.1</v>
      </c>
      <c r="BG165" s="139">
        <f t="shared" si="146"/>
        <v>-7427.6</v>
      </c>
      <c r="BH165" s="139">
        <f t="shared" si="146"/>
        <v>-7777.6</v>
      </c>
      <c r="BI165" s="139">
        <f t="shared" si="146"/>
        <v>-8145.1</v>
      </c>
      <c r="BJ165" s="139">
        <f t="shared" si="146"/>
        <v>-8530.9750000000004</v>
      </c>
      <c r="BK165" s="139">
        <f t="shared" si="146"/>
        <v>-8936.1437500000011</v>
      </c>
      <c r="BL165" s="139">
        <f t="shared" si="146"/>
        <v>-9361.5709375000006</v>
      </c>
      <c r="BM165" s="141"/>
      <c r="BN165" s="141"/>
    </row>
    <row r="166" spans="3:66">
      <c r="C166" s="120" t="str">
        <f>C147</f>
        <v>Marketing &amp; Coms</v>
      </c>
      <c r="D166" s="154">
        <v>0.25</v>
      </c>
      <c r="E166" s="139">
        <f t="shared" ref="E166:AJ166" si="147">E147*$D166</f>
        <v>-2500</v>
      </c>
      <c r="F166" s="139">
        <f t="shared" si="147"/>
        <v>-2500</v>
      </c>
      <c r="G166" s="139">
        <f t="shared" si="147"/>
        <v>-2500</v>
      </c>
      <c r="H166" s="139">
        <f t="shared" si="147"/>
        <v>-2500</v>
      </c>
      <c r="I166" s="139">
        <f t="shared" si="147"/>
        <v>-2500</v>
      </c>
      <c r="J166" s="139">
        <f t="shared" si="147"/>
        <v>-2500</v>
      </c>
      <c r="K166" s="139">
        <f t="shared" si="147"/>
        <v>-2500</v>
      </c>
      <c r="L166" s="139">
        <f t="shared" si="147"/>
        <v>-2500</v>
      </c>
      <c r="M166" s="139">
        <f t="shared" si="147"/>
        <v>-2500</v>
      </c>
      <c r="N166" s="139">
        <f t="shared" si="147"/>
        <v>-2500</v>
      </c>
      <c r="O166" s="139">
        <f t="shared" si="147"/>
        <v>-2500</v>
      </c>
      <c r="P166" s="139">
        <f t="shared" si="147"/>
        <v>-2500</v>
      </c>
      <c r="Q166" s="139">
        <f t="shared" si="147"/>
        <v>-3750</v>
      </c>
      <c r="R166" s="139">
        <f t="shared" si="147"/>
        <v>-3750</v>
      </c>
      <c r="S166" s="139">
        <f t="shared" si="147"/>
        <v>-3750</v>
      </c>
      <c r="T166" s="139">
        <f t="shared" si="147"/>
        <v>-3750</v>
      </c>
      <c r="U166" s="139">
        <f t="shared" si="147"/>
        <v>-3750</v>
      </c>
      <c r="V166" s="139">
        <f t="shared" si="147"/>
        <v>-3750</v>
      </c>
      <c r="W166" s="139">
        <f t="shared" si="147"/>
        <v>-3750</v>
      </c>
      <c r="X166" s="139">
        <f t="shared" si="147"/>
        <v>-3750</v>
      </c>
      <c r="Y166" s="139">
        <f t="shared" si="147"/>
        <v>-3750</v>
      </c>
      <c r="Z166" s="139">
        <f t="shared" si="147"/>
        <v>-3750</v>
      </c>
      <c r="AA166" s="139">
        <f t="shared" si="147"/>
        <v>-3750</v>
      </c>
      <c r="AB166" s="139">
        <f t="shared" si="147"/>
        <v>-3750</v>
      </c>
      <c r="AC166" s="139">
        <f t="shared" si="147"/>
        <v>-5000</v>
      </c>
      <c r="AD166" s="139">
        <f t="shared" si="147"/>
        <v>-5000</v>
      </c>
      <c r="AE166" s="139">
        <f t="shared" si="147"/>
        <v>-5000</v>
      </c>
      <c r="AF166" s="139">
        <f t="shared" si="147"/>
        <v>-5000</v>
      </c>
      <c r="AG166" s="139">
        <f t="shared" si="147"/>
        <v>-5000</v>
      </c>
      <c r="AH166" s="139">
        <f t="shared" si="147"/>
        <v>-5000</v>
      </c>
      <c r="AI166" s="139">
        <f t="shared" si="147"/>
        <v>-5000</v>
      </c>
      <c r="AJ166" s="139">
        <f t="shared" si="147"/>
        <v>-5000</v>
      </c>
      <c r="AK166" s="139">
        <f t="shared" ref="AK166:BL166" si="148">AK147*$D166</f>
        <v>-5000</v>
      </c>
      <c r="AL166" s="139">
        <f t="shared" si="148"/>
        <v>-5000</v>
      </c>
      <c r="AM166" s="139">
        <f t="shared" si="148"/>
        <v>-5000</v>
      </c>
      <c r="AN166" s="139">
        <f t="shared" si="148"/>
        <v>-5000</v>
      </c>
      <c r="AO166" s="139">
        <f t="shared" si="148"/>
        <v>-7500</v>
      </c>
      <c r="AP166" s="139">
        <f t="shared" si="148"/>
        <v>-7500</v>
      </c>
      <c r="AQ166" s="139">
        <f t="shared" si="148"/>
        <v>-7500</v>
      </c>
      <c r="AR166" s="139">
        <f t="shared" si="148"/>
        <v>-7500</v>
      </c>
      <c r="AS166" s="139">
        <f t="shared" si="148"/>
        <v>-7500</v>
      </c>
      <c r="AT166" s="139">
        <f t="shared" si="148"/>
        <v>-7500</v>
      </c>
      <c r="AU166" s="139">
        <f t="shared" si="148"/>
        <v>-7500</v>
      </c>
      <c r="AV166" s="139">
        <f t="shared" si="148"/>
        <v>-7500</v>
      </c>
      <c r="AW166" s="139">
        <f t="shared" si="148"/>
        <v>-7500</v>
      </c>
      <c r="AX166" s="139">
        <f t="shared" si="148"/>
        <v>-7500</v>
      </c>
      <c r="AY166" s="139">
        <f t="shared" si="148"/>
        <v>-7500</v>
      </c>
      <c r="AZ166" s="139">
        <f t="shared" si="148"/>
        <v>-7500</v>
      </c>
      <c r="BA166" s="139">
        <f t="shared" si="148"/>
        <v>-12500</v>
      </c>
      <c r="BB166" s="139">
        <f t="shared" si="148"/>
        <v>-12500</v>
      </c>
      <c r="BC166" s="139">
        <f t="shared" si="148"/>
        <v>-12500</v>
      </c>
      <c r="BD166" s="139">
        <f t="shared" si="148"/>
        <v>-12500</v>
      </c>
      <c r="BE166" s="139">
        <f t="shared" si="148"/>
        <v>-12500</v>
      </c>
      <c r="BF166" s="139">
        <f t="shared" si="148"/>
        <v>-12500</v>
      </c>
      <c r="BG166" s="139">
        <f t="shared" si="148"/>
        <v>-12500</v>
      </c>
      <c r="BH166" s="139">
        <f t="shared" si="148"/>
        <v>-12500</v>
      </c>
      <c r="BI166" s="139">
        <f t="shared" si="148"/>
        <v>-12500</v>
      </c>
      <c r="BJ166" s="139">
        <f t="shared" si="148"/>
        <v>-12500</v>
      </c>
      <c r="BK166" s="139">
        <f t="shared" si="148"/>
        <v>-12500</v>
      </c>
      <c r="BL166" s="139">
        <f t="shared" si="148"/>
        <v>-12500</v>
      </c>
      <c r="BM166" s="141"/>
      <c r="BN166" s="141"/>
    </row>
    <row r="167" spans="3:66"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  <c r="AF167" s="141"/>
      <c r="AG167" s="141"/>
      <c r="AH167" s="141"/>
      <c r="AI167" s="141"/>
      <c r="AJ167" s="141"/>
      <c r="AK167" s="141"/>
      <c r="AL167" s="141"/>
      <c r="AM167" s="141"/>
      <c r="AN167" s="141"/>
      <c r="AO167" s="141"/>
      <c r="AP167" s="141"/>
      <c r="AQ167" s="141"/>
      <c r="AR167" s="141"/>
      <c r="AS167" s="141"/>
      <c r="AT167" s="141"/>
      <c r="AU167" s="141"/>
      <c r="AV167" s="141"/>
      <c r="AW167" s="141"/>
      <c r="AX167" s="141"/>
      <c r="AY167" s="141"/>
      <c r="AZ167" s="141"/>
      <c r="BA167" s="141"/>
      <c r="BB167" s="141"/>
      <c r="BC167" s="141"/>
      <c r="BD167" s="141"/>
      <c r="BE167" s="141"/>
      <c r="BF167" s="141"/>
      <c r="BG167" s="141"/>
      <c r="BH167" s="141"/>
      <c r="BI167" s="141"/>
      <c r="BJ167" s="141"/>
      <c r="BK167" s="141"/>
      <c r="BL167" s="141"/>
      <c r="BM167" s="141"/>
      <c r="BN167" s="141"/>
    </row>
    <row r="168" spans="3:66"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  <c r="AF168" s="141"/>
      <c r="AG168" s="141"/>
      <c r="AH168" s="141"/>
      <c r="AI168" s="141"/>
      <c r="AJ168" s="141"/>
      <c r="AK168" s="141"/>
      <c r="AL168" s="141"/>
      <c r="AM168" s="141"/>
      <c r="AN168" s="141"/>
      <c r="AO168" s="141"/>
      <c r="AP168" s="141"/>
      <c r="AQ168" s="141"/>
      <c r="AR168" s="141"/>
      <c r="AS168" s="141"/>
      <c r="AT168" s="141"/>
      <c r="AU168" s="141"/>
      <c r="AV168" s="141"/>
      <c r="AW168" s="141"/>
      <c r="AX168" s="141"/>
      <c r="AY168" s="141"/>
      <c r="AZ168" s="141"/>
      <c r="BA168" s="141"/>
      <c r="BB168" s="141"/>
      <c r="BC168" s="141"/>
      <c r="BD168" s="141"/>
      <c r="BE168" s="141"/>
      <c r="BF168" s="141"/>
      <c r="BG168" s="141"/>
      <c r="BH168" s="141"/>
      <c r="BI168" s="141"/>
      <c r="BJ168" s="141"/>
      <c r="BK168" s="141"/>
      <c r="BL168" s="141"/>
      <c r="BM168" s="141"/>
      <c r="BN168" s="141"/>
    </row>
    <row r="169" spans="3:66"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41"/>
      <c r="AJ169" s="141"/>
      <c r="AK169" s="141"/>
      <c r="AL169" s="141"/>
      <c r="AM169" s="141"/>
      <c r="AN169" s="141"/>
      <c r="AO169" s="141"/>
      <c r="AP169" s="141"/>
      <c r="AQ169" s="141"/>
      <c r="AR169" s="141"/>
      <c r="AS169" s="141"/>
      <c r="AT169" s="141"/>
      <c r="AU169" s="141"/>
      <c r="AV169" s="141"/>
      <c r="AW169" s="141"/>
      <c r="AX169" s="141"/>
      <c r="AY169" s="141"/>
      <c r="AZ169" s="141"/>
      <c r="BA169" s="141"/>
      <c r="BB169" s="141"/>
      <c r="BC169" s="141"/>
      <c r="BD169" s="141"/>
      <c r="BE169" s="141"/>
      <c r="BF169" s="141"/>
      <c r="BG169" s="141"/>
      <c r="BH169" s="141"/>
      <c r="BI169" s="141"/>
      <c r="BJ169" s="141"/>
      <c r="BK169" s="141"/>
      <c r="BL169" s="141"/>
      <c r="BM169" s="141"/>
      <c r="BN169" s="141"/>
    </row>
    <row r="170" spans="3:66"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  <c r="AH170" s="141"/>
      <c r="AI170" s="141"/>
      <c r="AJ170" s="141"/>
      <c r="AK170" s="141"/>
      <c r="AL170" s="141"/>
      <c r="AM170" s="141"/>
      <c r="AN170" s="141"/>
      <c r="AO170" s="141"/>
      <c r="AP170" s="141"/>
      <c r="AQ170" s="141"/>
      <c r="AR170" s="141"/>
      <c r="AS170" s="141"/>
      <c r="AT170" s="141"/>
      <c r="AU170" s="141"/>
      <c r="AV170" s="141"/>
      <c r="AW170" s="141"/>
      <c r="AX170" s="141"/>
      <c r="AY170" s="141"/>
      <c r="AZ170" s="141"/>
      <c r="BA170" s="141"/>
      <c r="BB170" s="141"/>
      <c r="BC170" s="141"/>
      <c r="BD170" s="141"/>
      <c r="BE170" s="141"/>
      <c r="BF170" s="141"/>
      <c r="BG170" s="141"/>
      <c r="BH170" s="141"/>
      <c r="BI170" s="141"/>
      <c r="BJ170" s="141"/>
      <c r="BK170" s="141"/>
      <c r="BL170" s="141"/>
      <c r="BM170" s="141"/>
      <c r="BN170" s="141"/>
    </row>
    <row r="171" spans="3:66"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41"/>
      <c r="AJ171" s="141"/>
      <c r="AK171" s="141"/>
      <c r="AL171" s="141"/>
      <c r="AM171" s="141"/>
      <c r="AN171" s="141"/>
      <c r="AO171" s="141"/>
      <c r="AP171" s="141"/>
      <c r="AQ171" s="141"/>
      <c r="AR171" s="141"/>
      <c r="AS171" s="141"/>
      <c r="AT171" s="141"/>
      <c r="AU171" s="141"/>
      <c r="AV171" s="141"/>
      <c r="AW171" s="141"/>
      <c r="AX171" s="141"/>
      <c r="AY171" s="141"/>
      <c r="AZ171" s="141"/>
      <c r="BA171" s="141"/>
      <c r="BB171" s="141"/>
      <c r="BC171" s="141"/>
      <c r="BD171" s="141"/>
      <c r="BE171" s="141"/>
      <c r="BF171" s="141"/>
      <c r="BG171" s="141"/>
      <c r="BH171" s="141"/>
      <c r="BI171" s="141"/>
      <c r="BJ171" s="141"/>
      <c r="BK171" s="141"/>
      <c r="BL171" s="141"/>
      <c r="BM171" s="141"/>
      <c r="BN171" s="141"/>
    </row>
    <row r="172" spans="3:66"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  <c r="AE172" s="141"/>
      <c r="AF172" s="141"/>
      <c r="AG172" s="141"/>
      <c r="AH172" s="141"/>
      <c r="AI172" s="141"/>
      <c r="AJ172" s="141"/>
      <c r="AK172" s="141"/>
      <c r="AL172" s="141"/>
      <c r="AM172" s="141"/>
      <c r="AN172" s="141"/>
      <c r="AO172" s="141"/>
      <c r="AP172" s="141"/>
      <c r="AQ172" s="141"/>
      <c r="AR172" s="141"/>
      <c r="AS172" s="141"/>
      <c r="AT172" s="141"/>
      <c r="AU172" s="141"/>
      <c r="AV172" s="141"/>
      <c r="AW172" s="141"/>
      <c r="AX172" s="141"/>
      <c r="AY172" s="141"/>
      <c r="AZ172" s="141"/>
      <c r="BA172" s="141"/>
      <c r="BB172" s="141"/>
      <c r="BC172" s="141"/>
      <c r="BD172" s="141"/>
      <c r="BE172" s="141"/>
      <c r="BF172" s="141"/>
      <c r="BG172" s="141"/>
      <c r="BH172" s="141"/>
      <c r="BI172" s="141"/>
      <c r="BJ172" s="141"/>
      <c r="BK172" s="141"/>
      <c r="BL172" s="141"/>
      <c r="BM172" s="141"/>
      <c r="BN172" s="141"/>
    </row>
    <row r="173" spans="3:66"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41"/>
      <c r="AJ173" s="141"/>
      <c r="AK173" s="141"/>
      <c r="AL173" s="141"/>
      <c r="AM173" s="141"/>
      <c r="AN173" s="141"/>
      <c r="AO173" s="141"/>
      <c r="AP173" s="141"/>
      <c r="AQ173" s="141"/>
      <c r="AR173" s="141"/>
      <c r="AS173" s="141"/>
      <c r="AT173" s="141"/>
      <c r="AU173" s="141"/>
      <c r="AV173" s="141"/>
      <c r="AW173" s="141"/>
      <c r="AX173" s="141"/>
      <c r="AY173" s="141"/>
      <c r="AZ173" s="141"/>
      <c r="BA173" s="141"/>
      <c r="BB173" s="141"/>
      <c r="BC173" s="141"/>
      <c r="BD173" s="141"/>
      <c r="BE173" s="141"/>
      <c r="BF173" s="141"/>
      <c r="BG173" s="141"/>
      <c r="BH173" s="141"/>
      <c r="BI173" s="141"/>
      <c r="BJ173" s="141"/>
      <c r="BK173" s="141"/>
      <c r="BL173" s="141"/>
      <c r="BM173" s="141"/>
      <c r="BN173" s="141"/>
    </row>
    <row r="174" spans="3:66"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  <c r="AF174" s="141"/>
      <c r="AG174" s="141"/>
      <c r="AH174" s="141"/>
      <c r="AI174" s="141"/>
      <c r="AJ174" s="141"/>
      <c r="AK174" s="141"/>
      <c r="AL174" s="141"/>
      <c r="AM174" s="141"/>
      <c r="AN174" s="141"/>
      <c r="AO174" s="141"/>
      <c r="AP174" s="141"/>
      <c r="AQ174" s="141"/>
      <c r="AR174" s="141"/>
      <c r="AS174" s="141"/>
      <c r="AT174" s="141"/>
      <c r="AU174" s="141"/>
      <c r="AV174" s="141"/>
      <c r="AW174" s="141"/>
      <c r="AX174" s="141"/>
      <c r="AY174" s="141"/>
      <c r="AZ174" s="141"/>
      <c r="BA174" s="141"/>
      <c r="BB174" s="141"/>
      <c r="BC174" s="141"/>
      <c r="BD174" s="141"/>
      <c r="BE174" s="141"/>
      <c r="BF174" s="141"/>
      <c r="BG174" s="141"/>
      <c r="BH174" s="141"/>
      <c r="BI174" s="141"/>
      <c r="BJ174" s="141"/>
      <c r="BK174" s="141"/>
      <c r="BL174" s="141"/>
      <c r="BM174" s="141"/>
      <c r="BN174" s="141"/>
    </row>
    <row r="175" spans="3:66"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41"/>
      <c r="AJ175" s="141"/>
      <c r="AK175" s="141"/>
      <c r="AL175" s="141"/>
      <c r="AM175" s="141"/>
      <c r="AN175" s="141"/>
      <c r="AO175" s="141"/>
      <c r="AP175" s="141"/>
      <c r="AQ175" s="141"/>
      <c r="AR175" s="141"/>
      <c r="AS175" s="141"/>
      <c r="AT175" s="141"/>
      <c r="AU175" s="141"/>
      <c r="AV175" s="141"/>
      <c r="AW175" s="141"/>
      <c r="AX175" s="141"/>
      <c r="AY175" s="141"/>
      <c r="AZ175" s="141"/>
      <c r="BA175" s="141"/>
      <c r="BB175" s="141"/>
      <c r="BC175" s="141"/>
      <c r="BD175" s="141"/>
      <c r="BE175" s="141"/>
      <c r="BF175" s="141"/>
      <c r="BG175" s="141"/>
      <c r="BH175" s="141"/>
      <c r="BI175" s="141"/>
      <c r="BJ175" s="141"/>
      <c r="BK175" s="141"/>
      <c r="BL175" s="141"/>
      <c r="BM175" s="141"/>
      <c r="BN175" s="141"/>
    </row>
    <row r="176" spans="3:66"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  <c r="AH176" s="141"/>
      <c r="AI176" s="141"/>
      <c r="AJ176" s="141"/>
      <c r="AK176" s="141"/>
      <c r="AL176" s="141"/>
      <c r="AM176" s="141"/>
      <c r="AN176" s="141"/>
      <c r="AO176" s="141"/>
      <c r="AP176" s="141"/>
      <c r="AQ176" s="141"/>
      <c r="AR176" s="141"/>
      <c r="AS176" s="141"/>
      <c r="AT176" s="141"/>
      <c r="AU176" s="141"/>
      <c r="AV176" s="141"/>
      <c r="AW176" s="141"/>
      <c r="AX176" s="141"/>
      <c r="AY176" s="141"/>
      <c r="AZ176" s="141"/>
      <c r="BA176" s="141"/>
      <c r="BB176" s="141"/>
      <c r="BC176" s="141"/>
      <c r="BD176" s="141"/>
      <c r="BE176" s="141"/>
      <c r="BF176" s="141"/>
      <c r="BG176" s="141"/>
      <c r="BH176" s="141"/>
      <c r="BI176" s="141"/>
      <c r="BJ176" s="141"/>
      <c r="BK176" s="141"/>
      <c r="BL176" s="141"/>
      <c r="BM176" s="141"/>
      <c r="BN176" s="141"/>
    </row>
    <row r="177" spans="5:66"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  <c r="AE177" s="141"/>
      <c r="AF177" s="141"/>
      <c r="AG177" s="141"/>
      <c r="AH177" s="141"/>
      <c r="AI177" s="141"/>
      <c r="AJ177" s="141"/>
      <c r="AK177" s="141"/>
      <c r="AL177" s="141"/>
      <c r="AM177" s="141"/>
      <c r="AN177" s="141"/>
      <c r="AO177" s="141"/>
      <c r="AP177" s="141"/>
      <c r="AQ177" s="141"/>
      <c r="AR177" s="141"/>
      <c r="AS177" s="141"/>
      <c r="AT177" s="141"/>
      <c r="AU177" s="141"/>
      <c r="AV177" s="141"/>
      <c r="AW177" s="141"/>
      <c r="AX177" s="141"/>
      <c r="AY177" s="141"/>
      <c r="AZ177" s="141"/>
      <c r="BA177" s="141"/>
      <c r="BB177" s="141"/>
      <c r="BC177" s="141"/>
      <c r="BD177" s="141"/>
      <c r="BE177" s="141"/>
      <c r="BF177" s="141"/>
      <c r="BG177" s="141"/>
      <c r="BH177" s="141"/>
      <c r="BI177" s="141"/>
      <c r="BJ177" s="141"/>
      <c r="BK177" s="141"/>
      <c r="BL177" s="141"/>
      <c r="BM177" s="141"/>
      <c r="BN177" s="141"/>
    </row>
    <row r="178" spans="5:66"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  <c r="AH178" s="141"/>
      <c r="AI178" s="141"/>
      <c r="AJ178" s="141"/>
      <c r="AK178" s="141"/>
      <c r="AL178" s="141"/>
      <c r="AM178" s="141"/>
      <c r="AN178" s="141"/>
      <c r="AO178" s="141"/>
      <c r="AP178" s="141"/>
      <c r="AQ178" s="141"/>
      <c r="AR178" s="141"/>
      <c r="AS178" s="141"/>
      <c r="AT178" s="141"/>
      <c r="AU178" s="141"/>
      <c r="AV178" s="141"/>
      <c r="AW178" s="141"/>
      <c r="AX178" s="141"/>
      <c r="AY178" s="141"/>
      <c r="AZ178" s="141"/>
      <c r="BA178" s="141"/>
      <c r="BB178" s="141"/>
      <c r="BC178" s="141"/>
      <c r="BD178" s="141"/>
      <c r="BE178" s="141"/>
      <c r="BF178" s="141"/>
      <c r="BG178" s="141"/>
      <c r="BH178" s="141"/>
      <c r="BI178" s="141"/>
      <c r="BJ178" s="141"/>
      <c r="BK178" s="141"/>
      <c r="BL178" s="141"/>
      <c r="BM178" s="141"/>
      <c r="BN178" s="141"/>
    </row>
    <row r="179" spans="5:66"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  <c r="AH179" s="141"/>
      <c r="AI179" s="141"/>
      <c r="AJ179" s="141"/>
      <c r="AK179" s="141"/>
      <c r="AL179" s="141"/>
      <c r="AM179" s="141"/>
      <c r="AN179" s="141"/>
      <c r="AO179" s="141"/>
      <c r="AP179" s="141"/>
      <c r="AQ179" s="141"/>
      <c r="AR179" s="141"/>
      <c r="AS179" s="141"/>
      <c r="AT179" s="141"/>
      <c r="AU179" s="141"/>
      <c r="AV179" s="141"/>
      <c r="AW179" s="141"/>
      <c r="AX179" s="141"/>
      <c r="AY179" s="141"/>
      <c r="AZ179" s="141"/>
      <c r="BA179" s="141"/>
      <c r="BB179" s="141"/>
      <c r="BC179" s="141"/>
      <c r="BD179" s="141"/>
      <c r="BE179" s="141"/>
      <c r="BF179" s="141"/>
      <c r="BG179" s="141"/>
      <c r="BH179" s="141"/>
      <c r="BI179" s="141"/>
      <c r="BJ179" s="141"/>
      <c r="BK179" s="141"/>
      <c r="BL179" s="141"/>
      <c r="BM179" s="141"/>
      <c r="BN179" s="141"/>
    </row>
    <row r="180" spans="5:66"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41"/>
      <c r="AJ180" s="141"/>
      <c r="AK180" s="141"/>
      <c r="AL180" s="141"/>
      <c r="AM180" s="141"/>
      <c r="AN180" s="141"/>
      <c r="AO180" s="141"/>
      <c r="AP180" s="141"/>
      <c r="AQ180" s="141"/>
      <c r="AR180" s="141"/>
      <c r="AS180" s="141"/>
      <c r="AT180" s="141"/>
      <c r="AU180" s="141"/>
      <c r="AV180" s="141"/>
      <c r="AW180" s="141"/>
      <c r="AX180" s="141"/>
      <c r="AY180" s="141"/>
      <c r="AZ180" s="141"/>
      <c r="BA180" s="141"/>
      <c r="BB180" s="141"/>
      <c r="BC180" s="141"/>
      <c r="BD180" s="141"/>
      <c r="BE180" s="141"/>
      <c r="BF180" s="141"/>
      <c r="BG180" s="141"/>
      <c r="BH180" s="141"/>
      <c r="BI180" s="141"/>
      <c r="BJ180" s="141"/>
      <c r="BK180" s="141"/>
      <c r="BL180" s="141"/>
      <c r="BM180" s="141"/>
      <c r="BN180" s="141"/>
    </row>
    <row r="181" spans="5:66"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41"/>
      <c r="AJ181" s="141"/>
      <c r="AK181" s="141"/>
      <c r="AL181" s="141"/>
      <c r="AM181" s="141"/>
      <c r="AN181" s="141"/>
      <c r="AO181" s="141"/>
      <c r="AP181" s="141"/>
      <c r="AQ181" s="141"/>
      <c r="AR181" s="141"/>
      <c r="AS181" s="141"/>
      <c r="AT181" s="141"/>
      <c r="AU181" s="141"/>
      <c r="AV181" s="141"/>
      <c r="AW181" s="141"/>
      <c r="AX181" s="141"/>
      <c r="AY181" s="141"/>
      <c r="AZ181" s="141"/>
      <c r="BA181" s="141"/>
      <c r="BB181" s="141"/>
      <c r="BC181" s="141"/>
      <c r="BD181" s="141"/>
      <c r="BE181" s="141"/>
      <c r="BF181" s="141"/>
      <c r="BG181" s="141"/>
      <c r="BH181" s="141"/>
      <c r="BI181" s="141"/>
      <c r="BJ181" s="141"/>
      <c r="BK181" s="141"/>
      <c r="BL181" s="141"/>
      <c r="BM181" s="141"/>
      <c r="BN181" s="141"/>
    </row>
    <row r="182" spans="5:66"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  <c r="AE182" s="141"/>
      <c r="AF182" s="141"/>
      <c r="AG182" s="141"/>
      <c r="AH182" s="141"/>
      <c r="AI182" s="141"/>
      <c r="AJ182" s="141"/>
      <c r="AK182" s="141"/>
      <c r="AL182" s="141"/>
      <c r="AM182" s="141"/>
      <c r="AN182" s="141"/>
      <c r="AO182" s="141"/>
      <c r="AP182" s="141"/>
      <c r="AQ182" s="141"/>
      <c r="AR182" s="141"/>
      <c r="AS182" s="141"/>
      <c r="AT182" s="141"/>
      <c r="AU182" s="141"/>
      <c r="AV182" s="141"/>
      <c r="AW182" s="141"/>
      <c r="AX182" s="141"/>
      <c r="AY182" s="141"/>
      <c r="AZ182" s="141"/>
      <c r="BA182" s="141"/>
      <c r="BB182" s="141"/>
      <c r="BC182" s="141"/>
      <c r="BD182" s="141"/>
      <c r="BE182" s="141"/>
      <c r="BF182" s="141"/>
      <c r="BG182" s="141"/>
      <c r="BH182" s="141"/>
      <c r="BI182" s="141"/>
      <c r="BJ182" s="141"/>
      <c r="BK182" s="141"/>
      <c r="BL182" s="141"/>
      <c r="BM182" s="141"/>
      <c r="BN182" s="141"/>
    </row>
    <row r="183" spans="5:66"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  <c r="AF183" s="141"/>
      <c r="AG183" s="141"/>
      <c r="AH183" s="141"/>
      <c r="AI183" s="141"/>
      <c r="AJ183" s="141"/>
      <c r="AK183" s="141"/>
      <c r="AL183" s="141"/>
      <c r="AM183" s="141"/>
      <c r="AN183" s="141"/>
      <c r="AO183" s="141"/>
      <c r="AP183" s="141"/>
      <c r="AQ183" s="141"/>
      <c r="AR183" s="141"/>
      <c r="AS183" s="141"/>
      <c r="AT183" s="141"/>
      <c r="AU183" s="141"/>
      <c r="AV183" s="141"/>
      <c r="AW183" s="141"/>
      <c r="AX183" s="141"/>
      <c r="AY183" s="141"/>
      <c r="AZ183" s="141"/>
      <c r="BA183" s="141"/>
      <c r="BB183" s="141"/>
      <c r="BC183" s="141"/>
      <c r="BD183" s="141"/>
      <c r="BE183" s="141"/>
      <c r="BF183" s="141"/>
      <c r="BG183" s="141"/>
      <c r="BH183" s="141"/>
      <c r="BI183" s="141"/>
      <c r="BJ183" s="141"/>
      <c r="BK183" s="141"/>
      <c r="BL183" s="141"/>
      <c r="BM183" s="141"/>
      <c r="BN183" s="141"/>
    </row>
    <row r="184" spans="5:66"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141"/>
      <c r="AG184" s="141"/>
      <c r="AH184" s="141"/>
      <c r="AI184" s="141"/>
      <c r="AJ184" s="141"/>
      <c r="AK184" s="141"/>
      <c r="AL184" s="141"/>
      <c r="AM184" s="141"/>
      <c r="AN184" s="141"/>
      <c r="AO184" s="141"/>
      <c r="AP184" s="141"/>
      <c r="AQ184" s="141"/>
      <c r="AR184" s="141"/>
      <c r="AS184" s="141"/>
      <c r="AT184" s="141"/>
      <c r="AU184" s="141"/>
      <c r="AV184" s="141"/>
      <c r="AW184" s="141"/>
      <c r="AX184" s="141"/>
      <c r="AY184" s="141"/>
      <c r="AZ184" s="141"/>
      <c r="BA184" s="141"/>
      <c r="BB184" s="141"/>
      <c r="BC184" s="141"/>
      <c r="BD184" s="141"/>
      <c r="BE184" s="141"/>
      <c r="BF184" s="141"/>
      <c r="BG184" s="141"/>
      <c r="BH184" s="141"/>
      <c r="BI184" s="141"/>
      <c r="BJ184" s="141"/>
      <c r="BK184" s="141"/>
      <c r="BL184" s="141"/>
      <c r="BM184" s="141"/>
      <c r="BN184" s="141"/>
    </row>
    <row r="185" spans="5:66"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  <c r="AF185" s="141"/>
      <c r="AG185" s="141"/>
      <c r="AH185" s="141"/>
      <c r="AI185" s="141"/>
      <c r="AJ185" s="141"/>
      <c r="AK185" s="141"/>
      <c r="AL185" s="141"/>
      <c r="AM185" s="141"/>
      <c r="AN185" s="141"/>
      <c r="AO185" s="141"/>
      <c r="AP185" s="141"/>
      <c r="AQ185" s="141"/>
      <c r="AR185" s="141"/>
      <c r="AS185" s="141"/>
      <c r="AT185" s="141"/>
      <c r="AU185" s="141"/>
      <c r="AV185" s="141"/>
      <c r="AW185" s="141"/>
      <c r="AX185" s="141"/>
      <c r="AY185" s="141"/>
      <c r="AZ185" s="141"/>
      <c r="BA185" s="141"/>
      <c r="BB185" s="141"/>
      <c r="BC185" s="141"/>
      <c r="BD185" s="141"/>
      <c r="BE185" s="141"/>
      <c r="BF185" s="141"/>
      <c r="BG185" s="141"/>
      <c r="BH185" s="141"/>
      <c r="BI185" s="141"/>
      <c r="BJ185" s="141"/>
      <c r="BK185" s="141"/>
      <c r="BL185" s="141"/>
      <c r="BM185" s="141"/>
      <c r="BN185" s="141"/>
    </row>
    <row r="186" spans="5:66"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  <c r="AE186" s="141"/>
      <c r="AF186" s="141"/>
      <c r="AG186" s="141"/>
      <c r="AH186" s="141"/>
      <c r="AI186" s="141"/>
      <c r="AJ186" s="141"/>
      <c r="AK186" s="141"/>
      <c r="AL186" s="141"/>
      <c r="AM186" s="141"/>
      <c r="AN186" s="141"/>
      <c r="AO186" s="141"/>
      <c r="AP186" s="141"/>
      <c r="AQ186" s="141"/>
      <c r="AR186" s="141"/>
      <c r="AS186" s="141"/>
      <c r="AT186" s="141"/>
      <c r="AU186" s="141"/>
      <c r="AV186" s="141"/>
      <c r="AW186" s="141"/>
      <c r="AX186" s="141"/>
      <c r="AY186" s="141"/>
      <c r="AZ186" s="141"/>
      <c r="BA186" s="141"/>
      <c r="BB186" s="141"/>
      <c r="BC186" s="141"/>
      <c r="BD186" s="141"/>
      <c r="BE186" s="141"/>
      <c r="BF186" s="141"/>
      <c r="BG186" s="141"/>
      <c r="BH186" s="141"/>
      <c r="BI186" s="141"/>
      <c r="BJ186" s="141"/>
      <c r="BK186" s="141"/>
      <c r="BL186" s="141"/>
      <c r="BM186" s="141"/>
      <c r="BN186" s="141"/>
    </row>
    <row r="187" spans="5:66"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  <c r="AH187" s="141"/>
      <c r="AI187" s="141"/>
      <c r="AJ187" s="141"/>
      <c r="AK187" s="141"/>
      <c r="AL187" s="141"/>
      <c r="AM187" s="141"/>
      <c r="AN187" s="141"/>
      <c r="AO187" s="141"/>
      <c r="AP187" s="141"/>
      <c r="AQ187" s="141"/>
      <c r="AR187" s="141"/>
      <c r="AS187" s="141"/>
      <c r="AT187" s="141"/>
      <c r="AU187" s="141"/>
      <c r="AV187" s="141"/>
      <c r="AW187" s="141"/>
      <c r="AX187" s="141"/>
      <c r="AY187" s="141"/>
      <c r="AZ187" s="141"/>
      <c r="BA187" s="141"/>
      <c r="BB187" s="141"/>
      <c r="BC187" s="141"/>
      <c r="BD187" s="141"/>
      <c r="BE187" s="141"/>
      <c r="BF187" s="141"/>
      <c r="BG187" s="141"/>
      <c r="BH187" s="141"/>
      <c r="BI187" s="141"/>
      <c r="BJ187" s="141"/>
      <c r="BK187" s="141"/>
      <c r="BL187" s="141"/>
      <c r="BM187" s="141"/>
      <c r="BN187" s="141"/>
    </row>
    <row r="188" spans="5:66"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41"/>
      <c r="AJ188" s="141"/>
      <c r="AK188" s="141"/>
      <c r="AL188" s="141"/>
      <c r="AM188" s="141"/>
      <c r="AN188" s="141"/>
      <c r="AO188" s="141"/>
      <c r="AP188" s="141"/>
      <c r="AQ188" s="141"/>
      <c r="AR188" s="141"/>
      <c r="AS188" s="141"/>
      <c r="AT188" s="141"/>
      <c r="AU188" s="141"/>
      <c r="AV188" s="141"/>
      <c r="AW188" s="141"/>
      <c r="AX188" s="141"/>
      <c r="AY188" s="141"/>
      <c r="AZ188" s="141"/>
      <c r="BA188" s="141"/>
      <c r="BB188" s="141"/>
      <c r="BC188" s="141"/>
      <c r="BD188" s="141"/>
      <c r="BE188" s="141"/>
      <c r="BF188" s="141"/>
      <c r="BG188" s="141"/>
      <c r="BH188" s="141"/>
      <c r="BI188" s="141"/>
      <c r="BJ188" s="141"/>
      <c r="BK188" s="141"/>
      <c r="BL188" s="141"/>
      <c r="BM188" s="141"/>
      <c r="BN188" s="141"/>
    </row>
    <row r="189" spans="5:66"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141"/>
      <c r="AO189" s="141"/>
      <c r="AP189" s="141"/>
      <c r="AQ189" s="141"/>
      <c r="AR189" s="141"/>
      <c r="AS189" s="141"/>
      <c r="AT189" s="141"/>
      <c r="AU189" s="141"/>
      <c r="AV189" s="141"/>
      <c r="AW189" s="141"/>
      <c r="AX189" s="141"/>
      <c r="AY189" s="141"/>
      <c r="AZ189" s="141"/>
      <c r="BA189" s="141"/>
      <c r="BB189" s="141"/>
      <c r="BC189" s="141"/>
      <c r="BD189" s="141"/>
      <c r="BE189" s="141"/>
      <c r="BF189" s="141"/>
      <c r="BG189" s="141"/>
      <c r="BH189" s="141"/>
      <c r="BI189" s="141"/>
      <c r="BJ189" s="141"/>
      <c r="BK189" s="141"/>
      <c r="BL189" s="141"/>
      <c r="BM189" s="141"/>
      <c r="BN189" s="141"/>
    </row>
    <row r="190" spans="5:66"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41"/>
      <c r="AJ190" s="141"/>
      <c r="AK190" s="141"/>
      <c r="AL190" s="141"/>
      <c r="AM190" s="141"/>
      <c r="AN190" s="141"/>
      <c r="AO190" s="141"/>
      <c r="AP190" s="141"/>
      <c r="AQ190" s="141"/>
      <c r="AR190" s="141"/>
      <c r="AS190" s="141"/>
      <c r="AT190" s="141"/>
      <c r="AU190" s="141"/>
      <c r="AV190" s="141"/>
      <c r="AW190" s="141"/>
      <c r="AX190" s="141"/>
      <c r="AY190" s="141"/>
      <c r="AZ190" s="141"/>
      <c r="BA190" s="141"/>
      <c r="BB190" s="141"/>
      <c r="BC190" s="141"/>
      <c r="BD190" s="141"/>
      <c r="BE190" s="141"/>
      <c r="BF190" s="141"/>
      <c r="BG190" s="141"/>
      <c r="BH190" s="141"/>
      <c r="BI190" s="141"/>
      <c r="BJ190" s="141"/>
      <c r="BK190" s="141"/>
      <c r="BL190" s="141"/>
      <c r="BM190" s="141"/>
      <c r="BN190" s="141"/>
    </row>
    <row r="191" spans="5:66"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41"/>
      <c r="AJ191" s="141"/>
      <c r="AK191" s="141"/>
      <c r="AL191" s="141"/>
      <c r="AM191" s="141"/>
      <c r="AN191" s="141"/>
      <c r="AO191" s="141"/>
      <c r="AP191" s="141"/>
      <c r="AQ191" s="141"/>
      <c r="AR191" s="141"/>
      <c r="AS191" s="141"/>
      <c r="AT191" s="141"/>
      <c r="AU191" s="141"/>
      <c r="AV191" s="141"/>
      <c r="AW191" s="141"/>
      <c r="AX191" s="141"/>
      <c r="AY191" s="141"/>
      <c r="AZ191" s="141"/>
      <c r="BA191" s="141"/>
      <c r="BB191" s="141"/>
      <c r="BC191" s="141"/>
      <c r="BD191" s="141"/>
      <c r="BE191" s="141"/>
      <c r="BF191" s="141"/>
      <c r="BG191" s="141"/>
      <c r="BH191" s="141"/>
      <c r="BI191" s="141"/>
      <c r="BJ191" s="141"/>
      <c r="BK191" s="141"/>
      <c r="BL191" s="141"/>
      <c r="BM191" s="141"/>
      <c r="BN191" s="141"/>
    </row>
    <row r="192" spans="5:66"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41"/>
      <c r="AJ192" s="141"/>
      <c r="AK192" s="141"/>
      <c r="AL192" s="141"/>
      <c r="AM192" s="141"/>
      <c r="AN192" s="141"/>
      <c r="AO192" s="141"/>
      <c r="AP192" s="141"/>
      <c r="AQ192" s="141"/>
      <c r="AR192" s="141"/>
      <c r="AS192" s="141"/>
      <c r="AT192" s="141"/>
      <c r="AU192" s="141"/>
      <c r="AV192" s="141"/>
      <c r="AW192" s="141"/>
      <c r="AX192" s="141"/>
      <c r="AY192" s="141"/>
      <c r="AZ192" s="141"/>
      <c r="BA192" s="141"/>
      <c r="BB192" s="141"/>
      <c r="BC192" s="141"/>
      <c r="BD192" s="141"/>
      <c r="BE192" s="141"/>
      <c r="BF192" s="141"/>
      <c r="BG192" s="141"/>
      <c r="BH192" s="141"/>
      <c r="BI192" s="141"/>
      <c r="BJ192" s="141"/>
      <c r="BK192" s="141"/>
      <c r="BL192" s="141"/>
      <c r="BM192" s="141"/>
      <c r="BN192" s="141"/>
    </row>
    <row r="193" spans="5:66"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41"/>
      <c r="AJ193" s="141"/>
      <c r="AK193" s="141"/>
      <c r="AL193" s="141"/>
      <c r="AM193" s="141"/>
      <c r="AN193" s="141"/>
      <c r="AO193" s="141"/>
      <c r="AP193" s="141"/>
      <c r="AQ193" s="141"/>
      <c r="AR193" s="141"/>
      <c r="AS193" s="141"/>
      <c r="AT193" s="141"/>
      <c r="AU193" s="141"/>
      <c r="AV193" s="141"/>
      <c r="AW193" s="141"/>
      <c r="AX193" s="141"/>
      <c r="AY193" s="141"/>
      <c r="AZ193" s="141"/>
      <c r="BA193" s="141"/>
      <c r="BB193" s="141"/>
      <c r="BC193" s="141"/>
      <c r="BD193" s="141"/>
      <c r="BE193" s="141"/>
      <c r="BF193" s="141"/>
      <c r="BG193" s="141"/>
      <c r="BH193" s="141"/>
      <c r="BI193" s="141"/>
      <c r="BJ193" s="141"/>
      <c r="BK193" s="141"/>
      <c r="BL193" s="141"/>
      <c r="BM193" s="141"/>
      <c r="BN193" s="141"/>
    </row>
    <row r="194" spans="5:66"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  <c r="AE194" s="141"/>
      <c r="AF194" s="141"/>
      <c r="AG194" s="141"/>
      <c r="AH194" s="141"/>
      <c r="AI194" s="141"/>
      <c r="AJ194" s="141"/>
      <c r="AK194" s="141"/>
      <c r="AL194" s="141"/>
      <c r="AM194" s="141"/>
      <c r="AN194" s="141"/>
      <c r="AO194" s="141"/>
      <c r="AP194" s="141"/>
      <c r="AQ194" s="141"/>
      <c r="AR194" s="141"/>
      <c r="AS194" s="141"/>
      <c r="AT194" s="141"/>
      <c r="AU194" s="141"/>
      <c r="AV194" s="141"/>
      <c r="AW194" s="141"/>
      <c r="AX194" s="141"/>
      <c r="AY194" s="141"/>
      <c r="AZ194" s="141"/>
      <c r="BA194" s="141"/>
      <c r="BB194" s="141"/>
      <c r="BC194" s="141"/>
      <c r="BD194" s="141"/>
      <c r="BE194" s="141"/>
      <c r="BF194" s="141"/>
      <c r="BG194" s="141"/>
      <c r="BH194" s="141"/>
      <c r="BI194" s="141"/>
      <c r="BJ194" s="141"/>
      <c r="BK194" s="141"/>
      <c r="BL194" s="141"/>
      <c r="BM194" s="141"/>
      <c r="BN194" s="141"/>
    </row>
    <row r="195" spans="5:66"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  <c r="AH195" s="141"/>
      <c r="AI195" s="141"/>
      <c r="AJ195" s="141"/>
      <c r="AK195" s="141"/>
      <c r="AL195" s="141"/>
      <c r="AM195" s="141"/>
      <c r="AN195" s="141"/>
      <c r="AO195" s="141"/>
      <c r="AP195" s="141"/>
      <c r="AQ195" s="141"/>
      <c r="AR195" s="141"/>
      <c r="AS195" s="141"/>
      <c r="AT195" s="141"/>
      <c r="AU195" s="141"/>
      <c r="AV195" s="141"/>
      <c r="AW195" s="141"/>
      <c r="AX195" s="141"/>
      <c r="AY195" s="141"/>
      <c r="AZ195" s="141"/>
      <c r="BA195" s="141"/>
      <c r="BB195" s="141"/>
      <c r="BC195" s="141"/>
      <c r="BD195" s="141"/>
      <c r="BE195" s="141"/>
      <c r="BF195" s="141"/>
      <c r="BG195" s="141"/>
      <c r="BH195" s="141"/>
      <c r="BI195" s="141"/>
      <c r="BJ195" s="141"/>
      <c r="BK195" s="141"/>
      <c r="BL195" s="141"/>
      <c r="BM195" s="141"/>
      <c r="BN195" s="141"/>
    </row>
    <row r="196" spans="5:66"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41"/>
      <c r="AJ196" s="141"/>
      <c r="AK196" s="141"/>
      <c r="AL196" s="141"/>
      <c r="AM196" s="141"/>
      <c r="AN196" s="141"/>
      <c r="AO196" s="141"/>
      <c r="AP196" s="141"/>
      <c r="AQ196" s="141"/>
      <c r="AR196" s="141"/>
      <c r="AS196" s="141"/>
      <c r="AT196" s="141"/>
      <c r="AU196" s="141"/>
      <c r="AV196" s="141"/>
      <c r="AW196" s="141"/>
      <c r="AX196" s="141"/>
      <c r="AY196" s="141"/>
      <c r="AZ196" s="141"/>
      <c r="BA196" s="141"/>
      <c r="BB196" s="141"/>
      <c r="BC196" s="141"/>
      <c r="BD196" s="141"/>
      <c r="BE196" s="141"/>
      <c r="BF196" s="141"/>
      <c r="BG196" s="141"/>
      <c r="BH196" s="141"/>
      <c r="BI196" s="141"/>
      <c r="BJ196" s="141"/>
      <c r="BK196" s="141"/>
      <c r="BL196" s="141"/>
      <c r="BM196" s="141"/>
      <c r="BN196" s="141"/>
    </row>
    <row r="197" spans="5:66"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  <c r="AH197" s="141"/>
      <c r="AI197" s="141"/>
      <c r="AJ197" s="141"/>
      <c r="AK197" s="141"/>
      <c r="AL197" s="141"/>
      <c r="AM197" s="141"/>
      <c r="AN197" s="141"/>
      <c r="AO197" s="141"/>
      <c r="AP197" s="141"/>
      <c r="AQ197" s="141"/>
      <c r="AR197" s="141"/>
      <c r="AS197" s="141"/>
      <c r="AT197" s="141"/>
      <c r="AU197" s="141"/>
      <c r="AV197" s="141"/>
      <c r="AW197" s="141"/>
      <c r="AX197" s="141"/>
      <c r="AY197" s="141"/>
      <c r="AZ197" s="141"/>
      <c r="BA197" s="141"/>
      <c r="BB197" s="141"/>
      <c r="BC197" s="141"/>
      <c r="BD197" s="141"/>
      <c r="BE197" s="141"/>
      <c r="BF197" s="141"/>
      <c r="BG197" s="141"/>
      <c r="BH197" s="141"/>
      <c r="BI197" s="141"/>
      <c r="BJ197" s="141"/>
      <c r="BK197" s="141"/>
      <c r="BL197" s="141"/>
      <c r="BM197" s="141"/>
      <c r="BN197" s="141"/>
    </row>
    <row r="198" spans="5:66"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1"/>
      <c r="AG198" s="141"/>
      <c r="AH198" s="141"/>
      <c r="AI198" s="141"/>
      <c r="AJ198" s="141"/>
      <c r="AK198" s="141"/>
      <c r="AL198" s="141"/>
      <c r="AM198" s="141"/>
      <c r="AN198" s="141"/>
      <c r="AO198" s="141"/>
      <c r="AP198" s="141"/>
      <c r="AQ198" s="141"/>
      <c r="AR198" s="141"/>
      <c r="AS198" s="141"/>
      <c r="AT198" s="141"/>
      <c r="AU198" s="141"/>
      <c r="AV198" s="141"/>
      <c r="AW198" s="141"/>
      <c r="AX198" s="141"/>
      <c r="AY198" s="141"/>
      <c r="AZ198" s="141"/>
      <c r="BA198" s="141"/>
      <c r="BB198" s="141"/>
      <c r="BC198" s="141"/>
      <c r="BD198" s="141"/>
      <c r="BE198" s="141"/>
      <c r="BF198" s="141"/>
      <c r="BG198" s="141"/>
      <c r="BH198" s="141"/>
      <c r="BI198" s="141"/>
      <c r="BJ198" s="141"/>
      <c r="BK198" s="141"/>
      <c r="BL198" s="141"/>
      <c r="BM198" s="141"/>
      <c r="BN198" s="141"/>
    </row>
    <row r="199" spans="5:66"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  <c r="AH199" s="141"/>
      <c r="AI199" s="141"/>
      <c r="AJ199" s="141"/>
      <c r="AK199" s="141"/>
      <c r="AL199" s="141"/>
      <c r="AM199" s="141"/>
      <c r="AN199" s="141"/>
      <c r="AO199" s="141"/>
      <c r="AP199" s="141"/>
      <c r="AQ199" s="141"/>
      <c r="AR199" s="141"/>
      <c r="AS199" s="141"/>
      <c r="AT199" s="141"/>
      <c r="AU199" s="141"/>
      <c r="AV199" s="141"/>
      <c r="AW199" s="141"/>
      <c r="AX199" s="141"/>
      <c r="AY199" s="141"/>
      <c r="AZ199" s="141"/>
      <c r="BA199" s="141"/>
      <c r="BB199" s="141"/>
      <c r="BC199" s="141"/>
      <c r="BD199" s="141"/>
      <c r="BE199" s="141"/>
      <c r="BF199" s="141"/>
      <c r="BG199" s="141"/>
      <c r="BH199" s="141"/>
      <c r="BI199" s="141"/>
      <c r="BJ199" s="141"/>
      <c r="BK199" s="141"/>
      <c r="BL199" s="141"/>
      <c r="BM199" s="141"/>
      <c r="BN199" s="141"/>
    </row>
    <row r="200" spans="5:66"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  <c r="AF200" s="141"/>
      <c r="AG200" s="141"/>
      <c r="AH200" s="141"/>
      <c r="AI200" s="141"/>
      <c r="AJ200" s="141"/>
      <c r="AK200" s="141"/>
      <c r="AL200" s="141"/>
      <c r="AM200" s="141"/>
      <c r="AN200" s="141"/>
      <c r="AO200" s="141"/>
      <c r="AP200" s="141"/>
      <c r="AQ200" s="141"/>
      <c r="AR200" s="141"/>
      <c r="AS200" s="141"/>
      <c r="AT200" s="141"/>
      <c r="AU200" s="141"/>
      <c r="AV200" s="141"/>
      <c r="AW200" s="141"/>
      <c r="AX200" s="141"/>
      <c r="AY200" s="141"/>
      <c r="AZ200" s="141"/>
      <c r="BA200" s="141"/>
      <c r="BB200" s="141"/>
      <c r="BC200" s="141"/>
      <c r="BD200" s="141"/>
      <c r="BE200" s="141"/>
      <c r="BF200" s="141"/>
      <c r="BG200" s="141"/>
      <c r="BH200" s="141"/>
      <c r="BI200" s="141"/>
      <c r="BJ200" s="141"/>
      <c r="BK200" s="141"/>
      <c r="BL200" s="141"/>
      <c r="BM200" s="141"/>
      <c r="BN200" s="141"/>
    </row>
    <row r="201" spans="5:66"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41"/>
      <c r="AJ201" s="141"/>
      <c r="AK201" s="141"/>
      <c r="AL201" s="141"/>
      <c r="AM201" s="141"/>
      <c r="AN201" s="141"/>
      <c r="AO201" s="141"/>
      <c r="AP201" s="141"/>
      <c r="AQ201" s="141"/>
      <c r="AR201" s="141"/>
      <c r="AS201" s="141"/>
      <c r="AT201" s="141"/>
      <c r="AU201" s="141"/>
      <c r="AV201" s="141"/>
      <c r="AW201" s="141"/>
      <c r="AX201" s="141"/>
      <c r="AY201" s="141"/>
      <c r="AZ201" s="141"/>
      <c r="BA201" s="141"/>
      <c r="BB201" s="141"/>
      <c r="BC201" s="141"/>
      <c r="BD201" s="141"/>
      <c r="BE201" s="141"/>
      <c r="BF201" s="141"/>
      <c r="BG201" s="141"/>
      <c r="BH201" s="141"/>
      <c r="BI201" s="141"/>
      <c r="BJ201" s="141"/>
      <c r="BK201" s="141"/>
      <c r="BL201" s="141"/>
      <c r="BM201" s="141"/>
      <c r="BN201" s="141"/>
    </row>
    <row r="202" spans="5:66"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  <c r="AH202" s="141"/>
      <c r="AI202" s="141"/>
      <c r="AJ202" s="141"/>
      <c r="AK202" s="141"/>
      <c r="AL202" s="141"/>
      <c r="AM202" s="141"/>
      <c r="AN202" s="141"/>
      <c r="AO202" s="141"/>
      <c r="AP202" s="141"/>
      <c r="AQ202" s="141"/>
      <c r="AR202" s="141"/>
      <c r="AS202" s="141"/>
      <c r="AT202" s="141"/>
      <c r="AU202" s="141"/>
      <c r="AV202" s="141"/>
      <c r="AW202" s="141"/>
      <c r="AX202" s="141"/>
      <c r="AY202" s="141"/>
      <c r="AZ202" s="141"/>
      <c r="BA202" s="141"/>
      <c r="BB202" s="141"/>
      <c r="BC202" s="141"/>
      <c r="BD202" s="141"/>
      <c r="BE202" s="141"/>
      <c r="BF202" s="141"/>
      <c r="BG202" s="141"/>
      <c r="BH202" s="141"/>
      <c r="BI202" s="141"/>
      <c r="BJ202" s="141"/>
      <c r="BK202" s="141"/>
      <c r="BL202" s="141"/>
      <c r="BM202" s="141"/>
      <c r="BN202" s="141"/>
    </row>
    <row r="203" spans="5:66"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  <c r="AH203" s="141"/>
      <c r="AI203" s="141"/>
      <c r="AJ203" s="141"/>
      <c r="AK203" s="141"/>
      <c r="AL203" s="141"/>
      <c r="AM203" s="141"/>
      <c r="AN203" s="141"/>
      <c r="AO203" s="141"/>
      <c r="AP203" s="141"/>
      <c r="AQ203" s="141"/>
      <c r="AR203" s="141"/>
      <c r="AS203" s="141"/>
      <c r="AT203" s="141"/>
      <c r="AU203" s="141"/>
      <c r="AV203" s="141"/>
      <c r="AW203" s="141"/>
      <c r="AX203" s="141"/>
      <c r="AY203" s="141"/>
      <c r="AZ203" s="141"/>
      <c r="BA203" s="141"/>
      <c r="BB203" s="141"/>
      <c r="BC203" s="141"/>
      <c r="BD203" s="141"/>
      <c r="BE203" s="141"/>
      <c r="BF203" s="141"/>
      <c r="BG203" s="141"/>
      <c r="BH203" s="141"/>
      <c r="BI203" s="141"/>
      <c r="BJ203" s="141"/>
      <c r="BK203" s="141"/>
      <c r="BL203" s="141"/>
      <c r="BM203" s="141"/>
      <c r="BN203" s="141"/>
    </row>
    <row r="204" spans="5:66"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1"/>
      <c r="AG204" s="141"/>
      <c r="AH204" s="141"/>
      <c r="AI204" s="141"/>
      <c r="AJ204" s="141"/>
      <c r="AK204" s="141"/>
      <c r="AL204" s="141"/>
      <c r="AM204" s="141"/>
      <c r="AN204" s="141"/>
      <c r="AO204" s="141"/>
      <c r="AP204" s="141"/>
      <c r="AQ204" s="141"/>
      <c r="AR204" s="141"/>
      <c r="AS204" s="141"/>
      <c r="AT204" s="141"/>
      <c r="AU204" s="141"/>
      <c r="AV204" s="141"/>
      <c r="AW204" s="141"/>
      <c r="AX204" s="141"/>
      <c r="AY204" s="141"/>
      <c r="AZ204" s="141"/>
      <c r="BA204" s="141"/>
      <c r="BB204" s="141"/>
      <c r="BC204" s="141"/>
      <c r="BD204" s="141"/>
      <c r="BE204" s="141"/>
      <c r="BF204" s="141"/>
      <c r="BG204" s="141"/>
      <c r="BH204" s="141"/>
      <c r="BI204" s="141"/>
      <c r="BJ204" s="141"/>
      <c r="BK204" s="141"/>
      <c r="BL204" s="141"/>
      <c r="BM204" s="141"/>
      <c r="BN204" s="141"/>
    </row>
    <row r="205" spans="5:66"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41"/>
      <c r="AJ205" s="141"/>
      <c r="AK205" s="141"/>
      <c r="AL205" s="141"/>
      <c r="AM205" s="141"/>
      <c r="AN205" s="141"/>
      <c r="AO205" s="141"/>
      <c r="AP205" s="141"/>
      <c r="AQ205" s="141"/>
      <c r="AR205" s="141"/>
      <c r="AS205" s="141"/>
      <c r="AT205" s="141"/>
      <c r="AU205" s="141"/>
      <c r="AV205" s="141"/>
      <c r="AW205" s="141"/>
      <c r="AX205" s="141"/>
      <c r="AY205" s="141"/>
      <c r="AZ205" s="141"/>
      <c r="BA205" s="141"/>
      <c r="BB205" s="141"/>
      <c r="BC205" s="141"/>
      <c r="BD205" s="141"/>
      <c r="BE205" s="141"/>
      <c r="BF205" s="141"/>
      <c r="BG205" s="141"/>
      <c r="BH205" s="141"/>
      <c r="BI205" s="141"/>
      <c r="BJ205" s="141"/>
      <c r="BK205" s="141"/>
      <c r="BL205" s="141"/>
      <c r="BM205" s="141"/>
      <c r="BN205" s="141"/>
    </row>
    <row r="206" spans="5:66"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  <c r="AG206" s="141"/>
      <c r="AH206" s="141"/>
      <c r="AI206" s="141"/>
      <c r="AJ206" s="141"/>
      <c r="AK206" s="141"/>
      <c r="AL206" s="141"/>
      <c r="AM206" s="141"/>
      <c r="AN206" s="141"/>
      <c r="AO206" s="141"/>
      <c r="AP206" s="141"/>
      <c r="AQ206" s="141"/>
      <c r="AR206" s="141"/>
      <c r="AS206" s="141"/>
      <c r="AT206" s="141"/>
      <c r="AU206" s="141"/>
      <c r="AV206" s="141"/>
      <c r="AW206" s="141"/>
      <c r="AX206" s="141"/>
      <c r="AY206" s="141"/>
      <c r="AZ206" s="141"/>
      <c r="BA206" s="141"/>
      <c r="BB206" s="141"/>
      <c r="BC206" s="141"/>
      <c r="BD206" s="141"/>
      <c r="BE206" s="141"/>
      <c r="BF206" s="141"/>
      <c r="BG206" s="141"/>
      <c r="BH206" s="141"/>
      <c r="BI206" s="141"/>
      <c r="BJ206" s="141"/>
      <c r="BK206" s="141"/>
      <c r="BL206" s="141"/>
      <c r="BM206" s="141"/>
      <c r="BN206" s="141"/>
    </row>
    <row r="207" spans="5:66"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  <c r="AH207" s="141"/>
      <c r="AI207" s="141"/>
      <c r="AJ207" s="141"/>
      <c r="AK207" s="141"/>
      <c r="AL207" s="141"/>
      <c r="AM207" s="141"/>
      <c r="AN207" s="141"/>
      <c r="AO207" s="141"/>
      <c r="AP207" s="141"/>
      <c r="AQ207" s="141"/>
      <c r="AR207" s="141"/>
      <c r="AS207" s="141"/>
      <c r="AT207" s="141"/>
      <c r="AU207" s="141"/>
      <c r="AV207" s="141"/>
      <c r="AW207" s="141"/>
      <c r="AX207" s="141"/>
      <c r="AY207" s="141"/>
      <c r="AZ207" s="141"/>
      <c r="BA207" s="141"/>
      <c r="BB207" s="141"/>
      <c r="BC207" s="141"/>
      <c r="BD207" s="141"/>
      <c r="BE207" s="141"/>
      <c r="BF207" s="141"/>
      <c r="BG207" s="141"/>
      <c r="BH207" s="141"/>
      <c r="BI207" s="141"/>
      <c r="BJ207" s="141"/>
      <c r="BK207" s="141"/>
      <c r="BL207" s="141"/>
      <c r="BM207" s="141"/>
      <c r="BN207" s="141"/>
    </row>
    <row r="208" spans="5:66"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1"/>
      <c r="AH208" s="141"/>
      <c r="AI208" s="141"/>
      <c r="AJ208" s="141"/>
      <c r="AK208" s="141"/>
      <c r="AL208" s="141"/>
      <c r="AM208" s="141"/>
      <c r="AN208" s="141"/>
      <c r="AO208" s="141"/>
      <c r="AP208" s="141"/>
      <c r="AQ208" s="141"/>
      <c r="AR208" s="141"/>
      <c r="AS208" s="141"/>
      <c r="AT208" s="141"/>
      <c r="AU208" s="141"/>
      <c r="AV208" s="141"/>
      <c r="AW208" s="141"/>
      <c r="AX208" s="141"/>
      <c r="AY208" s="141"/>
      <c r="AZ208" s="141"/>
      <c r="BA208" s="141"/>
      <c r="BB208" s="141"/>
      <c r="BC208" s="141"/>
      <c r="BD208" s="141"/>
      <c r="BE208" s="141"/>
      <c r="BF208" s="141"/>
      <c r="BG208" s="141"/>
      <c r="BH208" s="141"/>
      <c r="BI208" s="141"/>
      <c r="BJ208" s="141"/>
      <c r="BK208" s="141"/>
      <c r="BL208" s="141"/>
      <c r="BM208" s="141"/>
      <c r="BN208" s="141"/>
    </row>
    <row r="209" spans="5:66"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  <c r="AH209" s="141"/>
      <c r="AI209" s="141"/>
      <c r="AJ209" s="141"/>
      <c r="AK209" s="141"/>
      <c r="AL209" s="141"/>
      <c r="AM209" s="141"/>
      <c r="AN209" s="141"/>
      <c r="AO209" s="141"/>
      <c r="AP209" s="141"/>
      <c r="AQ209" s="141"/>
      <c r="AR209" s="141"/>
      <c r="AS209" s="141"/>
      <c r="AT209" s="141"/>
      <c r="AU209" s="141"/>
      <c r="AV209" s="141"/>
      <c r="AW209" s="141"/>
      <c r="AX209" s="141"/>
      <c r="AY209" s="141"/>
      <c r="AZ209" s="141"/>
      <c r="BA209" s="141"/>
      <c r="BB209" s="141"/>
      <c r="BC209" s="141"/>
      <c r="BD209" s="141"/>
      <c r="BE209" s="141"/>
      <c r="BF209" s="141"/>
      <c r="BG209" s="141"/>
      <c r="BH209" s="141"/>
      <c r="BI209" s="141"/>
      <c r="BJ209" s="141"/>
      <c r="BK209" s="141"/>
      <c r="BL209" s="141"/>
      <c r="BM209" s="141"/>
      <c r="BN209" s="141"/>
    </row>
    <row r="210" spans="5:66"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  <c r="AG210" s="141"/>
      <c r="AH210" s="141"/>
      <c r="AI210" s="141"/>
      <c r="AJ210" s="141"/>
      <c r="AK210" s="141"/>
      <c r="AL210" s="141"/>
      <c r="AM210" s="141"/>
      <c r="AN210" s="141"/>
      <c r="AO210" s="141"/>
      <c r="AP210" s="141"/>
      <c r="AQ210" s="141"/>
      <c r="AR210" s="141"/>
      <c r="AS210" s="141"/>
      <c r="AT210" s="141"/>
      <c r="AU210" s="141"/>
      <c r="AV210" s="141"/>
      <c r="AW210" s="141"/>
      <c r="AX210" s="141"/>
      <c r="AY210" s="141"/>
      <c r="AZ210" s="141"/>
      <c r="BA210" s="141"/>
      <c r="BB210" s="141"/>
      <c r="BC210" s="141"/>
      <c r="BD210" s="141"/>
      <c r="BE210" s="141"/>
      <c r="BF210" s="141"/>
      <c r="BG210" s="141"/>
      <c r="BH210" s="141"/>
      <c r="BI210" s="141"/>
      <c r="BJ210" s="141"/>
      <c r="BK210" s="141"/>
      <c r="BL210" s="141"/>
      <c r="BM210" s="141"/>
      <c r="BN210" s="141"/>
    </row>
    <row r="211" spans="5:66"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41"/>
      <c r="AJ211" s="141"/>
      <c r="AK211" s="141"/>
      <c r="AL211" s="141"/>
      <c r="AM211" s="141"/>
      <c r="AN211" s="141"/>
      <c r="AO211" s="141"/>
      <c r="AP211" s="141"/>
      <c r="AQ211" s="141"/>
      <c r="AR211" s="141"/>
      <c r="AS211" s="141"/>
      <c r="AT211" s="141"/>
      <c r="AU211" s="141"/>
      <c r="AV211" s="141"/>
      <c r="AW211" s="141"/>
      <c r="AX211" s="141"/>
      <c r="AY211" s="141"/>
      <c r="AZ211" s="141"/>
      <c r="BA211" s="141"/>
      <c r="BB211" s="141"/>
      <c r="BC211" s="141"/>
      <c r="BD211" s="141"/>
      <c r="BE211" s="141"/>
      <c r="BF211" s="141"/>
      <c r="BG211" s="141"/>
      <c r="BH211" s="141"/>
      <c r="BI211" s="141"/>
      <c r="BJ211" s="141"/>
      <c r="BK211" s="141"/>
      <c r="BL211" s="141"/>
      <c r="BM211" s="141"/>
      <c r="BN211" s="141"/>
    </row>
    <row r="212" spans="5:66"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  <c r="AF212" s="141"/>
      <c r="AG212" s="141"/>
      <c r="AH212" s="141"/>
      <c r="AI212" s="141"/>
      <c r="AJ212" s="141"/>
      <c r="AK212" s="141"/>
      <c r="AL212" s="141"/>
      <c r="AM212" s="141"/>
      <c r="AN212" s="141"/>
      <c r="AO212" s="141"/>
      <c r="AP212" s="141"/>
      <c r="AQ212" s="141"/>
      <c r="AR212" s="141"/>
      <c r="AS212" s="141"/>
      <c r="AT212" s="141"/>
      <c r="AU212" s="141"/>
      <c r="AV212" s="141"/>
      <c r="AW212" s="141"/>
      <c r="AX212" s="141"/>
      <c r="AY212" s="141"/>
      <c r="AZ212" s="141"/>
      <c r="BA212" s="141"/>
      <c r="BB212" s="141"/>
      <c r="BC212" s="141"/>
      <c r="BD212" s="141"/>
      <c r="BE212" s="141"/>
      <c r="BF212" s="141"/>
      <c r="BG212" s="141"/>
      <c r="BH212" s="141"/>
      <c r="BI212" s="141"/>
      <c r="BJ212" s="141"/>
      <c r="BK212" s="141"/>
      <c r="BL212" s="141"/>
      <c r="BM212" s="141"/>
      <c r="BN212" s="141"/>
    </row>
    <row r="213" spans="5:66"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  <c r="AH213" s="141"/>
      <c r="AI213" s="141"/>
      <c r="AJ213" s="141"/>
      <c r="AK213" s="141"/>
      <c r="AL213" s="141"/>
      <c r="AM213" s="141"/>
      <c r="AN213" s="141"/>
      <c r="AO213" s="141"/>
      <c r="AP213" s="141"/>
      <c r="AQ213" s="141"/>
      <c r="AR213" s="141"/>
      <c r="AS213" s="141"/>
      <c r="AT213" s="141"/>
      <c r="AU213" s="141"/>
      <c r="AV213" s="141"/>
      <c r="AW213" s="141"/>
      <c r="AX213" s="141"/>
      <c r="AY213" s="141"/>
      <c r="AZ213" s="141"/>
      <c r="BA213" s="141"/>
      <c r="BB213" s="141"/>
      <c r="BC213" s="141"/>
      <c r="BD213" s="141"/>
      <c r="BE213" s="141"/>
      <c r="BF213" s="141"/>
      <c r="BG213" s="141"/>
      <c r="BH213" s="141"/>
      <c r="BI213" s="141"/>
      <c r="BJ213" s="141"/>
      <c r="BK213" s="141"/>
      <c r="BL213" s="141"/>
      <c r="BM213" s="141"/>
      <c r="BN213" s="14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ABD3-9F4A-7346-8C1E-8D2583E44434}">
  <dimension ref="A1:M10"/>
  <sheetViews>
    <sheetView zoomScaleNormal="150" zoomScaleSheetLayoutView="100" workbookViewId="0">
      <selection activeCell="B9" sqref="B9"/>
    </sheetView>
  </sheetViews>
  <sheetFormatPr defaultRowHeight="12.75"/>
  <cols>
    <col min="1" max="1" width="14.28515625" bestFit="1" customWidth="1"/>
    <col min="2" max="3" width="10.42578125" bestFit="1" customWidth="1"/>
    <col min="4" max="6" width="11.85546875" bestFit="1" customWidth="1"/>
    <col min="8" max="8" width="16.7109375" customWidth="1"/>
    <col min="9" max="9" width="10.42578125" bestFit="1" customWidth="1"/>
    <col min="10" max="12" width="11.85546875" bestFit="1" customWidth="1"/>
    <col min="13" max="13" width="11.42578125" bestFit="1" customWidth="1"/>
  </cols>
  <sheetData>
    <row r="1" spans="1:13" ht="13.5" thickBot="1">
      <c r="H1" s="344"/>
      <c r="I1" s="344"/>
      <c r="J1" s="344"/>
      <c r="K1" s="344"/>
      <c r="L1" s="344"/>
      <c r="M1" s="344"/>
    </row>
    <row r="2" spans="1:13" ht="22.5" thickBot="1">
      <c r="H2" s="345" t="s">
        <v>331</v>
      </c>
      <c r="I2" s="344"/>
      <c r="J2" s="344"/>
      <c r="K2" s="344"/>
      <c r="L2" s="344"/>
      <c r="M2" s="344"/>
    </row>
    <row r="3" spans="1:13" s="338" customFormat="1" ht="13.5" thickBot="1">
      <c r="A3" s="340" t="s">
        <v>332</v>
      </c>
      <c r="B3" s="340">
        <v>2021</v>
      </c>
      <c r="C3" s="340">
        <f>B3+1</f>
        <v>2022</v>
      </c>
      <c r="D3" s="340">
        <f t="shared" ref="D3:F3" si="0">C3+1</f>
        <v>2023</v>
      </c>
      <c r="E3" s="340">
        <f t="shared" si="0"/>
        <v>2024</v>
      </c>
      <c r="F3" s="340">
        <f t="shared" si="0"/>
        <v>2025</v>
      </c>
      <c r="H3" s="344" t="s">
        <v>332</v>
      </c>
      <c r="I3" s="344">
        <v>2021</v>
      </c>
      <c r="J3" s="344">
        <f>I3+1</f>
        <v>2022</v>
      </c>
      <c r="K3" s="344">
        <f t="shared" ref="K3" si="1">J3+1</f>
        <v>2023</v>
      </c>
      <c r="L3" s="344">
        <f t="shared" ref="L3" si="2">K3+1</f>
        <v>2024</v>
      </c>
      <c r="M3" s="344">
        <f t="shared" ref="M3" si="3">L3+1</f>
        <v>2025</v>
      </c>
    </row>
    <row r="4" spans="1:13">
      <c r="A4" t="s">
        <v>333</v>
      </c>
      <c r="B4" s="341">
        <f>SUM(Costs!E19:P19)</f>
        <v>-38000</v>
      </c>
      <c r="C4" s="341">
        <f>SUM(Costs!Q19:AB19)</f>
        <v>-52249.999999999993</v>
      </c>
      <c r="D4" s="341">
        <f>SUM(Costs!AC19:AN19)</f>
        <v>-95000</v>
      </c>
      <c r="E4" s="341">
        <f>SUM(Costs!AO19:AZ19)</f>
        <v>-152000</v>
      </c>
      <c r="F4" s="341">
        <f>SUM(Costs!BA19:BL19)</f>
        <v>-190000</v>
      </c>
      <c r="H4" s="346" t="s">
        <v>333</v>
      </c>
      <c r="I4" s="347">
        <f>ABS(B4)</f>
        <v>38000</v>
      </c>
      <c r="J4" s="347">
        <f t="shared" ref="J4:M9" si="4">ABS(C4)</f>
        <v>52249.999999999993</v>
      </c>
      <c r="K4" s="347">
        <f t="shared" si="4"/>
        <v>95000</v>
      </c>
      <c r="L4" s="347">
        <f t="shared" si="4"/>
        <v>152000</v>
      </c>
      <c r="M4" s="347">
        <f t="shared" si="4"/>
        <v>190000</v>
      </c>
    </row>
    <row r="5" spans="1:13">
      <c r="A5" t="s">
        <v>334</v>
      </c>
      <c r="B5" s="341">
        <f>SUM(Costs!E20:P20)</f>
        <v>-35000.000000000007</v>
      </c>
      <c r="C5" s="341">
        <f>SUM(Costs!Q20:AB20)</f>
        <v>-48124.999999999993</v>
      </c>
      <c r="D5" s="341">
        <f>SUM(Costs!AC20:AN20)</f>
        <v>-87500</v>
      </c>
      <c r="E5" s="341">
        <f>SUM(Costs!AO20:AZ20)</f>
        <v>-140000.00000000003</v>
      </c>
      <c r="F5" s="341">
        <f>SUM(Costs!BA20:BL20)</f>
        <v>-175000</v>
      </c>
      <c r="H5" s="346" t="s">
        <v>334</v>
      </c>
      <c r="I5" s="347">
        <f t="shared" ref="I5:I8" si="5">ABS(B5)</f>
        <v>35000.000000000007</v>
      </c>
      <c r="J5" s="347">
        <f t="shared" si="4"/>
        <v>48124.999999999993</v>
      </c>
      <c r="K5" s="347">
        <f t="shared" si="4"/>
        <v>87500</v>
      </c>
      <c r="L5" s="347">
        <f t="shared" si="4"/>
        <v>140000.00000000003</v>
      </c>
      <c r="M5" s="347">
        <f t="shared" si="4"/>
        <v>175000</v>
      </c>
    </row>
    <row r="6" spans="1:13">
      <c r="A6" t="s">
        <v>335</v>
      </c>
      <c r="B6" s="341">
        <f>SUM(Costs!E21:P21)</f>
        <v>-32000.000000000004</v>
      </c>
      <c r="C6" s="341">
        <f>SUM(Costs!Q21:AB21)</f>
        <v>-43999.999999999993</v>
      </c>
      <c r="D6" s="341">
        <f>SUM(Costs!AC21:AN21)</f>
        <v>-80000</v>
      </c>
      <c r="E6" s="341">
        <f>SUM(Costs!AO21:AZ21)</f>
        <v>-128000.00000000001</v>
      </c>
      <c r="F6" s="341">
        <f>SUM(Costs!BA21:BL21)</f>
        <v>-160000</v>
      </c>
      <c r="H6" s="346" t="s">
        <v>335</v>
      </c>
      <c r="I6" s="347">
        <f t="shared" si="5"/>
        <v>32000.000000000004</v>
      </c>
      <c r="J6" s="347">
        <f t="shared" si="4"/>
        <v>43999.999999999993</v>
      </c>
      <c r="K6" s="347">
        <f t="shared" si="4"/>
        <v>80000</v>
      </c>
      <c r="L6" s="347">
        <f t="shared" si="4"/>
        <v>128000.00000000001</v>
      </c>
      <c r="M6" s="347">
        <f t="shared" si="4"/>
        <v>160000</v>
      </c>
    </row>
    <row r="7" spans="1:13">
      <c r="A7" t="s">
        <v>336</v>
      </c>
      <c r="B7" s="341">
        <f>SUM(Costs!E22:P22)</f>
        <v>-33999.999999999993</v>
      </c>
      <c r="C7" s="341">
        <f>SUM(Costs!Q22:AB22)</f>
        <v>-46750.000000000007</v>
      </c>
      <c r="D7" s="341">
        <f>SUM(Costs!AC22:AN22)</f>
        <v>-85000</v>
      </c>
      <c r="E7" s="341">
        <f>SUM(Costs!AO22:AZ22)</f>
        <v>-135999.99999999997</v>
      </c>
      <c r="F7" s="341">
        <f>SUM(Costs!BA22:BL22)</f>
        <v>-170000</v>
      </c>
      <c r="H7" s="346" t="s">
        <v>336</v>
      </c>
      <c r="I7" s="347">
        <f t="shared" si="5"/>
        <v>33999.999999999993</v>
      </c>
      <c r="J7" s="347">
        <f t="shared" si="4"/>
        <v>46750.000000000007</v>
      </c>
      <c r="K7" s="347">
        <f t="shared" si="4"/>
        <v>85000</v>
      </c>
      <c r="L7" s="347">
        <f t="shared" si="4"/>
        <v>135999.99999999997</v>
      </c>
      <c r="M7" s="347">
        <f t="shared" si="4"/>
        <v>170000</v>
      </c>
    </row>
    <row r="8" spans="1:13" ht="13.5" thickBot="1">
      <c r="A8" s="339" t="s">
        <v>337</v>
      </c>
      <c r="B8" s="342">
        <f>SUM(Costs!E23:P57)</f>
        <v>-135000</v>
      </c>
      <c r="C8" s="342">
        <f>SUM(Costs!Q23:AB57)</f>
        <v>-570000</v>
      </c>
      <c r="D8" s="342">
        <f>SUM(Costs!AC23:AN57)</f>
        <v>-1140000</v>
      </c>
      <c r="E8" s="342">
        <f>SUM(Costs!AO23:AZ57)</f>
        <v>-1950000</v>
      </c>
      <c r="F8" s="342">
        <f>SUM(Costs!BA23:BL57)</f>
        <v>-2730000</v>
      </c>
      <c r="H8" s="344" t="s">
        <v>337</v>
      </c>
      <c r="I8" s="348">
        <f t="shared" si="5"/>
        <v>135000</v>
      </c>
      <c r="J8" s="348">
        <f t="shared" si="4"/>
        <v>570000</v>
      </c>
      <c r="K8" s="348">
        <f t="shared" si="4"/>
        <v>1140000</v>
      </c>
      <c r="L8" s="348">
        <f t="shared" si="4"/>
        <v>1950000</v>
      </c>
      <c r="M8" s="348">
        <f t="shared" si="4"/>
        <v>2730000</v>
      </c>
    </row>
    <row r="9" spans="1:13" ht="13.5" thickBot="1">
      <c r="A9" s="339" t="s">
        <v>338</v>
      </c>
      <c r="B9" s="343">
        <f>COUNT(Costs!P19:P58)</f>
        <v>8</v>
      </c>
      <c r="C9" s="343">
        <f>COUNT(Costs!AB19:AB58)</f>
        <v>13</v>
      </c>
      <c r="D9" s="343">
        <f>COUNT(Costs!AN19:AN58)</f>
        <v>22</v>
      </c>
      <c r="E9" s="343">
        <f>COUNT(Costs!AZ19:AZ58)</f>
        <v>31</v>
      </c>
      <c r="F9" s="343">
        <f>COUNT(Costs!BL19:BL58)</f>
        <v>40</v>
      </c>
      <c r="H9" s="344" t="s">
        <v>338</v>
      </c>
      <c r="I9" s="349">
        <f>ABS(B9)</f>
        <v>8</v>
      </c>
      <c r="J9" s="349">
        <f t="shared" si="4"/>
        <v>13</v>
      </c>
      <c r="K9" s="349">
        <f t="shared" si="4"/>
        <v>22</v>
      </c>
      <c r="L9" s="349">
        <f t="shared" si="4"/>
        <v>31</v>
      </c>
      <c r="M9" s="349">
        <f t="shared" si="4"/>
        <v>40</v>
      </c>
    </row>
    <row r="10" spans="1:13">
      <c r="A10" t="s">
        <v>339</v>
      </c>
      <c r="B10" s="341">
        <f>SUM(B4:B8)</f>
        <v>-274000</v>
      </c>
      <c r="C10" s="341">
        <f>SUM(C4:C8)</f>
        <v>-761125</v>
      </c>
      <c r="D10" s="341">
        <f>SUM(D4:D8)</f>
        <v>-1487500</v>
      </c>
      <c r="E10" s="341">
        <f>SUM(E4:E8)</f>
        <v>-2506000</v>
      </c>
      <c r="F10" s="341">
        <f>SUM(F4:F8)</f>
        <v>-3425000</v>
      </c>
      <c r="H10" s="346" t="s">
        <v>339</v>
      </c>
      <c r="I10" s="347">
        <f t="shared" ref="I10:M10" si="6">ABS(B10)</f>
        <v>274000</v>
      </c>
      <c r="J10" s="347">
        <f t="shared" si="6"/>
        <v>761125</v>
      </c>
      <c r="K10" s="347">
        <f t="shared" si="6"/>
        <v>1487500</v>
      </c>
      <c r="L10" s="347">
        <f t="shared" si="6"/>
        <v>2506000</v>
      </c>
      <c r="M10" s="347">
        <f t="shared" si="6"/>
        <v>3425000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51EC-4274-4220-A014-B60D79CF747C}">
  <sheetPr>
    <tabColor theme="5"/>
  </sheetPr>
  <dimension ref="A1:DJ308"/>
  <sheetViews>
    <sheetView tabSelected="1" zoomScale="89" zoomScaleNormal="89" workbookViewId="0">
      <pane ySplit="4" topLeftCell="D5" activePane="bottomLeft" state="frozen"/>
      <selection pane="bottomLeft" activeCell="A6" sqref="A6:XFD14"/>
      <selection activeCell="J24" sqref="J24"/>
    </sheetView>
  </sheetViews>
  <sheetFormatPr defaultColWidth="10.85546875" defaultRowHeight="12.75"/>
  <cols>
    <col min="1" max="1" width="22.85546875" style="114" customWidth="1"/>
    <col min="2" max="2" width="12.5703125" style="114" customWidth="1"/>
    <col min="3" max="3" width="15.28515625" style="129" bestFit="1" customWidth="1"/>
    <col min="4" max="4" width="35.140625" style="114" bestFit="1" customWidth="1"/>
    <col min="5" max="5" width="15.7109375" style="114" customWidth="1"/>
    <col min="6" max="6" width="14.85546875" style="129" customWidth="1"/>
    <col min="7" max="7" width="15.85546875" style="129" customWidth="1"/>
    <col min="8" max="8" width="16.140625" style="129" customWidth="1"/>
    <col min="9" max="9" width="15" style="129" customWidth="1"/>
    <col min="10" max="10" width="14" style="129" customWidth="1"/>
    <col min="11" max="11" width="15" style="129" customWidth="1"/>
    <col min="12" max="16" width="13.42578125" style="129" bestFit="1" customWidth="1"/>
    <col min="17" max="34" width="15.28515625" style="129" bestFit="1" customWidth="1"/>
    <col min="35" max="53" width="16.28515625" style="129" bestFit="1" customWidth="1"/>
    <col min="54" max="65" width="17.42578125" style="129" bestFit="1" customWidth="1"/>
    <col min="66" max="66" width="6.140625" style="114" customWidth="1"/>
    <col min="67" max="67" width="2" style="114" bestFit="1" customWidth="1"/>
    <col min="68" max="80" width="10.85546875" style="114"/>
    <col min="106" max="16384" width="10.85546875" style="114"/>
  </cols>
  <sheetData>
    <row r="1" spans="1:114">
      <c r="C1" s="114"/>
      <c r="E1" s="120" t="s">
        <v>206</v>
      </c>
      <c r="F1" s="119">
        <v>2021</v>
      </c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4">
        <f>F1+1</f>
        <v>2022</v>
      </c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9">
        <f>R1+1</f>
        <v>2023</v>
      </c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4">
        <f>AD1+1</f>
        <v>2024</v>
      </c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9">
        <f>AP1+1</f>
        <v>2025</v>
      </c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317"/>
      <c r="BO1" s="318"/>
      <c r="BP1" s="317"/>
      <c r="BQ1" s="317"/>
      <c r="BR1" s="317"/>
      <c r="BS1" s="317"/>
      <c r="BT1" s="317"/>
      <c r="BU1" s="317"/>
      <c r="BV1" s="317"/>
      <c r="BW1" s="317"/>
      <c r="BX1" s="317"/>
      <c r="BY1" s="317"/>
      <c r="BZ1" s="317"/>
      <c r="CA1" s="317"/>
      <c r="CB1" s="317"/>
      <c r="CC1" s="148"/>
      <c r="CD1" s="319"/>
      <c r="CE1" s="319"/>
      <c r="CF1" s="148"/>
      <c r="CG1" s="148"/>
      <c r="CH1" s="148"/>
      <c r="CI1" s="148"/>
      <c r="CJ1" s="148"/>
      <c r="CK1" s="148"/>
      <c r="CL1" s="148"/>
      <c r="CM1" s="148"/>
      <c r="CN1" s="148"/>
      <c r="CO1" s="148"/>
      <c r="CP1" s="148"/>
      <c r="CQ1" s="148"/>
      <c r="CR1" s="148"/>
      <c r="CS1" s="148"/>
      <c r="CT1" s="148"/>
      <c r="CU1" s="148"/>
      <c r="CV1" s="148"/>
      <c r="CW1" s="148"/>
      <c r="CX1" s="148"/>
      <c r="CY1" s="148"/>
      <c r="CZ1" s="148"/>
      <c r="DA1" s="148"/>
      <c r="DB1" s="317"/>
      <c r="DC1" s="317"/>
      <c r="DD1" s="317"/>
      <c r="DE1" s="317"/>
      <c r="DF1" s="317"/>
      <c r="DG1" s="317"/>
      <c r="DH1" s="317"/>
      <c r="DI1" s="317"/>
      <c r="DJ1" s="317"/>
    </row>
    <row r="2" spans="1:114">
      <c r="C2" s="114"/>
      <c r="D2" s="141"/>
      <c r="E2" s="120" t="s">
        <v>207</v>
      </c>
      <c r="F2" s="120">
        <v>1</v>
      </c>
      <c r="G2" s="120">
        <f>F2+1</f>
        <v>2</v>
      </c>
      <c r="H2" s="120">
        <f>G2+1</f>
        <v>3</v>
      </c>
      <c r="I2" s="120">
        <f t="shared" ref="I2:AO2" si="0">H2+1</f>
        <v>4</v>
      </c>
      <c r="J2" s="120">
        <f t="shared" si="0"/>
        <v>5</v>
      </c>
      <c r="K2" s="120">
        <f t="shared" si="0"/>
        <v>6</v>
      </c>
      <c r="L2" s="120">
        <f t="shared" si="0"/>
        <v>7</v>
      </c>
      <c r="M2" s="120">
        <f t="shared" si="0"/>
        <v>8</v>
      </c>
      <c r="N2" s="120">
        <f t="shared" si="0"/>
        <v>9</v>
      </c>
      <c r="O2" s="120">
        <f t="shared" si="0"/>
        <v>10</v>
      </c>
      <c r="P2" s="120">
        <f t="shared" si="0"/>
        <v>11</v>
      </c>
      <c r="Q2" s="120">
        <f t="shared" si="0"/>
        <v>12</v>
      </c>
      <c r="R2" s="120">
        <f t="shared" si="0"/>
        <v>13</v>
      </c>
      <c r="S2" s="120">
        <f t="shared" si="0"/>
        <v>14</v>
      </c>
      <c r="T2" s="120">
        <f t="shared" si="0"/>
        <v>15</v>
      </c>
      <c r="U2" s="120">
        <f t="shared" si="0"/>
        <v>16</v>
      </c>
      <c r="V2" s="120">
        <f t="shared" si="0"/>
        <v>17</v>
      </c>
      <c r="W2" s="120">
        <f t="shared" si="0"/>
        <v>18</v>
      </c>
      <c r="X2" s="120">
        <f t="shared" si="0"/>
        <v>19</v>
      </c>
      <c r="Y2" s="120">
        <f t="shared" si="0"/>
        <v>20</v>
      </c>
      <c r="Z2" s="120">
        <f t="shared" si="0"/>
        <v>21</v>
      </c>
      <c r="AA2" s="120">
        <f t="shared" si="0"/>
        <v>22</v>
      </c>
      <c r="AB2" s="120">
        <f t="shared" si="0"/>
        <v>23</v>
      </c>
      <c r="AC2" s="120">
        <f t="shared" si="0"/>
        <v>24</v>
      </c>
      <c r="AD2" s="120">
        <f t="shared" si="0"/>
        <v>25</v>
      </c>
      <c r="AE2" s="120">
        <f t="shared" si="0"/>
        <v>26</v>
      </c>
      <c r="AF2" s="120">
        <f t="shared" si="0"/>
        <v>27</v>
      </c>
      <c r="AG2" s="120">
        <f t="shared" si="0"/>
        <v>28</v>
      </c>
      <c r="AH2" s="120">
        <f t="shared" si="0"/>
        <v>29</v>
      </c>
      <c r="AI2" s="120">
        <f t="shared" si="0"/>
        <v>30</v>
      </c>
      <c r="AJ2" s="120">
        <f t="shared" si="0"/>
        <v>31</v>
      </c>
      <c r="AK2" s="120">
        <f t="shared" si="0"/>
        <v>32</v>
      </c>
      <c r="AL2" s="120">
        <f t="shared" si="0"/>
        <v>33</v>
      </c>
      <c r="AM2" s="120">
        <f t="shared" si="0"/>
        <v>34</v>
      </c>
      <c r="AN2" s="120">
        <f t="shared" si="0"/>
        <v>35</v>
      </c>
      <c r="AO2" s="120">
        <f t="shared" si="0"/>
        <v>36</v>
      </c>
      <c r="AP2" s="120">
        <f t="shared" ref="AP2" si="1">AO2+1</f>
        <v>37</v>
      </c>
      <c r="AQ2" s="120">
        <f t="shared" ref="AQ2" si="2">AP2+1</f>
        <v>38</v>
      </c>
      <c r="AR2" s="120">
        <f t="shared" ref="AR2" si="3">AQ2+1</f>
        <v>39</v>
      </c>
      <c r="AS2" s="120">
        <f t="shared" ref="AS2" si="4">AR2+1</f>
        <v>40</v>
      </c>
      <c r="AT2" s="120">
        <f t="shared" ref="AT2" si="5">AS2+1</f>
        <v>41</v>
      </c>
      <c r="AU2" s="120">
        <f t="shared" ref="AU2" si="6">AT2+1</f>
        <v>42</v>
      </c>
      <c r="AV2" s="120">
        <f t="shared" ref="AV2" si="7">AU2+1</f>
        <v>43</v>
      </c>
      <c r="AW2" s="120">
        <f t="shared" ref="AW2" si="8">AV2+1</f>
        <v>44</v>
      </c>
      <c r="AX2" s="120">
        <f t="shared" ref="AX2" si="9">AW2+1</f>
        <v>45</v>
      </c>
      <c r="AY2" s="120">
        <f t="shared" ref="AY2" si="10">AX2+1</f>
        <v>46</v>
      </c>
      <c r="AZ2" s="120">
        <f t="shared" ref="AZ2" si="11">AY2+1</f>
        <v>47</v>
      </c>
      <c r="BA2" s="120">
        <f t="shared" ref="BA2" si="12">AZ2+1</f>
        <v>48</v>
      </c>
      <c r="BB2" s="120">
        <f t="shared" ref="BB2" si="13">BA2+1</f>
        <v>49</v>
      </c>
      <c r="BC2" s="120">
        <f t="shared" ref="BC2" si="14">BB2+1</f>
        <v>50</v>
      </c>
      <c r="BD2" s="120">
        <f t="shared" ref="BD2" si="15">BC2+1</f>
        <v>51</v>
      </c>
      <c r="BE2" s="120">
        <f t="shared" ref="BE2" si="16">BD2+1</f>
        <v>52</v>
      </c>
      <c r="BF2" s="120">
        <f t="shared" ref="BF2" si="17">BE2+1</f>
        <v>53</v>
      </c>
      <c r="BG2" s="120">
        <f t="shared" ref="BG2" si="18">BF2+1</f>
        <v>54</v>
      </c>
      <c r="BH2" s="120">
        <f t="shared" ref="BH2" si="19">BG2+1</f>
        <v>55</v>
      </c>
      <c r="BI2" s="120">
        <f t="shared" ref="BI2" si="20">BH2+1</f>
        <v>56</v>
      </c>
      <c r="BJ2" s="120">
        <f t="shared" ref="BJ2" si="21">BI2+1</f>
        <v>57</v>
      </c>
      <c r="BK2" s="120">
        <f t="shared" ref="BK2" si="22">BJ2+1</f>
        <v>58</v>
      </c>
      <c r="BL2" s="120">
        <f t="shared" ref="BL2" si="23">BK2+1</f>
        <v>59</v>
      </c>
      <c r="BM2" s="120">
        <f t="shared" ref="BM2" si="24">BL2+1</f>
        <v>60</v>
      </c>
      <c r="BN2" s="317"/>
      <c r="BO2" s="318"/>
      <c r="BP2" s="317"/>
      <c r="BQ2" s="318"/>
      <c r="BR2" s="318"/>
      <c r="BS2" s="318"/>
      <c r="BT2" s="318"/>
      <c r="BU2" s="318"/>
      <c r="BV2" s="318"/>
      <c r="BW2" s="318"/>
      <c r="BX2" s="318"/>
      <c r="BY2" s="318"/>
      <c r="BZ2" s="318"/>
      <c r="CA2" s="318"/>
      <c r="CB2" s="318"/>
      <c r="CC2" s="148"/>
      <c r="CD2" s="146"/>
      <c r="CE2" s="146"/>
      <c r="CF2" s="320"/>
      <c r="CG2" s="148"/>
      <c r="CH2" s="148"/>
      <c r="CI2" s="148"/>
      <c r="CJ2" s="148"/>
      <c r="CK2" s="148"/>
      <c r="CL2" s="148"/>
      <c r="CM2" s="148"/>
      <c r="CN2" s="148"/>
      <c r="CO2" s="148"/>
      <c r="CP2" s="148"/>
      <c r="CQ2" s="148"/>
      <c r="CR2" s="148"/>
      <c r="CS2" s="148"/>
      <c r="CT2" s="148"/>
      <c r="CU2" s="148"/>
      <c r="CV2" s="148"/>
      <c r="CW2" s="148"/>
      <c r="CX2" s="148"/>
      <c r="CY2" s="148"/>
      <c r="CZ2" s="148"/>
      <c r="DA2" s="148"/>
      <c r="DB2" s="317"/>
      <c r="DC2" s="317"/>
      <c r="DD2" s="317"/>
      <c r="DE2" s="317"/>
      <c r="DF2" s="317"/>
      <c r="DG2" s="317"/>
      <c r="DH2" s="317"/>
      <c r="DI2" s="317"/>
      <c r="DJ2" s="317"/>
    </row>
    <row r="3" spans="1:114">
      <c r="C3" s="114"/>
      <c r="F3" s="114"/>
      <c r="G3" s="114"/>
      <c r="H3" s="114"/>
      <c r="I3" s="115"/>
      <c r="J3" s="115"/>
      <c r="K3" s="115"/>
      <c r="L3" s="114"/>
      <c r="M3" s="114"/>
      <c r="N3" s="114"/>
      <c r="O3" s="115"/>
      <c r="P3" s="115"/>
      <c r="Q3" s="115"/>
      <c r="R3" s="114"/>
      <c r="S3" s="114"/>
      <c r="T3" s="114"/>
      <c r="U3" s="115"/>
      <c r="V3" s="115"/>
      <c r="W3" s="115"/>
      <c r="X3" s="114"/>
      <c r="Y3" s="114"/>
      <c r="Z3" s="114"/>
      <c r="AA3" s="115"/>
      <c r="AB3" s="115"/>
      <c r="AC3" s="115"/>
      <c r="AD3" s="114"/>
      <c r="AE3" s="114"/>
      <c r="AF3" s="114"/>
      <c r="AG3" s="115"/>
      <c r="AH3" s="115"/>
      <c r="AI3" s="115"/>
      <c r="AJ3" s="114"/>
      <c r="AK3" s="114"/>
      <c r="AL3" s="114"/>
      <c r="AM3" s="115"/>
      <c r="AN3" s="115"/>
      <c r="AO3" s="115"/>
      <c r="AP3" s="114"/>
      <c r="AQ3" s="114"/>
      <c r="AR3" s="114"/>
      <c r="AS3" s="115"/>
      <c r="AT3" s="115"/>
      <c r="AU3" s="115"/>
      <c r="AV3" s="114"/>
      <c r="AW3" s="114"/>
      <c r="AX3" s="114"/>
      <c r="AY3" s="115"/>
      <c r="AZ3" s="115"/>
      <c r="BA3" s="115"/>
      <c r="BB3" s="114"/>
      <c r="BC3" s="114"/>
      <c r="BD3" s="114"/>
      <c r="BE3" s="115"/>
      <c r="BF3" s="115"/>
      <c r="BG3" s="115"/>
      <c r="BH3" s="114"/>
      <c r="BI3" s="114"/>
      <c r="BJ3" s="114"/>
      <c r="BK3" s="115"/>
      <c r="BL3" s="115"/>
      <c r="BM3" s="115"/>
      <c r="BN3" s="317"/>
      <c r="BO3" s="318"/>
      <c r="BP3" s="317"/>
      <c r="BQ3" s="317"/>
      <c r="BR3" s="317"/>
      <c r="BS3" s="317"/>
      <c r="BT3" s="317"/>
      <c r="BU3" s="317"/>
      <c r="BV3" s="317"/>
      <c r="BW3" s="317"/>
      <c r="BX3" s="317"/>
      <c r="BY3" s="317"/>
      <c r="BZ3" s="317"/>
      <c r="CA3" s="317"/>
      <c r="CB3" s="317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317"/>
      <c r="DC3" s="317"/>
      <c r="DD3" s="317"/>
      <c r="DE3" s="317"/>
      <c r="DF3" s="317"/>
      <c r="DG3" s="317"/>
      <c r="DH3" s="317"/>
      <c r="DI3" s="317"/>
      <c r="DJ3" s="317"/>
    </row>
    <row r="4" spans="1:114" s="240" customFormat="1" ht="13.5" thickBot="1">
      <c r="E4" s="243" t="s">
        <v>208</v>
      </c>
      <c r="F4" s="353">
        <f>Costs!E4</f>
        <v>-95867.656000000003</v>
      </c>
      <c r="G4" s="241">
        <f>Costs!F4</f>
        <v>-47427.656000000003</v>
      </c>
      <c r="H4" s="241">
        <f>Costs!G4</f>
        <v>-50977.656000000003</v>
      </c>
      <c r="I4" s="241">
        <f>Costs!H4</f>
        <v>-60646.573333333341</v>
      </c>
      <c r="J4" s="241">
        <f>Costs!I4</f>
        <v>-71546.573333333334</v>
      </c>
      <c r="K4" s="241">
        <f>Costs!J4</f>
        <v>-59421.573333333341</v>
      </c>
      <c r="L4" s="241">
        <f>Costs!K4</f>
        <v>-97494.025333333353</v>
      </c>
      <c r="M4" s="241">
        <f>Costs!L4</f>
        <v>-80749.025333333353</v>
      </c>
      <c r="N4" s="241">
        <f>Costs!M4</f>
        <v>-90684.525333333353</v>
      </c>
      <c r="O4" s="241">
        <f>Costs!N4</f>
        <v>-80876.075333333341</v>
      </c>
      <c r="P4" s="241">
        <f>Costs!O4</f>
        <v>-80949.280333333358</v>
      </c>
      <c r="Q4" s="241">
        <f>Costs!P4</f>
        <v>-107324.80583333335</v>
      </c>
      <c r="R4" s="241">
        <f>Costs!Q4</f>
        <v>-254698.60533333331</v>
      </c>
      <c r="S4" s="241">
        <f>Costs!R4</f>
        <v>-142673.60533333334</v>
      </c>
      <c r="T4" s="241">
        <f>Costs!S4</f>
        <v>-149369.60533333334</v>
      </c>
      <c r="U4" s="241">
        <f>Costs!T4</f>
        <v>-145127.70533333335</v>
      </c>
      <c r="V4" s="241">
        <f>Costs!U4</f>
        <v>-145274.11533333335</v>
      </c>
      <c r="W4" s="241">
        <f>Costs!V4</f>
        <v>-149810.16633333336</v>
      </c>
      <c r="X4" s="241">
        <f>Costs!W4</f>
        <v>-146413.60533333334</v>
      </c>
      <c r="Y4" s="241">
        <f>Costs!X4</f>
        <v>-146688.60533333334</v>
      </c>
      <c r="Z4" s="241">
        <f>Costs!Y4</f>
        <v>-151366.10533333334</v>
      </c>
      <c r="AA4" s="241">
        <f>Costs!Z4</f>
        <v>-138056.26200000002</v>
      </c>
      <c r="AB4" s="241">
        <f>Costs!AA4</f>
        <v>-138422.28700000001</v>
      </c>
      <c r="AC4" s="241">
        <f>Costs!AB4</f>
        <v>-178819.91450000001</v>
      </c>
      <c r="AD4" s="241">
        <f>Costs!AC4</f>
        <v>-406027.34800000006</v>
      </c>
      <c r="AE4" s="241">
        <f>Costs!AD4</f>
        <v>-253547.348</v>
      </c>
      <c r="AF4" s="241">
        <f>Costs!AE4</f>
        <v>-260727.348</v>
      </c>
      <c r="AG4" s="241">
        <f>Costs!AF4</f>
        <v>-257017.848</v>
      </c>
      <c r="AH4" s="241">
        <f>Costs!AG4</f>
        <v>-257749.89799999999</v>
      </c>
      <c r="AI4" s="241">
        <f>Costs!AH4</f>
        <v>-262930.15299999999</v>
      </c>
      <c r="AJ4" s="241">
        <f>Costs!AI4</f>
        <v>-260697.348</v>
      </c>
      <c r="AK4" s="241">
        <f>Costs!AJ4</f>
        <v>-261797.348</v>
      </c>
      <c r="AL4" s="241">
        <f>Costs!AK4</f>
        <v>-267382.348</v>
      </c>
      <c r="AM4" s="241">
        <f>Costs!AL4</f>
        <v>-264338.348</v>
      </c>
      <c r="AN4" s="241">
        <f>Costs!AM4</f>
        <v>-265802.44799999997</v>
      </c>
      <c r="AO4" s="241">
        <f>Costs!AN4</f>
        <v>-332067.95800000004</v>
      </c>
      <c r="AP4" s="241">
        <f>Costs!AO4</f>
        <v>-593538.48399999994</v>
      </c>
      <c r="AQ4" s="241">
        <f>Costs!AP4</f>
        <v>-423113.484</v>
      </c>
      <c r="AR4" s="241">
        <f>Costs!AQ4</f>
        <v>-430843.484</v>
      </c>
      <c r="AS4" s="241">
        <f>Costs!AR4</f>
        <v>-429713.484</v>
      </c>
      <c r="AT4" s="241">
        <f>Costs!AS4</f>
        <v>-431088.484</v>
      </c>
      <c r="AU4" s="241">
        <f>Costs!AT4</f>
        <v>-436907.234</v>
      </c>
      <c r="AV4" s="241">
        <f>Costs!AU4</f>
        <v>-435213.484</v>
      </c>
      <c r="AW4" s="241">
        <f>Costs!AV4</f>
        <v>-436863.484</v>
      </c>
      <c r="AX4" s="241">
        <f>Costs!AW4</f>
        <v>-442970.984</v>
      </c>
      <c r="AY4" s="241">
        <f>Costs!AX4</f>
        <v>-440713.484</v>
      </c>
      <c r="AZ4" s="241">
        <f>Costs!AY4</f>
        <v>-442638.484</v>
      </c>
      <c r="BA4" s="241">
        <f>Costs!AZ4</f>
        <v>-533974.73399999994</v>
      </c>
      <c r="BB4" s="241">
        <f>Costs!BA4</f>
        <v>-795194.02666666673</v>
      </c>
      <c r="BC4" s="241">
        <f>Costs!BB4</f>
        <v>-607649.02666666673</v>
      </c>
      <c r="BD4" s="241">
        <f>Costs!BC4</f>
        <v>-616822.77666666673</v>
      </c>
      <c r="BE4" s="241">
        <f>Costs!BD4</f>
        <v>-612874.02666666673</v>
      </c>
      <c r="BF4" s="241">
        <f>Costs!BE4</f>
        <v>-615624.02666666673</v>
      </c>
      <c r="BG4" s="241">
        <f>Costs!BF4</f>
        <v>-622886.52666666673</v>
      </c>
      <c r="BH4" s="241">
        <f>Costs!BG4</f>
        <v>-634874.02666666673</v>
      </c>
      <c r="BI4" s="241">
        <f>Costs!BH4</f>
        <v>-638724.02666666673</v>
      </c>
      <c r="BJ4" s="241">
        <f>Costs!BI4</f>
        <v>-647141.52666666673</v>
      </c>
      <c r="BK4" s="241">
        <f>Costs!BJ4</f>
        <v>-647011.15166666673</v>
      </c>
      <c r="BL4" s="241">
        <f>Costs!BK4</f>
        <v>-651468.00791666668</v>
      </c>
      <c r="BM4" s="241">
        <f>Costs!BL4</f>
        <v>-770122.70697916672</v>
      </c>
      <c r="BN4" s="242"/>
      <c r="BO4" s="321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</row>
    <row r="5" spans="1:114">
      <c r="C5" s="114"/>
      <c r="E5" s="113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2"/>
      <c r="BN5" s="146"/>
      <c r="BO5" s="319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317"/>
      <c r="DC5" s="317"/>
      <c r="DD5" s="317"/>
      <c r="DE5" s="317"/>
      <c r="DF5" s="317"/>
      <c r="DG5" s="317"/>
      <c r="DH5" s="317"/>
      <c r="DI5" s="317"/>
      <c r="DJ5" s="317"/>
    </row>
    <row r="6" spans="1:114">
      <c r="A6" s="312"/>
      <c r="B6" s="386" t="s">
        <v>340</v>
      </c>
      <c r="C6" s="117" t="s">
        <v>209</v>
      </c>
      <c r="D6" s="117" t="s">
        <v>341</v>
      </c>
      <c r="E6" s="118" t="s">
        <v>342</v>
      </c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6"/>
      <c r="BO6" s="319"/>
      <c r="BP6" s="146"/>
      <c r="BQ6" s="146"/>
      <c r="BR6" s="146"/>
      <c r="BS6" s="146"/>
      <c r="BT6" s="146"/>
      <c r="BU6" s="146"/>
      <c r="BV6" s="146"/>
      <c r="BW6" s="146"/>
      <c r="BX6" s="146"/>
      <c r="BY6" s="146"/>
      <c r="BZ6" s="146"/>
      <c r="CA6" s="146"/>
      <c r="CB6" s="146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317"/>
      <c r="DC6" s="317"/>
      <c r="DD6" s="317"/>
      <c r="DE6" s="317"/>
      <c r="DF6" s="317"/>
      <c r="DG6" s="317"/>
      <c r="DH6" s="317"/>
      <c r="DI6" s="317"/>
      <c r="DJ6" s="317"/>
    </row>
    <row r="7" spans="1:114" s="234" customFormat="1">
      <c r="A7" s="228"/>
      <c r="B7" s="387"/>
      <c r="C7" s="228" t="s">
        <v>343</v>
      </c>
      <c r="D7" s="233" t="s">
        <v>344</v>
      </c>
      <c r="E7" s="351">
        <v>9.99</v>
      </c>
      <c r="F7" s="351">
        <f>SUM(F8*$E$7)</f>
        <v>0</v>
      </c>
      <c r="G7" s="351">
        <f t="shared" ref="G7:BM7" si="25">SUM(G8*$E$7)</f>
        <v>0</v>
      </c>
      <c r="H7" s="351">
        <f t="shared" si="25"/>
        <v>0</v>
      </c>
      <c r="I7" s="351">
        <f t="shared" si="25"/>
        <v>0</v>
      </c>
      <c r="J7" s="351">
        <f t="shared" si="25"/>
        <v>0</v>
      </c>
      <c r="K7" s="351">
        <f t="shared" si="25"/>
        <v>0</v>
      </c>
      <c r="L7" s="351">
        <f>SUM(L8*$E$7)</f>
        <v>74925</v>
      </c>
      <c r="M7" s="351">
        <f t="shared" si="25"/>
        <v>78671.25</v>
      </c>
      <c r="N7" s="351">
        <f t="shared" si="25"/>
        <v>82604.8125</v>
      </c>
      <c r="O7" s="351">
        <f t="shared" si="25"/>
        <v>86735.053125000006</v>
      </c>
      <c r="P7" s="351">
        <f t="shared" si="25"/>
        <v>91071.805781250005</v>
      </c>
      <c r="Q7" s="351">
        <f t="shared" si="25"/>
        <v>95625.396070312505</v>
      </c>
      <c r="R7" s="351">
        <f t="shared" si="25"/>
        <v>149850</v>
      </c>
      <c r="S7" s="351">
        <f t="shared" si="25"/>
        <v>157342.5</v>
      </c>
      <c r="T7" s="351">
        <f t="shared" si="25"/>
        <v>165209.625</v>
      </c>
      <c r="U7" s="351">
        <f t="shared" si="25"/>
        <v>173470.10625000001</v>
      </c>
      <c r="V7" s="351">
        <f t="shared" si="25"/>
        <v>182143.61156250001</v>
      </c>
      <c r="W7" s="351">
        <f t="shared" si="25"/>
        <v>191250.79214062501</v>
      </c>
      <c r="X7" s="351">
        <f t="shared" si="25"/>
        <v>374625</v>
      </c>
      <c r="Y7" s="351">
        <f t="shared" si="25"/>
        <v>393356.25</v>
      </c>
      <c r="Z7" s="351">
        <f t="shared" si="25"/>
        <v>413024.0625</v>
      </c>
      <c r="AA7" s="351">
        <f t="shared" si="25"/>
        <v>433675.265625</v>
      </c>
      <c r="AB7" s="351">
        <f t="shared" si="25"/>
        <v>455359.02890625002</v>
      </c>
      <c r="AC7" s="351">
        <f t="shared" si="25"/>
        <v>478126.9803515625</v>
      </c>
      <c r="AD7" s="351">
        <f t="shared" si="25"/>
        <v>749250</v>
      </c>
      <c r="AE7" s="351">
        <f t="shared" si="25"/>
        <v>786712.5</v>
      </c>
      <c r="AF7" s="351">
        <f t="shared" si="25"/>
        <v>826048.125</v>
      </c>
      <c r="AG7" s="351">
        <f t="shared" si="25"/>
        <v>867350.53125</v>
      </c>
      <c r="AH7" s="351">
        <f t="shared" si="25"/>
        <v>910718.05781250005</v>
      </c>
      <c r="AI7" s="351">
        <f t="shared" si="25"/>
        <v>956253.96070312499</v>
      </c>
      <c r="AJ7" s="351">
        <f t="shared" si="25"/>
        <v>1498500</v>
      </c>
      <c r="AK7" s="351">
        <f t="shared" si="25"/>
        <v>1573425</v>
      </c>
      <c r="AL7" s="351">
        <f t="shared" si="25"/>
        <v>1652096.25</v>
      </c>
      <c r="AM7" s="351">
        <f t="shared" si="25"/>
        <v>1734701.0625</v>
      </c>
      <c r="AN7" s="351">
        <f t="shared" si="25"/>
        <v>1821436.1156250001</v>
      </c>
      <c r="AO7" s="351">
        <f t="shared" si="25"/>
        <v>1912507.92140625</v>
      </c>
      <c r="AP7" s="351">
        <f t="shared" si="25"/>
        <v>2997000</v>
      </c>
      <c r="AQ7" s="351">
        <f t="shared" si="25"/>
        <v>3146850</v>
      </c>
      <c r="AR7" s="351">
        <f t="shared" si="25"/>
        <v>3304192.5</v>
      </c>
      <c r="AS7" s="351">
        <f t="shared" si="25"/>
        <v>3746250</v>
      </c>
      <c r="AT7" s="351">
        <f t="shared" si="25"/>
        <v>3933562.5</v>
      </c>
      <c r="AU7" s="351">
        <f t="shared" si="25"/>
        <v>4130240.625</v>
      </c>
      <c r="AV7" s="351">
        <f t="shared" si="25"/>
        <v>4495500</v>
      </c>
      <c r="AW7" s="351">
        <f t="shared" si="25"/>
        <v>4720275</v>
      </c>
      <c r="AX7" s="351">
        <f t="shared" si="25"/>
        <v>4956288.75</v>
      </c>
      <c r="AY7" s="351">
        <f t="shared" si="25"/>
        <v>5244750</v>
      </c>
      <c r="AZ7" s="351">
        <f t="shared" si="25"/>
        <v>5506987.5</v>
      </c>
      <c r="BA7" s="351">
        <f t="shared" si="25"/>
        <v>5782336.875</v>
      </c>
      <c r="BB7" s="351">
        <f t="shared" si="25"/>
        <v>6743250</v>
      </c>
      <c r="BC7" s="351">
        <f t="shared" si="25"/>
        <v>7080412.5</v>
      </c>
      <c r="BD7" s="351">
        <f t="shared" si="25"/>
        <v>7434433.125</v>
      </c>
      <c r="BE7" s="351">
        <f t="shared" si="25"/>
        <v>7492500</v>
      </c>
      <c r="BF7" s="351">
        <f t="shared" si="25"/>
        <v>7867125</v>
      </c>
      <c r="BG7" s="351">
        <f t="shared" si="25"/>
        <v>8260481.25</v>
      </c>
      <c r="BH7" s="351">
        <f t="shared" si="25"/>
        <v>10489500</v>
      </c>
      <c r="BI7" s="351">
        <f t="shared" si="25"/>
        <v>11013975</v>
      </c>
      <c r="BJ7" s="351">
        <f t="shared" si="25"/>
        <v>11564673.75</v>
      </c>
      <c r="BK7" s="351">
        <f t="shared" si="25"/>
        <v>12142907.4375</v>
      </c>
      <c r="BL7" s="351">
        <f t="shared" si="25"/>
        <v>12750052.809375001</v>
      </c>
      <c r="BM7" s="351">
        <f t="shared" si="25"/>
        <v>13387555.449843749</v>
      </c>
      <c r="BN7" s="322"/>
      <c r="BO7" s="323"/>
      <c r="BP7" s="322"/>
      <c r="BQ7" s="322"/>
      <c r="BR7" s="322"/>
      <c r="BS7" s="322"/>
      <c r="BT7" s="322"/>
      <c r="BU7" s="322"/>
      <c r="BV7" s="322"/>
      <c r="BW7" s="322"/>
      <c r="BX7" s="322"/>
      <c r="BY7" s="322"/>
      <c r="BZ7" s="322"/>
      <c r="CA7" s="322"/>
      <c r="CB7" s="322"/>
      <c r="CC7" s="324"/>
      <c r="CD7" s="324"/>
      <c r="CE7" s="324"/>
      <c r="CF7" s="324"/>
      <c r="CG7" s="324"/>
      <c r="CH7" s="324"/>
      <c r="CI7" s="324"/>
      <c r="CJ7" s="324"/>
      <c r="CK7" s="324"/>
      <c r="CL7" s="324"/>
      <c r="CM7" s="324"/>
      <c r="CN7" s="324"/>
      <c r="CO7" s="324"/>
      <c r="CP7" s="324"/>
      <c r="CQ7" s="324"/>
      <c r="CR7" s="324"/>
      <c r="CS7" s="324"/>
      <c r="CT7" s="324"/>
      <c r="CU7" s="324"/>
      <c r="CV7" s="324"/>
      <c r="CW7" s="324"/>
      <c r="CX7" s="324"/>
      <c r="CY7" s="324"/>
      <c r="CZ7" s="324"/>
      <c r="DA7" s="324"/>
      <c r="DB7" s="324"/>
      <c r="DC7" s="324"/>
      <c r="DD7" s="324"/>
      <c r="DE7" s="324"/>
      <c r="DF7" s="324"/>
      <c r="DG7" s="324"/>
      <c r="DH7" s="324"/>
      <c r="DI7" s="324"/>
      <c r="DJ7" s="324"/>
    </row>
    <row r="8" spans="1:114" s="367" customFormat="1">
      <c r="A8" s="356" t="s">
        <v>345</v>
      </c>
      <c r="B8" s="392">
        <v>0.15</v>
      </c>
      <c r="D8" s="373"/>
      <c r="E8" s="374"/>
      <c r="F8" s="374"/>
      <c r="G8" s="374"/>
      <c r="H8" s="374"/>
      <c r="I8" s="374"/>
      <c r="J8" s="374"/>
      <c r="K8" s="374"/>
      <c r="L8" s="374">
        <f>SUM(L15*$B$8)</f>
        <v>7500</v>
      </c>
      <c r="M8" s="374">
        <f>L8+(L8*0.05)</f>
        <v>7875</v>
      </c>
      <c r="N8" s="374">
        <f t="shared" ref="N8:AO8" si="26">M8+(M8*0.05)</f>
        <v>8268.75</v>
      </c>
      <c r="O8" s="374">
        <f t="shared" si="26"/>
        <v>8682.1875</v>
      </c>
      <c r="P8" s="374">
        <f t="shared" si="26"/>
        <v>9116.296875</v>
      </c>
      <c r="Q8" s="374">
        <f t="shared" si="26"/>
        <v>9572.1117187500004</v>
      </c>
      <c r="R8" s="374">
        <f>SUM(R15*$B$8)</f>
        <v>15000</v>
      </c>
      <c r="S8" s="374">
        <f t="shared" si="26"/>
        <v>15750</v>
      </c>
      <c r="T8" s="374">
        <f t="shared" si="26"/>
        <v>16537.5</v>
      </c>
      <c r="U8" s="374">
        <f t="shared" si="26"/>
        <v>17364.375</v>
      </c>
      <c r="V8" s="374">
        <f t="shared" si="26"/>
        <v>18232.59375</v>
      </c>
      <c r="W8" s="374">
        <f t="shared" si="26"/>
        <v>19144.223437500001</v>
      </c>
      <c r="X8" s="374">
        <f>SUM(X15*$B$8)</f>
        <v>37500</v>
      </c>
      <c r="Y8" s="374">
        <f t="shared" si="26"/>
        <v>39375</v>
      </c>
      <c r="Z8" s="374">
        <f t="shared" si="26"/>
        <v>41343.75</v>
      </c>
      <c r="AA8" s="374">
        <f t="shared" si="26"/>
        <v>43410.9375</v>
      </c>
      <c r="AB8" s="374">
        <f t="shared" si="26"/>
        <v>45581.484375</v>
      </c>
      <c r="AC8" s="374">
        <f t="shared" si="26"/>
        <v>47860.55859375</v>
      </c>
      <c r="AD8" s="374">
        <f>SUM(AD15*$B$8)</f>
        <v>75000</v>
      </c>
      <c r="AE8" s="374">
        <f t="shared" si="26"/>
        <v>78750</v>
      </c>
      <c r="AF8" s="374">
        <f t="shared" si="26"/>
        <v>82687.5</v>
      </c>
      <c r="AG8" s="374">
        <f t="shared" si="26"/>
        <v>86821.875</v>
      </c>
      <c r="AH8" s="374">
        <f t="shared" si="26"/>
        <v>91162.96875</v>
      </c>
      <c r="AI8" s="374">
        <f t="shared" si="26"/>
        <v>95721.1171875</v>
      </c>
      <c r="AJ8" s="374">
        <f>SUM(AJ15*$B$8)</f>
        <v>150000</v>
      </c>
      <c r="AK8" s="374">
        <f t="shared" si="26"/>
        <v>157500</v>
      </c>
      <c r="AL8" s="374">
        <f t="shared" si="26"/>
        <v>165375</v>
      </c>
      <c r="AM8" s="374">
        <f t="shared" si="26"/>
        <v>173643.75</v>
      </c>
      <c r="AN8" s="374">
        <f t="shared" si="26"/>
        <v>182325.9375</v>
      </c>
      <c r="AO8" s="374">
        <f t="shared" si="26"/>
        <v>191442.234375</v>
      </c>
      <c r="AP8" s="374">
        <f>SUM(AP15*$B$8)</f>
        <v>300000</v>
      </c>
      <c r="AQ8" s="374">
        <f t="shared" ref="AQ8" si="27">AP8+(AP8*0.05)</f>
        <v>315000</v>
      </c>
      <c r="AR8" s="374">
        <f t="shared" ref="AR8" si="28">AQ8+(AQ8*0.05)</f>
        <v>330750</v>
      </c>
      <c r="AS8" s="374">
        <f>SUM(AS15*$B$8)</f>
        <v>375000</v>
      </c>
      <c r="AT8" s="374">
        <f t="shared" ref="AT8" si="29">AS8+(AS8*0.05)</f>
        <v>393750</v>
      </c>
      <c r="AU8" s="374">
        <f t="shared" ref="AU8" si="30">AT8+(AT8*0.05)</f>
        <v>413437.5</v>
      </c>
      <c r="AV8" s="374">
        <f>SUM(AV15*$B$8)</f>
        <v>450000</v>
      </c>
      <c r="AW8" s="374">
        <f t="shared" ref="AW8" si="31">AV8+(AV8*0.05)</f>
        <v>472500</v>
      </c>
      <c r="AX8" s="374">
        <f t="shared" ref="AX8" si="32">AW8+(AW8*0.05)</f>
        <v>496125</v>
      </c>
      <c r="AY8" s="374">
        <f>SUM(AY15*$B$8)</f>
        <v>525000</v>
      </c>
      <c r="AZ8" s="374">
        <f t="shared" ref="AZ8" si="33">AY8+(AY8*0.05)</f>
        <v>551250</v>
      </c>
      <c r="BA8" s="374">
        <f t="shared" ref="BA8" si="34">AZ8+(AZ8*0.05)</f>
        <v>578812.5</v>
      </c>
      <c r="BB8" s="374">
        <f>SUM(BB15*$B$8)</f>
        <v>675000</v>
      </c>
      <c r="BC8" s="374">
        <f t="shared" ref="BC8" si="35">BB8+(BB8*0.05)</f>
        <v>708750</v>
      </c>
      <c r="BD8" s="374">
        <f t="shared" ref="BD8" si="36">BC8+(BC8*0.05)</f>
        <v>744187.5</v>
      </c>
      <c r="BE8" s="374">
        <f>SUM(BE15*$B$8)</f>
        <v>750000</v>
      </c>
      <c r="BF8" s="374">
        <f t="shared" ref="BF8" si="37">BE8+(BE8*0.05)</f>
        <v>787500</v>
      </c>
      <c r="BG8" s="374">
        <f t="shared" ref="BG8" si="38">BF8+(BF8*0.05)</f>
        <v>826875</v>
      </c>
      <c r="BH8" s="374">
        <f>SUM(BH15*$B$8)</f>
        <v>1050000</v>
      </c>
      <c r="BI8" s="374">
        <f t="shared" ref="BI8" si="39">BH8+(BH8*0.05)</f>
        <v>1102500</v>
      </c>
      <c r="BJ8" s="374">
        <f t="shared" ref="BJ8" si="40">BI8+(BI8*0.05)</f>
        <v>1157625</v>
      </c>
      <c r="BK8" s="374">
        <f t="shared" ref="BK8" si="41">BJ8+(BJ8*0.05)</f>
        <v>1215506.25</v>
      </c>
      <c r="BL8" s="374">
        <f t="shared" ref="BL8" si="42">BK8+(BK8*0.05)</f>
        <v>1276281.5625</v>
      </c>
      <c r="BM8" s="374">
        <f t="shared" ref="BM8" si="43">BL8+(BL8*0.05)</f>
        <v>1340095.640625</v>
      </c>
      <c r="BN8" s="370"/>
      <c r="BO8" s="371"/>
      <c r="BP8" s="370"/>
      <c r="BQ8" s="370"/>
      <c r="BR8" s="370"/>
      <c r="BS8" s="370"/>
      <c r="BT8" s="370"/>
      <c r="BU8" s="370"/>
      <c r="BV8" s="370"/>
      <c r="BW8" s="370"/>
      <c r="BX8" s="370"/>
      <c r="BY8" s="370"/>
      <c r="BZ8" s="370"/>
      <c r="CA8" s="370"/>
      <c r="CB8" s="370"/>
      <c r="CC8" s="370"/>
      <c r="CD8" s="370"/>
      <c r="CE8" s="370"/>
      <c r="CF8" s="370"/>
      <c r="CG8" s="370"/>
      <c r="CH8" s="370"/>
      <c r="CI8" s="370"/>
      <c r="CJ8" s="370"/>
      <c r="CK8" s="370"/>
      <c r="CL8" s="370"/>
      <c r="CM8" s="370"/>
      <c r="CN8" s="370"/>
      <c r="CO8" s="370"/>
      <c r="CP8" s="370"/>
      <c r="CQ8" s="370"/>
      <c r="CR8" s="370"/>
      <c r="CS8" s="370"/>
      <c r="CT8" s="370"/>
      <c r="CU8" s="370"/>
      <c r="CV8" s="370"/>
      <c r="CW8" s="370"/>
      <c r="CX8" s="370"/>
      <c r="CY8" s="370"/>
      <c r="CZ8" s="370"/>
      <c r="DA8" s="370"/>
      <c r="DB8" s="370"/>
      <c r="DC8" s="370"/>
      <c r="DD8" s="370"/>
      <c r="DE8" s="370"/>
      <c r="DF8" s="370"/>
      <c r="DG8" s="370"/>
      <c r="DH8" s="370"/>
      <c r="DI8" s="370"/>
      <c r="DJ8" s="370"/>
    </row>
    <row r="9" spans="1:114" s="232" customFormat="1">
      <c r="A9" s="230"/>
      <c r="B9" s="388"/>
      <c r="C9" s="229" t="s">
        <v>343</v>
      </c>
      <c r="D9" s="231" t="s">
        <v>346</v>
      </c>
      <c r="E9" s="350">
        <v>19.989999999999998</v>
      </c>
      <c r="F9" s="351">
        <f>SUM(F10*$E$9)</f>
        <v>0</v>
      </c>
      <c r="G9" s="351">
        <f>SUM(G10*$E$9)</f>
        <v>0</v>
      </c>
      <c r="H9" s="351">
        <f>SUM(H10*$E$9)</f>
        <v>0</v>
      </c>
      <c r="I9" s="351">
        <f>SUM(I10*$E$9)</f>
        <v>0</v>
      </c>
      <c r="J9" s="351">
        <f>SUM(J10*$E$9)</f>
        <v>0</v>
      </c>
      <c r="K9" s="351">
        <f>SUM(K10*$E$9)</f>
        <v>0</v>
      </c>
      <c r="L9" s="350">
        <f>SUM(L10*$E$9)</f>
        <v>799599.99999999988</v>
      </c>
      <c r="M9" s="350">
        <f>SUM(M10*$E$9)</f>
        <v>839579.99999999988</v>
      </c>
      <c r="N9" s="350">
        <f>SUM(N10*$E$9)</f>
        <v>881558.99999999988</v>
      </c>
      <c r="O9" s="350">
        <f>SUM(O10*$E$9)</f>
        <v>925636.95</v>
      </c>
      <c r="P9" s="350">
        <f>SUM(P10*$E$9)</f>
        <v>971918.79749999987</v>
      </c>
      <c r="Q9" s="350">
        <f>SUM(Q10*$E$9)</f>
        <v>1020514.7373749999</v>
      </c>
      <c r="R9" s="350">
        <f>SUM(R10*$E$9)</f>
        <v>1599199.9999999998</v>
      </c>
      <c r="S9" s="350">
        <f>SUM(S10*$E$9)</f>
        <v>1679159.9999999998</v>
      </c>
      <c r="T9" s="350">
        <f>SUM(T10*$E$9)</f>
        <v>1763117.9999999998</v>
      </c>
      <c r="U9" s="350">
        <f>SUM(U10*$E$9)</f>
        <v>1851273.9</v>
      </c>
      <c r="V9" s="350">
        <f>SUM(V10*$E$9)</f>
        <v>1943837.5949999997</v>
      </c>
      <c r="W9" s="350">
        <f>SUM(W10*$E$9)</f>
        <v>2041029.4747499998</v>
      </c>
      <c r="X9" s="350">
        <f>SUM(X10*$E$9)</f>
        <v>3997999.9999999995</v>
      </c>
      <c r="Y9" s="350">
        <f>SUM(Y10*$E$9)</f>
        <v>4197900</v>
      </c>
      <c r="Z9" s="350">
        <f>SUM(Z10*$E$9)</f>
        <v>4407795</v>
      </c>
      <c r="AA9" s="350">
        <f>SUM(AA10*$E$9)</f>
        <v>4628184.75</v>
      </c>
      <c r="AB9" s="350">
        <f>SUM(AB10*$E$9)</f>
        <v>4859593.9874999998</v>
      </c>
      <c r="AC9" s="350">
        <f>SUM(AC10*$E$9)</f>
        <v>5102573.6868749997</v>
      </c>
      <c r="AD9" s="350">
        <f>SUM(AD10*$E$9)</f>
        <v>7995999.9999999991</v>
      </c>
      <c r="AE9" s="350">
        <f>SUM(AE10*$E$9)</f>
        <v>8395800</v>
      </c>
      <c r="AF9" s="350">
        <f>SUM(AF10*$E$9)</f>
        <v>8815590</v>
      </c>
      <c r="AG9" s="350">
        <f>SUM(AG10*$E$9)</f>
        <v>9256369.5</v>
      </c>
      <c r="AH9" s="350">
        <f>SUM(AH10*$E$9)</f>
        <v>9719187.9749999996</v>
      </c>
      <c r="AI9" s="350">
        <f>SUM(AI10*$E$9)</f>
        <v>10205147.373749999</v>
      </c>
      <c r="AJ9" s="350">
        <f>SUM(AJ10*$E$9)</f>
        <v>15991999.999999998</v>
      </c>
      <c r="AK9" s="350">
        <f>SUM(AK10*$E$9)</f>
        <v>16791600</v>
      </c>
      <c r="AL9" s="350">
        <f>SUM(AL10*$E$9)</f>
        <v>17631180</v>
      </c>
      <c r="AM9" s="350">
        <f>SUM(AM10*$E$9)</f>
        <v>18512739</v>
      </c>
      <c r="AN9" s="350">
        <f>SUM(AN10*$E$9)</f>
        <v>19438375.949999999</v>
      </c>
      <c r="AO9" s="350">
        <f>SUM(AO10*$E$9)</f>
        <v>20410294.747499999</v>
      </c>
      <c r="AP9" s="350">
        <f>SUM(AP10*$E$9)</f>
        <v>31983999.999999996</v>
      </c>
      <c r="AQ9" s="350">
        <f>SUM(AQ10*$E$9)</f>
        <v>33583200</v>
      </c>
      <c r="AR9" s="350">
        <f>SUM(AR10*$E$9)</f>
        <v>35262360</v>
      </c>
      <c r="AS9" s="350">
        <f>SUM(AS10*$E$9)</f>
        <v>39980000</v>
      </c>
      <c r="AT9" s="350">
        <f>SUM(AT10*$E$9)</f>
        <v>41979000</v>
      </c>
      <c r="AU9" s="350">
        <f>SUM(AU10*$E$9)</f>
        <v>44077950</v>
      </c>
      <c r="AV9" s="350">
        <f>SUM(AV10*$E$9)</f>
        <v>47975999.999999993</v>
      </c>
      <c r="AW9" s="350">
        <f>SUM(AW10*$E$9)</f>
        <v>50374799.999999993</v>
      </c>
      <c r="AX9" s="350">
        <f>SUM(AX10*$E$9)</f>
        <v>52893539.999999993</v>
      </c>
      <c r="AY9" s="350">
        <f>SUM(AY10*$E$9)</f>
        <v>55971999.999999993</v>
      </c>
      <c r="AZ9" s="350">
        <f>SUM(AZ10*$E$9)</f>
        <v>58770599.999999993</v>
      </c>
      <c r="BA9" s="350">
        <f>SUM(BA10*$E$9)</f>
        <v>61709129.999999993</v>
      </c>
      <c r="BB9" s="350">
        <f>SUM(BB10*$E$9)</f>
        <v>71964000</v>
      </c>
      <c r="BC9" s="350">
        <f>SUM(BC10*$E$9)</f>
        <v>75562200</v>
      </c>
      <c r="BD9" s="350">
        <f>SUM(BD10*$E$9)</f>
        <v>79340310</v>
      </c>
      <c r="BE9" s="350">
        <f>SUM(BE10*$E$9)</f>
        <v>79960000</v>
      </c>
      <c r="BF9" s="350">
        <f>SUM(BF10*$E$9)</f>
        <v>83958000</v>
      </c>
      <c r="BG9" s="350">
        <f>SUM(BG10*$E$9)</f>
        <v>88155900</v>
      </c>
      <c r="BH9" s="350">
        <f>SUM(BH10*$E$9)</f>
        <v>111943999.99999999</v>
      </c>
      <c r="BI9" s="350">
        <f>SUM(BI10*$E$9)</f>
        <v>117541199.99999999</v>
      </c>
      <c r="BJ9" s="350">
        <f>SUM(BJ10*$E$9)</f>
        <v>123418259.99999999</v>
      </c>
      <c r="BK9" s="350">
        <f>SUM(BK10*$E$9)</f>
        <v>129589172.99999999</v>
      </c>
      <c r="BL9" s="350">
        <f>SUM(BL10*$E$9)</f>
        <v>136068631.64999998</v>
      </c>
      <c r="BM9" s="350">
        <f>SUM(BM10*$E$9)</f>
        <v>142872063.23249999</v>
      </c>
      <c r="BN9" s="325"/>
      <c r="BO9" s="326"/>
      <c r="BP9" s="238"/>
      <c r="BQ9" s="238"/>
      <c r="BR9" s="238"/>
      <c r="BS9" s="238"/>
      <c r="BT9" s="238"/>
      <c r="BU9" s="238"/>
      <c r="BV9" s="238"/>
      <c r="BW9" s="238"/>
      <c r="BX9" s="238"/>
      <c r="BY9" s="238"/>
      <c r="BZ9" s="238"/>
      <c r="CA9" s="238"/>
      <c r="CB9" s="238"/>
      <c r="CC9" s="327"/>
      <c r="CD9" s="327"/>
      <c r="CE9" s="327"/>
      <c r="CF9" s="327"/>
      <c r="CG9" s="327"/>
      <c r="CH9" s="327"/>
      <c r="CI9" s="327"/>
      <c r="CJ9" s="327"/>
      <c r="CK9" s="327"/>
      <c r="CL9" s="327"/>
      <c r="CM9" s="327"/>
      <c r="CN9" s="327"/>
      <c r="CO9" s="327"/>
      <c r="CP9" s="327"/>
      <c r="CQ9" s="327"/>
      <c r="CR9" s="327"/>
      <c r="CS9" s="327"/>
      <c r="CT9" s="327"/>
      <c r="CU9" s="327"/>
      <c r="CV9" s="327"/>
      <c r="CW9" s="327"/>
      <c r="CX9" s="327"/>
      <c r="CY9" s="327"/>
      <c r="CZ9" s="327"/>
      <c r="DA9" s="327"/>
      <c r="DB9" s="327"/>
      <c r="DC9" s="327"/>
      <c r="DD9" s="327"/>
      <c r="DE9" s="327"/>
      <c r="DF9" s="327"/>
      <c r="DG9" s="327"/>
      <c r="DH9" s="327"/>
      <c r="DI9" s="327"/>
      <c r="DJ9" s="327"/>
    </row>
    <row r="10" spans="1:114" s="361" customFormat="1">
      <c r="A10" s="355" t="s">
        <v>345</v>
      </c>
      <c r="B10" s="393">
        <v>0.8</v>
      </c>
      <c r="C10" s="355"/>
      <c r="D10" s="356"/>
      <c r="E10" s="357"/>
      <c r="F10" s="357"/>
      <c r="G10" s="357"/>
      <c r="H10" s="357"/>
      <c r="I10" s="357"/>
      <c r="J10" s="357"/>
      <c r="K10" s="357"/>
      <c r="L10" s="357">
        <f>SUM(L15*$B$10)</f>
        <v>40000</v>
      </c>
      <c r="M10" s="357">
        <f>L10+(L10*0.05)</f>
        <v>42000</v>
      </c>
      <c r="N10" s="357">
        <f t="shared" ref="N10:AO10" si="44">M10+(M10*0.05)</f>
        <v>44100</v>
      </c>
      <c r="O10" s="357">
        <f t="shared" si="44"/>
        <v>46305</v>
      </c>
      <c r="P10" s="357">
        <f t="shared" si="44"/>
        <v>48620.25</v>
      </c>
      <c r="Q10" s="357">
        <f t="shared" si="44"/>
        <v>51051.262499999997</v>
      </c>
      <c r="R10" s="357">
        <f>SUM(R15*$B$10)</f>
        <v>80000</v>
      </c>
      <c r="S10" s="357">
        <f t="shared" si="44"/>
        <v>84000</v>
      </c>
      <c r="T10" s="357">
        <f t="shared" si="44"/>
        <v>88200</v>
      </c>
      <c r="U10" s="357">
        <f t="shared" si="44"/>
        <v>92610</v>
      </c>
      <c r="V10" s="357">
        <f t="shared" si="44"/>
        <v>97240.5</v>
      </c>
      <c r="W10" s="357">
        <f t="shared" si="44"/>
        <v>102102.52499999999</v>
      </c>
      <c r="X10" s="357">
        <f>SUM(X15*$B$10)</f>
        <v>200000</v>
      </c>
      <c r="Y10" s="357">
        <f t="shared" si="44"/>
        <v>210000</v>
      </c>
      <c r="Z10" s="357">
        <f t="shared" si="44"/>
        <v>220500</v>
      </c>
      <c r="AA10" s="357">
        <f t="shared" si="44"/>
        <v>231525</v>
      </c>
      <c r="AB10" s="357">
        <f t="shared" si="44"/>
        <v>243101.25</v>
      </c>
      <c r="AC10" s="357">
        <f t="shared" si="44"/>
        <v>255256.3125</v>
      </c>
      <c r="AD10" s="357">
        <f>SUM(AD15*$B$10)</f>
        <v>400000</v>
      </c>
      <c r="AE10" s="357">
        <f t="shared" si="44"/>
        <v>420000</v>
      </c>
      <c r="AF10" s="357">
        <f t="shared" si="44"/>
        <v>441000</v>
      </c>
      <c r="AG10" s="357">
        <f t="shared" si="44"/>
        <v>463050</v>
      </c>
      <c r="AH10" s="357">
        <f t="shared" si="44"/>
        <v>486202.5</v>
      </c>
      <c r="AI10" s="357">
        <f t="shared" si="44"/>
        <v>510512.625</v>
      </c>
      <c r="AJ10" s="357">
        <f>SUM(AJ15*$B$10)</f>
        <v>800000</v>
      </c>
      <c r="AK10" s="357">
        <f t="shared" si="44"/>
        <v>840000</v>
      </c>
      <c r="AL10" s="357">
        <f t="shared" si="44"/>
        <v>882000</v>
      </c>
      <c r="AM10" s="357">
        <f t="shared" si="44"/>
        <v>926100</v>
      </c>
      <c r="AN10" s="357">
        <f t="shared" si="44"/>
        <v>972405</v>
      </c>
      <c r="AO10" s="357">
        <f t="shared" si="44"/>
        <v>1021025.25</v>
      </c>
      <c r="AP10" s="357">
        <f>SUM(AP15*$B$10)</f>
        <v>1600000</v>
      </c>
      <c r="AQ10" s="357">
        <f t="shared" ref="AQ10" si="45">AP10+(AP10*0.05)</f>
        <v>1680000</v>
      </c>
      <c r="AR10" s="357">
        <f t="shared" ref="AR10" si="46">AQ10+(AQ10*0.05)</f>
        <v>1764000</v>
      </c>
      <c r="AS10" s="357">
        <f>SUM(AS15*$B$10)</f>
        <v>2000000</v>
      </c>
      <c r="AT10" s="357">
        <f t="shared" ref="AT10" si="47">AS10+(AS10*0.05)</f>
        <v>2100000</v>
      </c>
      <c r="AU10" s="357">
        <f t="shared" ref="AU10" si="48">AT10+(AT10*0.05)</f>
        <v>2205000</v>
      </c>
      <c r="AV10" s="357">
        <f>SUM(AV15*$B$10)</f>
        <v>2400000</v>
      </c>
      <c r="AW10" s="357">
        <f t="shared" ref="AW10" si="49">AV10+(AV10*0.05)</f>
        <v>2520000</v>
      </c>
      <c r="AX10" s="357">
        <f t="shared" ref="AX10" si="50">AW10+(AW10*0.05)</f>
        <v>2646000</v>
      </c>
      <c r="AY10" s="357">
        <f>SUM(AY15*$B$10)</f>
        <v>2800000</v>
      </c>
      <c r="AZ10" s="357">
        <f t="shared" ref="AZ10" si="51">AY10+(AY10*0.05)</f>
        <v>2940000</v>
      </c>
      <c r="BA10" s="357">
        <f t="shared" ref="BA10" si="52">AZ10+(AZ10*0.05)</f>
        <v>3087000</v>
      </c>
      <c r="BB10" s="357">
        <f>SUM(BB15*$B$10)</f>
        <v>3600000</v>
      </c>
      <c r="BC10" s="357">
        <f t="shared" ref="BC10" si="53">BB10+(BB10*0.05)</f>
        <v>3780000</v>
      </c>
      <c r="BD10" s="357">
        <f t="shared" ref="BD10" si="54">BC10+(BC10*0.05)</f>
        <v>3969000</v>
      </c>
      <c r="BE10" s="357">
        <f>SUM(BE15*$B$10)</f>
        <v>4000000</v>
      </c>
      <c r="BF10" s="357">
        <f t="shared" ref="BF10" si="55">BE10+(BE10*0.05)</f>
        <v>4200000</v>
      </c>
      <c r="BG10" s="357">
        <f t="shared" ref="BG10" si="56">BF10+(BF10*0.05)</f>
        <v>4410000</v>
      </c>
      <c r="BH10" s="357">
        <f>SUM(BH15*$B$10)</f>
        <v>5600000</v>
      </c>
      <c r="BI10" s="357">
        <f t="shared" ref="BI10" si="57">BH10+(BH10*0.05)</f>
        <v>5880000</v>
      </c>
      <c r="BJ10" s="357">
        <f t="shared" ref="BJ10" si="58">BI10+(BI10*0.05)</f>
        <v>6174000</v>
      </c>
      <c r="BK10" s="357">
        <f t="shared" ref="BK10" si="59">BJ10+(BJ10*0.05)</f>
        <v>6482700</v>
      </c>
      <c r="BL10" s="357">
        <f t="shared" ref="BL10" si="60">BK10+(BK10*0.05)</f>
        <v>6806835</v>
      </c>
      <c r="BM10" s="357">
        <f t="shared" ref="BM10" si="61">BL10+(BL10*0.05)</f>
        <v>7147176.75</v>
      </c>
      <c r="BN10" s="358"/>
      <c r="BO10" s="359"/>
      <c r="BP10" s="360"/>
      <c r="BQ10" s="360"/>
      <c r="BR10" s="360"/>
      <c r="BS10" s="360"/>
      <c r="BT10" s="360"/>
      <c r="BU10" s="360"/>
      <c r="BV10" s="360"/>
      <c r="BW10" s="360"/>
      <c r="BX10" s="360"/>
      <c r="BY10" s="360"/>
      <c r="BZ10" s="360"/>
      <c r="CA10" s="360"/>
      <c r="CB10" s="360"/>
      <c r="CC10" s="360"/>
      <c r="CD10" s="360"/>
      <c r="CE10" s="360"/>
      <c r="CF10" s="360"/>
      <c r="CG10" s="360"/>
      <c r="CH10" s="360"/>
      <c r="CI10" s="360"/>
      <c r="CJ10" s="360"/>
      <c r="CK10" s="360"/>
      <c r="CL10" s="360"/>
      <c r="CM10" s="360"/>
      <c r="CN10" s="360"/>
      <c r="CO10" s="360"/>
      <c r="CP10" s="360"/>
      <c r="CQ10" s="360"/>
      <c r="CR10" s="360"/>
      <c r="CS10" s="360"/>
      <c r="CT10" s="360"/>
      <c r="CU10" s="360"/>
      <c r="CV10" s="360"/>
      <c r="CW10" s="360"/>
      <c r="CX10" s="360"/>
      <c r="CY10" s="360"/>
      <c r="CZ10" s="360"/>
      <c r="DA10" s="360"/>
      <c r="DB10" s="360"/>
      <c r="DC10" s="360"/>
      <c r="DD10" s="360"/>
      <c r="DE10" s="360"/>
      <c r="DF10" s="360"/>
      <c r="DG10" s="360"/>
      <c r="DH10" s="360"/>
      <c r="DI10" s="360"/>
      <c r="DJ10" s="360"/>
    </row>
    <row r="11" spans="1:114" s="234" customFormat="1">
      <c r="A11" s="228"/>
      <c r="B11" s="391"/>
      <c r="C11" s="228" t="s">
        <v>343</v>
      </c>
      <c r="D11" s="235" t="s">
        <v>347</v>
      </c>
      <c r="E11" s="351">
        <v>99.99</v>
      </c>
      <c r="F11" s="351">
        <f>SUM(F12*$E$11)</f>
        <v>0</v>
      </c>
      <c r="G11" s="351">
        <f>SUM(G12*$E$11)</f>
        <v>0</v>
      </c>
      <c r="H11" s="351">
        <f>SUM(H12*$E$11)</f>
        <v>0</v>
      </c>
      <c r="I11" s="351">
        <f>SUM(I12*$E$11)</f>
        <v>0</v>
      </c>
      <c r="J11" s="351">
        <f>SUM(J12*$E$11)</f>
        <v>0</v>
      </c>
      <c r="K11" s="351">
        <f>SUM(K12*$E$11)</f>
        <v>0</v>
      </c>
      <c r="L11" s="351">
        <f>SUM(L12*$E$11)</f>
        <v>249975</v>
      </c>
      <c r="M11" s="351">
        <f>SUM(M12*$E$11)</f>
        <v>262473.75</v>
      </c>
      <c r="N11" s="351">
        <f>SUM(N12*$E$11)</f>
        <v>275597.4375</v>
      </c>
      <c r="O11" s="351">
        <f>SUM(O12*$E$11)</f>
        <v>289377.30937500001</v>
      </c>
      <c r="P11" s="351">
        <f>SUM(P12*$E$11)</f>
        <v>303846.17484374996</v>
      </c>
      <c r="Q11" s="351">
        <f>SUM(Q12*$E$11)</f>
        <v>319038.48358593747</v>
      </c>
      <c r="R11" s="351">
        <f>SUM(R12*$E$11)</f>
        <v>499950</v>
      </c>
      <c r="S11" s="351">
        <f>SUM(S12*$E$11)</f>
        <v>524947.5</v>
      </c>
      <c r="T11" s="351">
        <f>SUM(T12*$E$11)</f>
        <v>551194.875</v>
      </c>
      <c r="U11" s="351">
        <f>SUM(U12*$E$11)</f>
        <v>578754.61875000002</v>
      </c>
      <c r="V11" s="351">
        <f>SUM(V12*$E$11)</f>
        <v>607692.34968749993</v>
      </c>
      <c r="W11" s="351">
        <f>SUM(W12*$E$11)</f>
        <v>638076.96717187495</v>
      </c>
      <c r="X11" s="351">
        <f>SUM(X12*$E$11)</f>
        <v>1249875</v>
      </c>
      <c r="Y11" s="351">
        <f>SUM(Y12*$E$11)</f>
        <v>1312368.75</v>
      </c>
      <c r="Z11" s="351">
        <f>SUM(Z12*$E$11)</f>
        <v>1377987.1875</v>
      </c>
      <c r="AA11" s="351">
        <f>SUM(AA12*$E$11)</f>
        <v>1446886.546875</v>
      </c>
      <c r="AB11" s="351">
        <f>SUM(AB12*$E$11)</f>
        <v>1519230.8742187498</v>
      </c>
      <c r="AC11" s="351">
        <f>SUM(AC12*$E$11)</f>
        <v>1595192.4179296873</v>
      </c>
      <c r="AD11" s="351">
        <f>SUM(AD12*$E$11)</f>
        <v>2499750</v>
      </c>
      <c r="AE11" s="351">
        <f>SUM(AE12*$E$11)</f>
        <v>2624737.5</v>
      </c>
      <c r="AF11" s="351">
        <f>SUM(AF12*$E$11)</f>
        <v>2755974.375</v>
      </c>
      <c r="AG11" s="351">
        <f>SUM(AG12*$E$11)</f>
        <v>2893773.09375</v>
      </c>
      <c r="AH11" s="351">
        <f>SUM(AH12*$E$11)</f>
        <v>3038461.7484374996</v>
      </c>
      <c r="AI11" s="351">
        <f>SUM(AI12*$E$11)</f>
        <v>3190384.8358593746</v>
      </c>
      <c r="AJ11" s="351">
        <f>SUM(AJ12*$E$11)</f>
        <v>4999500</v>
      </c>
      <c r="AK11" s="351">
        <f>SUM(AK12*$E$11)</f>
        <v>5249475</v>
      </c>
      <c r="AL11" s="351">
        <f>SUM(AL12*$E$11)</f>
        <v>5511948.75</v>
      </c>
      <c r="AM11" s="351">
        <f>SUM(AM12*$E$11)</f>
        <v>5787546.1875</v>
      </c>
      <c r="AN11" s="351">
        <f>SUM(AN12*$E$11)</f>
        <v>6076923.4968749993</v>
      </c>
      <c r="AO11" s="351">
        <f>SUM(AO12*$E$11)</f>
        <v>6380769.6717187492</v>
      </c>
      <c r="AP11" s="351">
        <f>SUM(AP12*$E$11)</f>
        <v>9999000</v>
      </c>
      <c r="AQ11" s="351">
        <f>SUM(AQ12*$E$11)</f>
        <v>10498950</v>
      </c>
      <c r="AR11" s="351">
        <f>SUM(AR12*$E$11)</f>
        <v>11023897.5</v>
      </c>
      <c r="AS11" s="351">
        <f>SUM(AS12*$E$11)</f>
        <v>12498750</v>
      </c>
      <c r="AT11" s="351">
        <f>SUM(AT12*$E$11)</f>
        <v>13123687.5</v>
      </c>
      <c r="AU11" s="351">
        <f>SUM(AU12*$E$11)</f>
        <v>13779871.875</v>
      </c>
      <c r="AV11" s="351">
        <f>SUM(AV12*$E$11)</f>
        <v>14998500</v>
      </c>
      <c r="AW11" s="351">
        <f>SUM(AW12*$E$11)</f>
        <v>15748425</v>
      </c>
      <c r="AX11" s="351">
        <f>SUM(AX12*$E$11)</f>
        <v>16535846.25</v>
      </c>
      <c r="AY11" s="351">
        <f>SUM(AY12*$E$11)</f>
        <v>17498250</v>
      </c>
      <c r="AZ11" s="351">
        <f>SUM(AZ12*$E$11)</f>
        <v>18373162.5</v>
      </c>
      <c r="BA11" s="351">
        <f>SUM(BA12*$E$11)</f>
        <v>19291820.625</v>
      </c>
      <c r="BB11" s="351">
        <f>SUM(BB12*$E$11)</f>
        <v>22497750</v>
      </c>
      <c r="BC11" s="351">
        <f>SUM(BC12*$E$11)</f>
        <v>23622637.5</v>
      </c>
      <c r="BD11" s="351">
        <f>SUM(BD12*$E$11)</f>
        <v>24803769.375</v>
      </c>
      <c r="BE11" s="351">
        <f>SUM(BE12*$E$11)</f>
        <v>24997500</v>
      </c>
      <c r="BF11" s="351">
        <f>SUM(BF12*$E$11)</f>
        <v>26247375</v>
      </c>
      <c r="BG11" s="351">
        <f>SUM(BG12*$E$11)</f>
        <v>27559743.75</v>
      </c>
      <c r="BH11" s="351">
        <f>SUM(BH12*$E$11)</f>
        <v>34996500</v>
      </c>
      <c r="BI11" s="351">
        <f>SUM(BI12*$E$11)</f>
        <v>36746325</v>
      </c>
      <c r="BJ11" s="351">
        <f>SUM(BJ12*$E$11)</f>
        <v>38583641.25</v>
      </c>
      <c r="BK11" s="351">
        <f>SUM(BK12*$E$11)</f>
        <v>40512823.3125</v>
      </c>
      <c r="BL11" s="351">
        <f>SUM(BL12*$E$11)</f>
        <v>42538464.478124999</v>
      </c>
      <c r="BM11" s="351">
        <f>SUM(BM12*$E$11)</f>
        <v>44665387.702031247</v>
      </c>
      <c r="BN11" s="322"/>
      <c r="BO11" s="323"/>
      <c r="BP11" s="322"/>
      <c r="BQ11" s="322"/>
      <c r="BR11" s="322"/>
      <c r="BS11" s="322"/>
      <c r="BT11" s="322"/>
      <c r="BU11" s="322"/>
      <c r="BV11" s="322"/>
      <c r="BW11" s="322"/>
      <c r="BX11" s="322"/>
      <c r="BY11" s="322"/>
      <c r="BZ11" s="322"/>
      <c r="CA11" s="322"/>
      <c r="CB11" s="322"/>
      <c r="CC11" s="324"/>
      <c r="CD11" s="324"/>
      <c r="CE11" s="324"/>
      <c r="CF11" s="324"/>
      <c r="CG11" s="324"/>
      <c r="CH11" s="324"/>
      <c r="CI11" s="324"/>
      <c r="CJ11" s="324"/>
      <c r="CK11" s="324"/>
      <c r="CL11" s="324"/>
      <c r="CM11" s="324"/>
      <c r="CN11" s="324"/>
      <c r="CO11" s="324"/>
      <c r="CP11" s="324"/>
      <c r="CQ11" s="324"/>
      <c r="CR11" s="324"/>
      <c r="CS11" s="324"/>
      <c r="CT11" s="324"/>
      <c r="CU11" s="324"/>
      <c r="CV11" s="324"/>
      <c r="CW11" s="324"/>
      <c r="CX11" s="324"/>
      <c r="CY11" s="324"/>
      <c r="CZ11" s="324"/>
      <c r="DA11" s="324"/>
      <c r="DB11" s="324"/>
      <c r="DC11" s="324"/>
      <c r="DD11" s="324"/>
      <c r="DE11" s="324"/>
      <c r="DF11" s="324"/>
      <c r="DG11" s="324"/>
      <c r="DH11" s="324"/>
      <c r="DI11" s="324"/>
      <c r="DJ11" s="324"/>
    </row>
    <row r="12" spans="1:114" s="362" customFormat="1">
      <c r="A12" s="355" t="s">
        <v>345</v>
      </c>
      <c r="B12" s="392">
        <v>0.05</v>
      </c>
      <c r="D12" s="363"/>
      <c r="E12" s="364"/>
      <c r="F12" s="364"/>
      <c r="G12" s="364"/>
      <c r="H12" s="364"/>
      <c r="I12" s="364"/>
      <c r="J12" s="364"/>
      <c r="K12" s="364"/>
      <c r="L12" s="364">
        <f>SUM(L15*$B$12)</f>
        <v>2500</v>
      </c>
      <c r="M12" s="364">
        <f>L12+(L12*0.05)</f>
        <v>2625</v>
      </c>
      <c r="N12" s="364">
        <f t="shared" ref="N12:Q12" si="62">M12+(M12*0.05)</f>
        <v>2756.25</v>
      </c>
      <c r="O12" s="364">
        <f t="shared" si="62"/>
        <v>2894.0625</v>
      </c>
      <c r="P12" s="364">
        <f t="shared" si="62"/>
        <v>3038.765625</v>
      </c>
      <c r="Q12" s="364">
        <f t="shared" si="62"/>
        <v>3190.7039062499998</v>
      </c>
      <c r="R12" s="364">
        <f>SUM(R15*$B$12)</f>
        <v>5000</v>
      </c>
      <c r="S12" s="364">
        <f t="shared" ref="S12" si="63">R12+(R12*0.05)</f>
        <v>5250</v>
      </c>
      <c r="T12" s="364">
        <f t="shared" ref="T12" si="64">S12+(S12*0.05)</f>
        <v>5512.5</v>
      </c>
      <c r="U12" s="364">
        <f t="shared" ref="U12" si="65">T12+(T12*0.05)</f>
        <v>5788.125</v>
      </c>
      <c r="V12" s="364">
        <f t="shared" ref="V12" si="66">U12+(U12*0.05)</f>
        <v>6077.53125</v>
      </c>
      <c r="W12" s="364">
        <f t="shared" ref="W12" si="67">V12+(V12*0.05)</f>
        <v>6381.4078124999996</v>
      </c>
      <c r="X12" s="364">
        <f>SUM(X15*$B$12)</f>
        <v>12500</v>
      </c>
      <c r="Y12" s="364">
        <f t="shared" ref="Y12" si="68">X12+(X12*0.05)</f>
        <v>13125</v>
      </c>
      <c r="Z12" s="364">
        <f t="shared" ref="Z12" si="69">Y12+(Y12*0.05)</f>
        <v>13781.25</v>
      </c>
      <c r="AA12" s="364">
        <f t="shared" ref="AA12" si="70">Z12+(Z12*0.05)</f>
        <v>14470.3125</v>
      </c>
      <c r="AB12" s="364">
        <f t="shared" ref="AB12" si="71">AA12+(AA12*0.05)</f>
        <v>15193.828125</v>
      </c>
      <c r="AC12" s="364">
        <f t="shared" ref="AC12" si="72">AB12+(AB12*0.05)</f>
        <v>15953.51953125</v>
      </c>
      <c r="AD12" s="364">
        <f>SUM(AD15*$B$12)</f>
        <v>25000</v>
      </c>
      <c r="AE12" s="364">
        <f t="shared" ref="AE12" si="73">AD12+(AD12*0.05)</f>
        <v>26250</v>
      </c>
      <c r="AF12" s="364">
        <f t="shared" ref="AF12" si="74">AE12+(AE12*0.05)</f>
        <v>27562.5</v>
      </c>
      <c r="AG12" s="364">
        <f t="shared" ref="AG12" si="75">AF12+(AF12*0.05)</f>
        <v>28940.625</v>
      </c>
      <c r="AH12" s="364">
        <f t="shared" ref="AH12" si="76">AG12+(AG12*0.05)</f>
        <v>30387.65625</v>
      </c>
      <c r="AI12" s="364">
        <f t="shared" ref="AI12" si="77">AH12+(AH12*0.05)</f>
        <v>31907.0390625</v>
      </c>
      <c r="AJ12" s="364">
        <f>SUM(AJ15*$B$12)</f>
        <v>50000</v>
      </c>
      <c r="AK12" s="364">
        <f t="shared" ref="AK12" si="78">AJ12+(AJ12*0.05)</f>
        <v>52500</v>
      </c>
      <c r="AL12" s="364">
        <f t="shared" ref="AL12" si="79">AK12+(AK12*0.05)</f>
        <v>55125</v>
      </c>
      <c r="AM12" s="364">
        <f t="shared" ref="AM12" si="80">AL12+(AL12*0.05)</f>
        <v>57881.25</v>
      </c>
      <c r="AN12" s="364">
        <f t="shared" ref="AN12" si="81">AM12+(AM12*0.05)</f>
        <v>60775.3125</v>
      </c>
      <c r="AO12" s="364">
        <f t="shared" ref="AO12" si="82">AN12+(AN12*0.05)</f>
        <v>63814.078125</v>
      </c>
      <c r="AP12" s="364">
        <f>SUM(AP15*$B$12)</f>
        <v>100000</v>
      </c>
      <c r="AQ12" s="364">
        <f t="shared" ref="AQ12" si="83">AP12+(AP12*0.05)</f>
        <v>105000</v>
      </c>
      <c r="AR12" s="364">
        <f t="shared" ref="AR12" si="84">AQ12+(AQ12*0.05)</f>
        <v>110250</v>
      </c>
      <c r="AS12" s="364">
        <f>SUM(AS15*$B$12)</f>
        <v>125000</v>
      </c>
      <c r="AT12" s="364">
        <f t="shared" ref="AT12" si="85">AS12+(AS12*0.05)</f>
        <v>131250</v>
      </c>
      <c r="AU12" s="364">
        <f t="shared" ref="AU12" si="86">AT12+(AT12*0.05)</f>
        <v>137812.5</v>
      </c>
      <c r="AV12" s="364">
        <f>SUM(AV15*$B$12)</f>
        <v>150000</v>
      </c>
      <c r="AW12" s="364">
        <f t="shared" ref="AW12" si="87">AV12+(AV12*0.05)</f>
        <v>157500</v>
      </c>
      <c r="AX12" s="364">
        <f t="shared" ref="AX12" si="88">AW12+(AW12*0.05)</f>
        <v>165375</v>
      </c>
      <c r="AY12" s="364">
        <f>SUM(AY15*$B$12)</f>
        <v>175000</v>
      </c>
      <c r="AZ12" s="364">
        <f t="shared" ref="AZ12" si="89">AY12+(AY12*0.05)</f>
        <v>183750</v>
      </c>
      <c r="BA12" s="364">
        <f t="shared" ref="BA12" si="90">AZ12+(AZ12*0.05)</f>
        <v>192937.5</v>
      </c>
      <c r="BB12" s="364">
        <f>SUM(BB15*$B$12)</f>
        <v>225000</v>
      </c>
      <c r="BC12" s="364">
        <f t="shared" ref="BC12" si="91">BB12+(BB12*0.05)</f>
        <v>236250</v>
      </c>
      <c r="BD12" s="364">
        <f t="shared" ref="BD12" si="92">BC12+(BC12*0.05)</f>
        <v>248062.5</v>
      </c>
      <c r="BE12" s="364">
        <f>SUM(BE15*$B$12)</f>
        <v>250000</v>
      </c>
      <c r="BF12" s="364">
        <f t="shared" ref="BF12:BG12" si="93">BE12+(BE12*0.05)</f>
        <v>262500</v>
      </c>
      <c r="BG12" s="364">
        <f t="shared" si="93"/>
        <v>275625</v>
      </c>
      <c r="BH12" s="364">
        <f>SUM(BH15*$B$12)</f>
        <v>350000</v>
      </c>
      <c r="BI12" s="364">
        <f t="shared" ref="BI12" si="94">BH12+(BH12*0.05)</f>
        <v>367500</v>
      </c>
      <c r="BJ12" s="364">
        <f t="shared" ref="BJ12" si="95">BI12+(BI12*0.05)</f>
        <v>385875</v>
      </c>
      <c r="BK12" s="364">
        <f t="shared" ref="BK12" si="96">BJ12+(BJ12*0.05)</f>
        <v>405168.75</v>
      </c>
      <c r="BL12" s="364">
        <f t="shared" ref="BL12" si="97">BK12+(BK12*0.05)</f>
        <v>425427.1875</v>
      </c>
      <c r="BM12" s="364">
        <f t="shared" ref="BM12" si="98">BL12+(BL12*0.05)</f>
        <v>446698.546875</v>
      </c>
      <c r="BN12" s="365"/>
      <c r="BO12" s="366"/>
      <c r="BP12" s="365"/>
      <c r="BQ12" s="365"/>
      <c r="BR12" s="365"/>
      <c r="BS12" s="365"/>
      <c r="BT12" s="365"/>
      <c r="BU12" s="365"/>
      <c r="BV12" s="365"/>
      <c r="BW12" s="365"/>
      <c r="BX12" s="365"/>
      <c r="BY12" s="365"/>
      <c r="BZ12" s="365"/>
      <c r="CA12" s="365"/>
      <c r="CB12" s="365"/>
      <c r="CC12" s="365"/>
      <c r="CD12" s="365"/>
      <c r="CE12" s="365"/>
      <c r="CF12" s="365"/>
      <c r="CG12" s="365"/>
      <c r="CH12" s="365"/>
      <c r="CI12" s="365"/>
      <c r="CJ12" s="365"/>
      <c r="CK12" s="365"/>
      <c r="CL12" s="365"/>
      <c r="CM12" s="365"/>
      <c r="CN12" s="365"/>
      <c r="CO12" s="365"/>
      <c r="CP12" s="365"/>
      <c r="CQ12" s="365"/>
      <c r="CR12" s="365"/>
      <c r="CS12" s="365"/>
      <c r="CT12" s="365"/>
      <c r="CU12" s="365"/>
      <c r="CV12" s="365"/>
      <c r="CW12" s="365"/>
      <c r="CX12" s="365"/>
      <c r="CY12" s="365"/>
      <c r="CZ12" s="365"/>
      <c r="DA12" s="365"/>
      <c r="DB12" s="365"/>
      <c r="DC12" s="365"/>
      <c r="DD12" s="365"/>
      <c r="DE12" s="365"/>
      <c r="DF12" s="365"/>
      <c r="DG12" s="365"/>
      <c r="DH12" s="365"/>
      <c r="DI12" s="365"/>
      <c r="DJ12" s="365"/>
    </row>
    <row r="13" spans="1:114" s="232" customFormat="1">
      <c r="A13" s="229"/>
      <c r="B13" s="389"/>
      <c r="C13" s="229"/>
      <c r="D13" s="236"/>
      <c r="E13" s="350"/>
      <c r="F13" s="351"/>
      <c r="G13" s="351"/>
      <c r="H13" s="351"/>
      <c r="I13" s="351"/>
      <c r="J13" s="351"/>
      <c r="K13" s="351"/>
      <c r="L13" s="350"/>
      <c r="M13" s="350"/>
      <c r="N13" s="350"/>
      <c r="O13" s="350"/>
      <c r="P13" s="350"/>
      <c r="Q13" s="350"/>
      <c r="R13" s="350"/>
      <c r="S13" s="350"/>
      <c r="T13" s="350"/>
      <c r="U13" s="350"/>
      <c r="V13" s="350"/>
      <c r="W13" s="350"/>
      <c r="X13" s="350"/>
      <c r="Y13" s="350"/>
      <c r="Z13" s="350"/>
      <c r="AA13" s="350"/>
      <c r="AB13" s="350"/>
      <c r="AC13" s="350"/>
      <c r="AD13" s="350"/>
      <c r="AE13" s="350"/>
      <c r="AF13" s="350"/>
      <c r="AG13" s="350"/>
      <c r="AH13" s="350"/>
      <c r="AI13" s="350"/>
      <c r="AJ13" s="350"/>
      <c r="AK13" s="350"/>
      <c r="AL13" s="350"/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0"/>
      <c r="AY13" s="350"/>
      <c r="AZ13" s="350"/>
      <c r="BA13" s="350"/>
      <c r="BB13" s="350"/>
      <c r="BC13" s="350"/>
      <c r="BD13" s="350"/>
      <c r="BE13" s="350"/>
      <c r="BF13" s="350"/>
      <c r="BG13" s="350"/>
      <c r="BH13" s="350"/>
      <c r="BI13" s="350"/>
      <c r="BJ13" s="350"/>
      <c r="BK13" s="350"/>
      <c r="BL13" s="350"/>
      <c r="BM13" s="350"/>
      <c r="BN13" s="325"/>
      <c r="BO13" s="326"/>
      <c r="BP13" s="238"/>
      <c r="BQ13" s="238"/>
      <c r="BR13" s="238"/>
      <c r="BS13" s="238"/>
      <c r="BT13" s="238"/>
      <c r="BU13" s="238"/>
      <c r="BV13" s="238"/>
      <c r="BW13" s="238"/>
      <c r="BX13" s="238"/>
      <c r="BY13" s="238"/>
      <c r="BZ13" s="238"/>
      <c r="CA13" s="238"/>
      <c r="CB13" s="238"/>
      <c r="CC13" s="327"/>
      <c r="CD13" s="327"/>
      <c r="CE13" s="327"/>
      <c r="CF13" s="327"/>
      <c r="CG13" s="327"/>
      <c r="CH13" s="327"/>
      <c r="CI13" s="327"/>
      <c r="CJ13" s="327"/>
      <c r="CK13" s="327"/>
      <c r="CL13" s="327"/>
      <c r="CM13" s="327"/>
      <c r="CN13" s="327"/>
      <c r="CO13" s="327"/>
      <c r="CP13" s="327"/>
      <c r="CQ13" s="327"/>
      <c r="CR13" s="327"/>
      <c r="CS13" s="327"/>
      <c r="CT13" s="327"/>
      <c r="CU13" s="327"/>
      <c r="CV13" s="327"/>
      <c r="CW13" s="327"/>
      <c r="CX13" s="327"/>
      <c r="CY13" s="327"/>
      <c r="CZ13" s="327"/>
      <c r="DA13" s="327"/>
      <c r="DB13" s="327"/>
      <c r="DC13" s="327"/>
      <c r="DD13" s="327"/>
      <c r="DE13" s="327"/>
      <c r="DF13" s="327"/>
      <c r="DG13" s="327"/>
      <c r="DH13" s="327"/>
      <c r="DI13" s="327"/>
      <c r="DJ13" s="327"/>
    </row>
    <row r="14" spans="1:114" s="372" customFormat="1">
      <c r="A14" s="355"/>
      <c r="B14" s="390"/>
      <c r="C14" s="367"/>
      <c r="D14" s="368"/>
      <c r="E14" s="369"/>
      <c r="F14" s="367"/>
      <c r="G14" s="367"/>
      <c r="H14" s="367"/>
      <c r="I14" s="367"/>
      <c r="J14" s="367"/>
      <c r="K14" s="367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  <c r="AM14" s="385"/>
      <c r="AN14" s="385"/>
      <c r="AO14" s="385"/>
      <c r="AP14" s="385"/>
      <c r="AQ14" s="385"/>
      <c r="AR14" s="385"/>
      <c r="AS14" s="385"/>
      <c r="AT14" s="385"/>
      <c r="AU14" s="385"/>
      <c r="AV14" s="385"/>
      <c r="AW14" s="385"/>
      <c r="AX14" s="385"/>
      <c r="AY14" s="385"/>
      <c r="AZ14" s="385"/>
      <c r="BA14" s="385"/>
      <c r="BB14" s="385"/>
      <c r="BC14" s="385"/>
      <c r="BD14" s="385"/>
      <c r="BE14" s="385"/>
      <c r="BF14" s="385"/>
      <c r="BG14" s="385"/>
      <c r="BH14" s="385"/>
      <c r="BI14" s="385"/>
      <c r="BJ14" s="385"/>
      <c r="BK14" s="385"/>
      <c r="BL14" s="385"/>
      <c r="BM14" s="385"/>
      <c r="BN14" s="367"/>
      <c r="BO14" s="374"/>
    </row>
    <row r="15" spans="1:114" s="309" customFormat="1" ht="15.75">
      <c r="A15" s="310" t="s">
        <v>348</v>
      </c>
      <c r="B15" s="310"/>
      <c r="C15" s="306"/>
      <c r="D15" s="306"/>
      <c r="E15" s="307"/>
      <c r="F15" s="306"/>
      <c r="G15" s="306"/>
      <c r="H15" s="306"/>
      <c r="I15" s="307"/>
      <c r="J15" s="306"/>
      <c r="K15" s="306"/>
      <c r="L15" s="308">
        <v>50000</v>
      </c>
      <c r="M15" s="306"/>
      <c r="N15" s="306"/>
      <c r="O15" s="306"/>
      <c r="P15" s="306"/>
      <c r="Q15" s="306"/>
      <c r="R15" s="308">
        <v>100000</v>
      </c>
      <c r="S15" s="306"/>
      <c r="T15" s="306"/>
      <c r="U15" s="306"/>
      <c r="V15" s="306"/>
      <c r="W15" s="306"/>
      <c r="X15" s="308">
        <v>250000</v>
      </c>
      <c r="Y15" s="306"/>
      <c r="Z15" s="306"/>
      <c r="AA15" s="306"/>
      <c r="AB15" s="306"/>
      <c r="AC15" s="306"/>
      <c r="AD15" s="308">
        <v>500000</v>
      </c>
      <c r="AE15" s="306"/>
      <c r="AF15" s="306"/>
      <c r="AG15" s="306"/>
      <c r="AH15" s="306"/>
      <c r="AI15" s="306"/>
      <c r="AJ15" s="308">
        <v>1000000</v>
      </c>
      <c r="AK15" s="306"/>
      <c r="AL15" s="306"/>
      <c r="AM15" s="306"/>
      <c r="AN15" s="306"/>
      <c r="AO15" s="306"/>
      <c r="AP15" s="279">
        <v>2000000</v>
      </c>
      <c r="AQ15" s="261"/>
      <c r="AR15" s="262"/>
      <c r="AS15" s="279">
        <v>2500000</v>
      </c>
      <c r="AT15" s="263"/>
      <c r="AU15" s="263"/>
      <c r="AV15" s="279">
        <v>3000000</v>
      </c>
      <c r="AW15" s="263"/>
      <c r="AX15" s="263"/>
      <c r="AY15" s="279">
        <v>3500000</v>
      </c>
      <c r="AZ15" s="263"/>
      <c r="BA15" s="263"/>
      <c r="BB15" s="279">
        <v>4500000</v>
      </c>
      <c r="BC15" s="264"/>
      <c r="BD15" s="264"/>
      <c r="BE15" s="279">
        <v>5000000</v>
      </c>
      <c r="BF15" s="264"/>
      <c r="BG15" s="264"/>
      <c r="BH15" s="279">
        <v>7000000</v>
      </c>
      <c r="BI15" s="264"/>
      <c r="BJ15" s="264"/>
      <c r="BK15" s="264"/>
      <c r="BL15" s="264"/>
      <c r="BM15" s="264"/>
      <c r="BN15" s="330"/>
      <c r="BO15" s="307"/>
      <c r="BP15" s="331"/>
      <c r="BQ15" s="330"/>
      <c r="BR15" s="332"/>
      <c r="BS15" s="332"/>
      <c r="BT15" s="330"/>
      <c r="BU15" s="332"/>
      <c r="BV15" s="332"/>
      <c r="BW15" s="330"/>
      <c r="BX15" s="332"/>
      <c r="BY15" s="332"/>
      <c r="BZ15" s="330"/>
      <c r="CA15" s="333"/>
      <c r="CB15" s="333"/>
      <c r="CC15" s="330"/>
      <c r="CD15" s="333"/>
      <c r="CE15" s="333"/>
      <c r="CF15" s="330"/>
      <c r="CG15" s="334"/>
      <c r="CH15" s="334"/>
      <c r="CI15" s="334"/>
      <c r="CJ15" s="334"/>
      <c r="CK15" s="334"/>
      <c r="CL15" s="334"/>
      <c r="CM15" s="334"/>
      <c r="CN15" s="334"/>
      <c r="CO15" s="334"/>
      <c r="CP15" s="334"/>
      <c r="CQ15" s="334"/>
      <c r="CR15" s="334"/>
      <c r="CS15" s="334"/>
      <c r="CT15" s="334"/>
      <c r="CU15" s="334"/>
      <c r="CV15" s="334"/>
      <c r="CW15" s="334"/>
      <c r="CX15" s="334"/>
      <c r="CY15" s="334"/>
      <c r="CZ15" s="334"/>
      <c r="DA15" s="334"/>
      <c r="DB15" s="334"/>
      <c r="DC15" s="334"/>
      <c r="DD15" s="334"/>
      <c r="DE15" s="334"/>
      <c r="DF15" s="334"/>
      <c r="DG15" s="334"/>
      <c r="DH15" s="334"/>
      <c r="DI15" s="334"/>
      <c r="DJ15" s="334"/>
    </row>
    <row r="16" spans="1:114" customFormat="1" ht="13.5" thickBot="1">
      <c r="A16" s="227"/>
      <c r="B16" s="227"/>
      <c r="C16" s="227"/>
      <c r="D16" s="227"/>
      <c r="E16" s="237" t="s">
        <v>349</v>
      </c>
      <c r="F16" s="352">
        <f>SUM(F7+F9+F11+F13)</f>
        <v>0</v>
      </c>
      <c r="G16" s="239">
        <f>SUM(G7+G9+G11+G13)</f>
        <v>0</v>
      </c>
      <c r="H16" s="239">
        <f>SUM(H7+H9+H11+H13)</f>
        <v>0</v>
      </c>
      <c r="I16" s="239">
        <f>SUM(I7+I9+I11+I13)</f>
        <v>0</v>
      </c>
      <c r="J16" s="239">
        <f>SUM(J7+J9+J11+J13)</f>
        <v>0</v>
      </c>
      <c r="K16" s="239">
        <f>SUM(K7+K9+K11+K13)</f>
        <v>0</v>
      </c>
      <c r="L16" s="239">
        <f>SUM(L7+L9+L11+L13)</f>
        <v>1124500</v>
      </c>
      <c r="M16" s="239">
        <f>SUM(M7+M9+M11+M13)</f>
        <v>1180725</v>
      </c>
      <c r="N16" s="239">
        <f>SUM(N7+N9+N11+N13)</f>
        <v>1239761.25</v>
      </c>
      <c r="O16" s="239">
        <f>SUM(O7+O9+O11+O13)</f>
        <v>1301749.3125</v>
      </c>
      <c r="P16" s="239">
        <f>SUM(P7+P9+P11+P13)</f>
        <v>1366836.7781249997</v>
      </c>
      <c r="Q16" s="239">
        <f>SUM(Q7+Q9+Q11+Q13)</f>
        <v>1435178.6170312499</v>
      </c>
      <c r="R16" s="239">
        <f>SUM(R7+R9+R11+R13)</f>
        <v>2249000</v>
      </c>
      <c r="S16" s="239">
        <f>SUM(S7+S9+S11+S13)</f>
        <v>2361450</v>
      </c>
      <c r="T16" s="239">
        <f>SUM(T7+T9+T11+T13)</f>
        <v>2479522.5</v>
      </c>
      <c r="U16" s="239">
        <f>SUM(U7+U9+U11+U13)</f>
        <v>2603498.625</v>
      </c>
      <c r="V16" s="239">
        <f>SUM(V7+V9+V11+V13)</f>
        <v>2733673.5562499994</v>
      </c>
      <c r="W16" s="239">
        <f>SUM(W7+W9+W11+W13)</f>
        <v>2870357.2340624998</v>
      </c>
      <c r="X16" s="239">
        <f>SUM(X7+X9+X11+X13)</f>
        <v>5622500</v>
      </c>
      <c r="Y16" s="239">
        <f>SUM(Y7+Y9+Y11+Y13)</f>
        <v>5903625</v>
      </c>
      <c r="Z16" s="239">
        <f>SUM(Z7+Z9+Z11+Z13)</f>
        <v>6198806.25</v>
      </c>
      <c r="AA16" s="239">
        <f>SUM(AA7+AA9+AA11+AA13)</f>
        <v>6508746.5625</v>
      </c>
      <c r="AB16" s="239">
        <f>SUM(AB7+AB9+AB11+AB13)</f>
        <v>6834183.890625</v>
      </c>
      <c r="AC16" s="239">
        <f>SUM(AC7+AC9+AC11+AC13)</f>
        <v>7175893.0851562498</v>
      </c>
      <c r="AD16" s="239">
        <f>SUM(AD7+AD9+AD11+AD13)</f>
        <v>11245000</v>
      </c>
      <c r="AE16" s="239">
        <f>SUM(AE7+AE9+AE11+AE13)</f>
        <v>11807250</v>
      </c>
      <c r="AF16" s="239">
        <f>SUM(AF7+AF9+AF11+AF13)</f>
        <v>12397612.5</v>
      </c>
      <c r="AG16" s="239">
        <f>SUM(AG7+AG9+AG11+AG13)</f>
        <v>13017493.125</v>
      </c>
      <c r="AH16" s="239">
        <f>SUM(AH7+AH9+AH11+AH13)</f>
        <v>13668367.78125</v>
      </c>
      <c r="AI16" s="239">
        <f>SUM(AI7+AI9+AI11+AI13)</f>
        <v>14351786.1703125</v>
      </c>
      <c r="AJ16" s="239">
        <f>SUM(AJ7+AJ9+AJ11+AJ13)</f>
        <v>22490000</v>
      </c>
      <c r="AK16" s="239">
        <f>SUM(AK7+AK9+AK11+AK13)</f>
        <v>23614500</v>
      </c>
      <c r="AL16" s="239">
        <f>SUM(AL7+AL9+AL11+AL13)</f>
        <v>24795225</v>
      </c>
      <c r="AM16" s="239">
        <f>SUM(AM7+AM9+AM11+AM13)</f>
        <v>26034986.25</v>
      </c>
      <c r="AN16" s="239">
        <f>SUM(AN7+AN9+AN11+AN13)</f>
        <v>27336735.5625</v>
      </c>
      <c r="AO16" s="239">
        <f>SUM(AO7+AO9+AO11+AO13)</f>
        <v>28703572.340624999</v>
      </c>
      <c r="AP16" s="239">
        <f>SUM(AP7+AP9+AP11+AP13)</f>
        <v>44980000</v>
      </c>
      <c r="AQ16" s="239">
        <f>SUM(AQ7+AQ9+AQ11+AQ13)</f>
        <v>47229000</v>
      </c>
      <c r="AR16" s="239">
        <f>SUM(AR7+AR9+AR11+AR13)</f>
        <v>49590450</v>
      </c>
      <c r="AS16" s="239">
        <f>SUM(AS7+AS9+AS11+AS13)</f>
        <v>56225000</v>
      </c>
      <c r="AT16" s="239">
        <f>SUM(AT7+AT9+AT11+AT13)</f>
        <v>59036250</v>
      </c>
      <c r="AU16" s="239">
        <f>SUM(AU7+AU9+AU11+AU13)</f>
        <v>61988062.5</v>
      </c>
      <c r="AV16" s="239">
        <f>SUM(AV7+AV9+AV11+AV13)</f>
        <v>67470000</v>
      </c>
      <c r="AW16" s="239">
        <f>SUM(AW7+AW9+AW11+AW13)</f>
        <v>70843500</v>
      </c>
      <c r="AX16" s="239">
        <f>SUM(AX7+AX9+AX11+AX13)</f>
        <v>74385675</v>
      </c>
      <c r="AY16" s="239">
        <f>SUM(AY7+AY9+AY11+AY13)</f>
        <v>78715000</v>
      </c>
      <c r="AZ16" s="239">
        <f>SUM(AZ7+AZ9+AZ11+AZ13)</f>
        <v>82650750</v>
      </c>
      <c r="BA16" s="239">
        <f>SUM(BA7+BA9+BA11+BA13)</f>
        <v>86783287.5</v>
      </c>
      <c r="BB16" s="239">
        <f>SUM(BB7+BB9+BB11+BB13)</f>
        <v>101205000</v>
      </c>
      <c r="BC16" s="239">
        <f>SUM(BC7+BC9+BC11+BC13)</f>
        <v>106265250</v>
      </c>
      <c r="BD16" s="239">
        <f>SUM(BD7+BD9+BD11+BD13)</f>
        <v>111578512.5</v>
      </c>
      <c r="BE16" s="239">
        <f>SUM(BE7+BE9+BE11+BE13)</f>
        <v>112450000</v>
      </c>
      <c r="BF16" s="239">
        <f>SUM(BF7+BF9+BF11+BF13)</f>
        <v>118072500</v>
      </c>
      <c r="BG16" s="239">
        <f>SUM(BG7+BG9+BG11+BG13)</f>
        <v>123976125</v>
      </c>
      <c r="BH16" s="239">
        <f>SUM(BH7+BH9+BH11+BH13)</f>
        <v>157430000</v>
      </c>
      <c r="BI16" s="239">
        <f>SUM(BI7+BI9+BI11+BI13)</f>
        <v>165301500</v>
      </c>
      <c r="BJ16" s="239">
        <f>SUM(BJ7+BJ9+BJ11+BJ13)</f>
        <v>173566575</v>
      </c>
      <c r="BK16" s="239">
        <f>SUM(BK7+BK9+BK11+BK13)</f>
        <v>182244903.75</v>
      </c>
      <c r="BL16" s="239">
        <f>SUM(BL7+BL9+BL11+BL13)</f>
        <v>191357148.93749997</v>
      </c>
      <c r="BM16" s="239">
        <f>SUM(BM7+BM9+BM11+BM13)</f>
        <v>200925006.38437498</v>
      </c>
      <c r="BN16" s="238"/>
      <c r="BO16" s="335"/>
      <c r="BP16" s="238"/>
      <c r="BQ16" s="238"/>
      <c r="BR16" s="238"/>
      <c r="BS16" s="238"/>
      <c r="BT16" s="238"/>
      <c r="BU16" s="238"/>
      <c r="BV16" s="238"/>
      <c r="BW16" s="238"/>
      <c r="BX16" s="238"/>
      <c r="BY16" s="238"/>
      <c r="BZ16" s="238"/>
      <c r="CA16" s="238"/>
      <c r="CB16" s="23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</row>
    <row r="17" spans="1:114" s="247" customFormat="1">
      <c r="A17" s="211"/>
      <c r="B17" s="211"/>
      <c r="C17" s="210"/>
      <c r="D17" s="206"/>
      <c r="E17" s="21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  <c r="BB17" s="205"/>
      <c r="BC17" s="205"/>
      <c r="BD17" s="205"/>
      <c r="BE17" s="205"/>
      <c r="BF17" s="205"/>
      <c r="BG17" s="205"/>
      <c r="BH17" s="205"/>
      <c r="BI17" s="205"/>
      <c r="BJ17" s="205"/>
      <c r="BK17" s="205"/>
      <c r="BL17" s="205"/>
      <c r="BM17" s="205"/>
      <c r="BN17" s="205"/>
      <c r="BO17" s="213"/>
      <c r="BP17" s="146"/>
      <c r="BQ17" s="146"/>
      <c r="BR17" s="146"/>
      <c r="BS17" s="146"/>
      <c r="BT17" s="146"/>
      <c r="BU17" s="146"/>
      <c r="BV17" s="146"/>
      <c r="BW17" s="146"/>
      <c r="BX17" s="146"/>
      <c r="BY17" s="146"/>
      <c r="BZ17" s="146"/>
      <c r="CA17" s="146"/>
      <c r="CB17" s="146"/>
      <c r="CC17" s="336"/>
      <c r="CD17" s="336"/>
      <c r="CE17" s="336"/>
      <c r="CF17" s="336"/>
      <c r="CG17" s="336"/>
      <c r="CH17" s="336"/>
      <c r="CI17" s="336"/>
      <c r="CJ17" s="336"/>
      <c r="CK17" s="336"/>
      <c r="CL17" s="336"/>
      <c r="CM17" s="336"/>
      <c r="CN17" s="336"/>
      <c r="CO17" s="336"/>
      <c r="CP17" s="336"/>
      <c r="CQ17" s="336"/>
      <c r="CR17" s="336"/>
      <c r="CS17" s="336"/>
      <c r="CT17" s="336"/>
      <c r="CU17" s="336"/>
      <c r="CV17" s="336"/>
      <c r="CW17" s="336"/>
      <c r="CX17" s="336"/>
      <c r="CY17" s="336"/>
      <c r="CZ17" s="336"/>
      <c r="DA17" s="336"/>
      <c r="DB17" s="336"/>
      <c r="DC17" s="336"/>
      <c r="DD17" s="336"/>
      <c r="DE17" s="336"/>
      <c r="DF17" s="336"/>
      <c r="DG17" s="336"/>
      <c r="DH17" s="336"/>
      <c r="DI17" s="336"/>
      <c r="DJ17" s="336"/>
    </row>
    <row r="18" spans="1:114" customFormat="1" ht="13.5" thickBot="1">
      <c r="A18" s="244"/>
      <c r="B18" s="244"/>
      <c r="C18" s="244"/>
      <c r="D18" s="244"/>
      <c r="E18" s="245" t="s">
        <v>350</v>
      </c>
      <c r="F18" s="353">
        <f>SUM(F16+F4)</f>
        <v>-95867.656000000003</v>
      </c>
      <c r="G18" s="353">
        <f>SUM(G16+G4)</f>
        <v>-47427.656000000003</v>
      </c>
      <c r="H18" s="353">
        <f>SUM(H16+H4)</f>
        <v>-50977.656000000003</v>
      </c>
      <c r="I18" s="353">
        <f>SUM(I16+I4)</f>
        <v>-60646.573333333341</v>
      </c>
      <c r="J18" s="353">
        <f>SUM(J16+J4)</f>
        <v>-71546.573333333334</v>
      </c>
      <c r="K18" s="353">
        <f>SUM(K16+K4)</f>
        <v>-59421.573333333341</v>
      </c>
      <c r="L18" s="354">
        <f>SUM(L16+L4)</f>
        <v>1027005.9746666667</v>
      </c>
      <c r="M18" s="354">
        <f>SUM(M16+M4)</f>
        <v>1099975.9746666667</v>
      </c>
      <c r="N18" s="354">
        <f>SUM(N16+N4)</f>
        <v>1149076.7246666667</v>
      </c>
      <c r="O18" s="354">
        <f>SUM(O16+O4)</f>
        <v>1220873.2371666667</v>
      </c>
      <c r="P18" s="354">
        <f>SUM(P16+P4)</f>
        <v>1285887.4977916663</v>
      </c>
      <c r="Q18" s="354">
        <f>SUM(Q16+Q4)</f>
        <v>1327853.8111979165</v>
      </c>
      <c r="R18" s="354">
        <f>SUM(R16+R4)</f>
        <v>1994301.3946666666</v>
      </c>
      <c r="S18" s="354">
        <f>SUM(S16+S4)</f>
        <v>2218776.3946666666</v>
      </c>
      <c r="T18" s="354">
        <f>SUM(T16+T4)</f>
        <v>2330152.8946666666</v>
      </c>
      <c r="U18" s="354">
        <f>SUM(U16+U4)</f>
        <v>2458370.9196666665</v>
      </c>
      <c r="V18" s="354">
        <f>SUM(V16+V4)</f>
        <v>2588399.4409166663</v>
      </c>
      <c r="W18" s="354">
        <f>SUM(W16+W4)</f>
        <v>2720547.0677291667</v>
      </c>
      <c r="X18" s="354">
        <f>SUM(X16+X4)</f>
        <v>5476086.3946666671</v>
      </c>
      <c r="Y18" s="354">
        <f>SUM(Y16+Y4)</f>
        <v>5756936.3946666671</v>
      </c>
      <c r="Z18" s="354">
        <f>SUM(Z16+Z4)</f>
        <v>6047440.1446666671</v>
      </c>
      <c r="AA18" s="354">
        <f>SUM(AA16+AA4)</f>
        <v>6370690.3004999999</v>
      </c>
      <c r="AB18" s="354">
        <f>SUM(AB16+AB4)</f>
        <v>6695761.6036249995</v>
      </c>
      <c r="AC18" s="354">
        <f>SUM(AC16+AC4)</f>
        <v>6997073.1706562499</v>
      </c>
      <c r="AD18" s="354">
        <f>SUM(AD16+AD4)</f>
        <v>10838972.652000001</v>
      </c>
      <c r="AE18" s="354">
        <f>SUM(AE16+AE4)</f>
        <v>11553702.652000001</v>
      </c>
      <c r="AF18" s="354">
        <f>SUM(AF16+AF4)</f>
        <v>12136885.152000001</v>
      </c>
      <c r="AG18" s="354">
        <f>SUM(AG16+AG4)</f>
        <v>12760475.277000001</v>
      </c>
      <c r="AH18" s="354">
        <f>SUM(AH16+AH4)</f>
        <v>13410617.88325</v>
      </c>
      <c r="AI18" s="354">
        <f>SUM(AI16+AI4)</f>
        <v>14088856.017312499</v>
      </c>
      <c r="AJ18" s="354">
        <f>SUM(AJ16+AJ4)</f>
        <v>22229302.651999999</v>
      </c>
      <c r="AK18" s="354">
        <f>SUM(AK16+AK4)</f>
        <v>23352702.651999999</v>
      </c>
      <c r="AL18" s="354">
        <f>SUM(AL16+AL4)</f>
        <v>24527842.651999999</v>
      </c>
      <c r="AM18" s="354">
        <f>SUM(AM16+AM4)</f>
        <v>25770647.901999999</v>
      </c>
      <c r="AN18" s="354">
        <f>SUM(AN16+AN4)</f>
        <v>27070933.114500001</v>
      </c>
      <c r="AO18" s="354">
        <f>SUM(AO16+AO4)</f>
        <v>28371504.382624999</v>
      </c>
      <c r="AP18" s="354">
        <f>SUM(AP16+AP4)</f>
        <v>44386461.516000003</v>
      </c>
      <c r="AQ18" s="354">
        <f>SUM(AQ16+AQ4)</f>
        <v>46805886.516000003</v>
      </c>
      <c r="AR18" s="354">
        <f>SUM(AR16+AR4)</f>
        <v>49159606.516000003</v>
      </c>
      <c r="AS18" s="354">
        <f>SUM(AS16+AS4)</f>
        <v>55795286.516000003</v>
      </c>
      <c r="AT18" s="354">
        <f>SUM(AT16+AT4)</f>
        <v>58605161.516000003</v>
      </c>
      <c r="AU18" s="354">
        <f>SUM(AU16+AU4)</f>
        <v>61551155.266000003</v>
      </c>
      <c r="AV18" s="354">
        <f>SUM(AV16+AV4)</f>
        <v>67034786.516000003</v>
      </c>
      <c r="AW18" s="354">
        <f>SUM(AW16+AW4)</f>
        <v>70406636.516000003</v>
      </c>
      <c r="AX18" s="354">
        <f>SUM(AX16+AX4)</f>
        <v>73942704.016000003</v>
      </c>
      <c r="AY18" s="354">
        <f>SUM(AY16+AY4)</f>
        <v>78274286.516000003</v>
      </c>
      <c r="AZ18" s="354">
        <f>SUM(AZ16+AZ4)</f>
        <v>82208111.516000003</v>
      </c>
      <c r="BA18" s="354">
        <f>SUM(BA16+BA4)</f>
        <v>86249312.766000003</v>
      </c>
      <c r="BB18" s="354">
        <f>SUM(BB16+BB4)</f>
        <v>100409805.97333333</v>
      </c>
      <c r="BC18" s="354">
        <f>SUM(BC16+BC4)</f>
        <v>105657600.97333333</v>
      </c>
      <c r="BD18" s="354">
        <f>SUM(BD16+BD4)</f>
        <v>110961689.72333333</v>
      </c>
      <c r="BE18" s="354">
        <f>SUM(BE16+BE4)</f>
        <v>111837125.97333333</v>
      </c>
      <c r="BF18" s="354">
        <f>SUM(BF16+BF4)</f>
        <v>117456875.97333333</v>
      </c>
      <c r="BG18" s="354">
        <f>SUM(BG16+BG4)</f>
        <v>123353238.47333333</v>
      </c>
      <c r="BH18" s="354">
        <f>SUM(BH16+BH4)</f>
        <v>156795125.97333333</v>
      </c>
      <c r="BI18" s="354">
        <f>SUM(BI16+BI4)</f>
        <v>164662775.97333333</v>
      </c>
      <c r="BJ18" s="354">
        <f>SUM(BJ16+BJ4)</f>
        <v>172919433.47333333</v>
      </c>
      <c r="BK18" s="354">
        <f>SUM(BK16+BK4)</f>
        <v>181597892.59833333</v>
      </c>
      <c r="BL18" s="354">
        <f>SUM(BL16+BL4)</f>
        <v>190705680.92958331</v>
      </c>
      <c r="BM18" s="354">
        <f>SUM(BM16+BM4)</f>
        <v>200154883.67739582</v>
      </c>
      <c r="BN18" s="246"/>
      <c r="BO18" s="337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</row>
    <row r="19" spans="1:114" customFormat="1">
      <c r="A19" s="211"/>
      <c r="B19" s="211"/>
      <c r="C19" s="210"/>
      <c r="D19" s="204"/>
      <c r="E19" s="211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  <c r="BJ19" s="205"/>
      <c r="BK19" s="205"/>
      <c r="BL19" s="205"/>
      <c r="BM19" s="205"/>
      <c r="BN19" s="205"/>
      <c r="BO19" s="213"/>
      <c r="BP19" s="146"/>
      <c r="BQ19" s="146"/>
      <c r="BR19" s="146"/>
      <c r="BS19" s="146"/>
      <c r="BT19" s="146"/>
      <c r="BU19" s="146"/>
      <c r="BV19" s="146"/>
      <c r="BW19" s="146"/>
      <c r="BX19" s="146"/>
      <c r="BY19" s="146"/>
      <c r="BZ19" s="146"/>
      <c r="CA19" s="146"/>
      <c r="CB19" s="146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</row>
    <row r="20" spans="1:114" customFormat="1">
      <c r="A20" s="204"/>
      <c r="B20" s="204"/>
      <c r="C20" s="204"/>
      <c r="D20" s="211"/>
      <c r="E20" s="212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5"/>
      <c r="BC20" s="205"/>
      <c r="BD20" s="205"/>
      <c r="BE20" s="205"/>
      <c r="BF20" s="205"/>
      <c r="BG20" s="205"/>
      <c r="BH20" s="205"/>
      <c r="BI20" s="205"/>
      <c r="BJ20" s="205"/>
      <c r="BK20" s="205"/>
      <c r="BL20" s="205"/>
      <c r="BM20" s="205"/>
      <c r="BN20" s="205"/>
      <c r="BO20" s="213"/>
      <c r="BP20" s="146"/>
      <c r="BQ20" s="146"/>
      <c r="BR20" s="146"/>
      <c r="BS20" s="146"/>
      <c r="BT20" s="146"/>
      <c r="BU20" s="146"/>
      <c r="BV20" s="146"/>
      <c r="BW20" s="146"/>
      <c r="BX20" s="146"/>
      <c r="BY20" s="146"/>
      <c r="BZ20" s="146"/>
      <c r="CA20" s="146"/>
      <c r="CB20" s="146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</row>
    <row r="21" spans="1:114" customFormat="1">
      <c r="A21" s="211"/>
      <c r="B21" s="211"/>
      <c r="C21" s="210"/>
      <c r="D21" s="212"/>
      <c r="E21" s="212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05"/>
      <c r="BC21" s="205"/>
      <c r="BD21" s="205"/>
      <c r="BE21" s="205"/>
      <c r="BF21" s="205"/>
      <c r="BG21" s="205"/>
      <c r="BH21" s="205"/>
      <c r="BI21" s="205"/>
      <c r="BJ21" s="205"/>
      <c r="BK21" s="205"/>
      <c r="BL21" s="205"/>
      <c r="BM21" s="205"/>
      <c r="BN21" s="205"/>
      <c r="BO21" s="213"/>
      <c r="BP21" s="146"/>
      <c r="BQ21" s="317"/>
      <c r="BR21" s="317"/>
      <c r="BS21" s="319"/>
      <c r="BT21" s="319"/>
      <c r="BU21" s="319"/>
      <c r="BV21" s="146"/>
      <c r="BW21" s="146"/>
      <c r="BX21" s="146"/>
      <c r="BY21" s="319"/>
      <c r="BZ21" s="146"/>
      <c r="CA21" s="146"/>
      <c r="CB21" s="146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</row>
    <row r="22" spans="1:114" customFormat="1">
      <c r="A22" s="211"/>
      <c r="B22" s="211"/>
      <c r="C22" s="210"/>
      <c r="D22" s="214"/>
      <c r="E22" s="211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205"/>
      <c r="BG22" s="205"/>
      <c r="BH22" s="205"/>
      <c r="BI22" s="205"/>
      <c r="BJ22" s="205"/>
      <c r="BK22" s="205"/>
      <c r="BL22" s="205"/>
      <c r="BM22" s="205"/>
      <c r="BN22" s="205"/>
      <c r="BO22" s="213"/>
      <c r="BP22" s="146"/>
      <c r="BQ22" s="317"/>
      <c r="BR22" s="317"/>
      <c r="BS22" s="146"/>
      <c r="BT22" s="146"/>
      <c r="BU22" s="146"/>
      <c r="BV22" s="146"/>
      <c r="BW22" s="146"/>
      <c r="BX22" s="146"/>
      <c r="BY22" s="146"/>
      <c r="BZ22" s="146"/>
      <c r="CA22" s="146"/>
      <c r="CB22" s="146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</row>
    <row r="23" spans="1:114" customFormat="1">
      <c r="A23" s="211"/>
      <c r="B23" s="211"/>
      <c r="C23" s="210"/>
      <c r="D23" s="216"/>
      <c r="E23" s="210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5"/>
      <c r="BK23" s="205"/>
      <c r="BL23" s="205"/>
      <c r="BM23" s="205"/>
      <c r="BN23" s="205"/>
      <c r="BO23" s="213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</row>
    <row r="24" spans="1:114" customFormat="1">
      <c r="A24" s="211"/>
      <c r="B24" s="211"/>
      <c r="C24" s="210"/>
      <c r="D24" s="216"/>
      <c r="E24" s="210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  <c r="AV24" s="205"/>
      <c r="AW24" s="205"/>
      <c r="AX24" s="205"/>
      <c r="AY24" s="205"/>
      <c r="AZ24" s="205"/>
      <c r="BA24" s="205"/>
      <c r="BB24" s="205"/>
      <c r="BC24" s="205"/>
      <c r="BD24" s="205"/>
      <c r="BE24" s="205"/>
      <c r="BF24" s="205"/>
      <c r="BG24" s="205"/>
      <c r="BH24" s="205"/>
      <c r="BI24" s="205"/>
      <c r="BJ24" s="205"/>
      <c r="BK24" s="205"/>
      <c r="BL24" s="205"/>
      <c r="BM24" s="205"/>
      <c r="BN24" s="205"/>
      <c r="BO24" s="213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</row>
    <row r="25" spans="1:114" customFormat="1">
      <c r="A25" s="211"/>
      <c r="B25" s="211"/>
      <c r="C25" s="210"/>
      <c r="D25" s="216"/>
      <c r="E25" s="210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13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</row>
    <row r="26" spans="1:114" customFormat="1">
      <c r="A26" s="211"/>
      <c r="B26" s="211"/>
      <c r="C26" s="210"/>
      <c r="D26" s="216"/>
      <c r="E26" s="210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205"/>
      <c r="AW26" s="205"/>
      <c r="AX26" s="205"/>
      <c r="AY26" s="205"/>
      <c r="AZ26" s="205"/>
      <c r="BA26" s="205"/>
      <c r="BB26" s="205"/>
      <c r="BC26" s="205"/>
      <c r="BD26" s="205"/>
      <c r="BE26" s="205"/>
      <c r="BF26" s="205"/>
      <c r="BG26" s="205"/>
      <c r="BH26" s="205"/>
      <c r="BI26" s="205"/>
      <c r="BJ26" s="205"/>
      <c r="BK26" s="205"/>
      <c r="BL26" s="205"/>
      <c r="BM26" s="205"/>
      <c r="BN26" s="205"/>
      <c r="BO26" s="213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</row>
    <row r="27" spans="1:114" customFormat="1">
      <c r="A27" s="211"/>
      <c r="B27" s="211"/>
      <c r="C27" s="210"/>
      <c r="D27" s="216"/>
      <c r="E27" s="210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13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</row>
    <row r="28" spans="1:114" customFormat="1">
      <c r="A28" s="211"/>
      <c r="B28" s="211"/>
      <c r="C28" s="210"/>
      <c r="D28" s="216"/>
      <c r="E28" s="210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  <c r="AV28" s="205"/>
      <c r="AW28" s="205"/>
      <c r="AX28" s="205"/>
      <c r="AY28" s="205"/>
      <c r="AZ28" s="205"/>
      <c r="BA28" s="205"/>
      <c r="BB28" s="205"/>
      <c r="BC28" s="205"/>
      <c r="BD28" s="205"/>
      <c r="BE28" s="205"/>
      <c r="BF28" s="205"/>
      <c r="BG28" s="205"/>
      <c r="BH28" s="205"/>
      <c r="BI28" s="205"/>
      <c r="BJ28" s="205"/>
      <c r="BK28" s="205"/>
      <c r="BL28" s="205"/>
      <c r="BM28" s="205"/>
      <c r="BN28" s="205"/>
      <c r="BO28" s="213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</row>
    <row r="29" spans="1:114" customFormat="1">
      <c r="A29" s="211"/>
      <c r="B29" s="211"/>
      <c r="C29" s="210"/>
      <c r="D29" s="216"/>
      <c r="E29" s="211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5"/>
      <c r="BD29" s="205"/>
      <c r="BE29" s="205"/>
      <c r="BF29" s="205"/>
      <c r="BG29" s="205"/>
      <c r="BH29" s="205"/>
      <c r="BI29" s="205"/>
      <c r="BJ29" s="205"/>
      <c r="BK29" s="205"/>
      <c r="BL29" s="205"/>
      <c r="BM29" s="205"/>
      <c r="BN29" s="205"/>
      <c r="BO29" s="213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</row>
    <row r="30" spans="1:114" customFormat="1">
      <c r="A30" s="211"/>
      <c r="B30" s="211"/>
      <c r="C30" s="210"/>
      <c r="D30" s="216"/>
      <c r="E30" s="211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13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</row>
    <row r="31" spans="1:114" s="167" customFormat="1">
      <c r="A31" s="204"/>
      <c r="B31" s="204"/>
      <c r="C31" s="204"/>
      <c r="D31" s="211"/>
      <c r="E31" s="212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05"/>
      <c r="BB31" s="205"/>
      <c r="BC31" s="205"/>
      <c r="BD31" s="205"/>
      <c r="BE31" s="205"/>
      <c r="BF31" s="205"/>
      <c r="BG31" s="205"/>
      <c r="BH31" s="205"/>
      <c r="BI31" s="205"/>
      <c r="BJ31" s="205"/>
      <c r="BK31" s="205"/>
      <c r="BL31" s="205"/>
      <c r="BM31" s="205"/>
      <c r="BN31" s="205"/>
      <c r="BO31" s="213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329"/>
      <c r="CD31" s="329"/>
      <c r="CE31" s="329"/>
      <c r="CF31" s="329"/>
      <c r="CG31" s="329"/>
      <c r="CH31" s="329"/>
      <c r="CI31" s="329"/>
      <c r="CJ31" s="329"/>
      <c r="CK31" s="329"/>
      <c r="CL31" s="329"/>
      <c r="CM31" s="329"/>
      <c r="CN31" s="329"/>
      <c r="CO31" s="329"/>
      <c r="CP31" s="329"/>
      <c r="CQ31" s="329"/>
      <c r="CR31" s="329"/>
      <c r="CS31" s="329"/>
      <c r="CT31" s="329"/>
      <c r="CU31" s="329"/>
      <c r="CV31" s="329"/>
      <c r="CW31" s="329"/>
      <c r="CX31" s="329"/>
      <c r="CY31" s="329"/>
      <c r="CZ31" s="329"/>
      <c r="DA31" s="329"/>
      <c r="DB31" s="329"/>
      <c r="DC31" s="329"/>
      <c r="DD31" s="329"/>
      <c r="DE31" s="329"/>
      <c r="DF31" s="329"/>
      <c r="DG31" s="329"/>
      <c r="DH31" s="329"/>
      <c r="DI31" s="329"/>
      <c r="DJ31" s="329"/>
    </row>
    <row r="32" spans="1:114" customFormat="1">
      <c r="A32" s="217"/>
      <c r="B32" s="217"/>
      <c r="C32" s="218"/>
      <c r="D32" s="219"/>
      <c r="E32" s="219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0"/>
      <c r="BJ32" s="220"/>
      <c r="BK32" s="220"/>
      <c r="BL32" s="220"/>
      <c r="BM32" s="220"/>
      <c r="BN32" s="220"/>
      <c r="BO32" s="221"/>
      <c r="BP32" s="328"/>
      <c r="BQ32" s="328"/>
      <c r="BR32" s="328"/>
      <c r="BS32" s="328"/>
      <c r="BT32" s="328"/>
      <c r="BU32" s="328"/>
      <c r="BV32" s="328"/>
      <c r="BW32" s="328"/>
      <c r="BX32" s="328"/>
      <c r="BY32" s="328"/>
      <c r="BZ32" s="328"/>
      <c r="CA32" s="328"/>
      <c r="CB32" s="32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</row>
    <row r="33" spans="1:114" customFormat="1">
      <c r="A33" s="211"/>
      <c r="B33" s="211"/>
      <c r="C33" s="210"/>
      <c r="D33" s="214"/>
      <c r="E33" s="211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5"/>
      <c r="BD33" s="205"/>
      <c r="BE33" s="205"/>
      <c r="BF33" s="205"/>
      <c r="BG33" s="205"/>
      <c r="BH33" s="205"/>
      <c r="BI33" s="205"/>
      <c r="BJ33" s="205"/>
      <c r="BK33" s="205"/>
      <c r="BL33" s="205"/>
      <c r="BM33" s="205"/>
      <c r="BN33" s="205"/>
      <c r="BO33" s="213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</row>
    <row r="34" spans="1:114" customFormat="1">
      <c r="A34" s="211"/>
      <c r="B34" s="211"/>
      <c r="C34" s="210"/>
      <c r="D34" s="8"/>
      <c r="E34" s="210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  <c r="BJ34" s="205"/>
      <c r="BK34" s="205"/>
      <c r="BL34" s="205"/>
      <c r="BM34" s="205"/>
      <c r="BN34" s="205"/>
      <c r="BO34" s="213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</row>
    <row r="35" spans="1:114" customFormat="1">
      <c r="A35" s="211"/>
      <c r="B35" s="211"/>
      <c r="C35" s="210"/>
      <c r="D35" s="8"/>
      <c r="E35" s="210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13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</row>
    <row r="36" spans="1:114" customFormat="1">
      <c r="A36" s="211"/>
      <c r="B36" s="211"/>
      <c r="C36" s="210"/>
      <c r="D36" s="8"/>
      <c r="E36" s="210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/>
      <c r="BB36" s="205"/>
      <c r="BC36" s="205"/>
      <c r="BD36" s="205"/>
      <c r="BE36" s="205"/>
      <c r="BF36" s="205"/>
      <c r="BG36" s="205"/>
      <c r="BH36" s="205"/>
      <c r="BI36" s="205"/>
      <c r="BJ36" s="205"/>
      <c r="BK36" s="205"/>
      <c r="BL36" s="205"/>
      <c r="BM36" s="205"/>
      <c r="BN36" s="205"/>
      <c r="BO36" s="213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</row>
    <row r="37" spans="1:114" customFormat="1">
      <c r="A37" s="114"/>
      <c r="B37" s="314" t="s">
        <v>351</v>
      </c>
      <c r="C37" s="313">
        <v>3800000000</v>
      </c>
      <c r="D37" s="8" t="s">
        <v>352</v>
      </c>
      <c r="E37" s="311" t="s">
        <v>353</v>
      </c>
      <c r="F37" s="205" t="s">
        <v>324</v>
      </c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  <c r="BB37" s="205"/>
      <c r="BC37" s="205"/>
      <c r="BD37" s="205"/>
      <c r="BE37" s="205"/>
      <c r="BF37" s="205"/>
      <c r="BG37" s="205"/>
      <c r="BH37" s="205"/>
      <c r="BI37" s="205"/>
      <c r="BJ37" s="205"/>
      <c r="BK37" s="205"/>
      <c r="BL37" s="205"/>
      <c r="BM37" s="205"/>
      <c r="BN37" s="205"/>
      <c r="BO37" s="213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</row>
    <row r="38" spans="1:114" customFormat="1">
      <c r="A38" s="114"/>
      <c r="B38" s="314" t="s">
        <v>354</v>
      </c>
      <c r="C38" s="313">
        <v>1000000000</v>
      </c>
      <c r="D38" s="8" t="s">
        <v>355</v>
      </c>
      <c r="E38" s="311" t="s">
        <v>356</v>
      </c>
      <c r="F38" s="205" t="s">
        <v>324</v>
      </c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13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</row>
    <row r="39" spans="1:114" customFormat="1">
      <c r="A39" s="114"/>
      <c r="B39" s="314" t="s">
        <v>357</v>
      </c>
      <c r="C39" s="313">
        <f>SUM(330200000*0.26)</f>
        <v>85852000</v>
      </c>
      <c r="D39" s="8" t="s">
        <v>358</v>
      </c>
      <c r="E39" s="311" t="s">
        <v>359</v>
      </c>
      <c r="F39" s="315" t="s">
        <v>360</v>
      </c>
      <c r="G39" s="315" t="s">
        <v>361</v>
      </c>
      <c r="H39" s="205" t="s">
        <v>324</v>
      </c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  <c r="AV39" s="205"/>
      <c r="AW39" s="205"/>
      <c r="AX39" s="205"/>
      <c r="AY39" s="205"/>
      <c r="AZ39" s="205"/>
      <c r="BA39" s="205"/>
      <c r="BB39" s="205"/>
      <c r="BC39" s="205"/>
      <c r="BD39" s="205"/>
      <c r="BE39" s="205"/>
      <c r="BF39" s="205"/>
      <c r="BG39" s="205"/>
      <c r="BH39" s="205"/>
      <c r="BI39" s="205"/>
      <c r="BJ39" s="205"/>
      <c r="BK39" s="205"/>
      <c r="BL39" s="205"/>
      <c r="BM39" s="205"/>
      <c r="BN39" s="205"/>
      <c r="BO39" s="213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</row>
    <row r="40" spans="1:114" customFormat="1">
      <c r="A40" s="114"/>
      <c r="B40" s="314" t="s">
        <v>362</v>
      </c>
      <c r="C40" s="313">
        <f>SUM(330200000*0.091)</f>
        <v>30048200</v>
      </c>
      <c r="D40" s="8" t="s">
        <v>363</v>
      </c>
      <c r="E40" s="311" t="s">
        <v>364</v>
      </c>
      <c r="F40" s="315" t="s">
        <v>365</v>
      </c>
      <c r="G40" s="205" t="s">
        <v>324</v>
      </c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05"/>
      <c r="BB40" s="205"/>
      <c r="BC40" s="205"/>
      <c r="BD40" s="205"/>
      <c r="BE40" s="205"/>
      <c r="BF40" s="205"/>
      <c r="BG40" s="205"/>
      <c r="BH40" s="205"/>
      <c r="BI40" s="205"/>
      <c r="BJ40" s="205"/>
      <c r="BK40" s="205"/>
      <c r="BL40" s="205"/>
      <c r="BM40" s="205"/>
      <c r="BN40" s="205"/>
      <c r="BO40" s="213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</row>
    <row r="41" spans="1:114" customFormat="1">
      <c r="A41" s="211"/>
      <c r="B41" s="211"/>
      <c r="C41" s="210"/>
      <c r="D41" s="8"/>
      <c r="E41" s="210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205"/>
      <c r="AU41" s="205"/>
      <c r="AV41" s="205"/>
      <c r="AW41" s="205"/>
      <c r="AX41" s="205"/>
      <c r="AY41" s="205"/>
      <c r="AZ41" s="205"/>
      <c r="BA41" s="205"/>
      <c r="BB41" s="205"/>
      <c r="BC41" s="205"/>
      <c r="BD41" s="205"/>
      <c r="BE41" s="205"/>
      <c r="BF41" s="205"/>
      <c r="BG41" s="205"/>
      <c r="BH41" s="205"/>
      <c r="BI41" s="205"/>
      <c r="BJ41" s="205"/>
      <c r="BK41" s="205"/>
      <c r="BL41" s="205"/>
      <c r="BM41" s="205"/>
      <c r="BN41" s="205"/>
      <c r="BO41" s="213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</row>
    <row r="42" spans="1:114" customFormat="1">
      <c r="A42" s="211"/>
      <c r="B42" s="211"/>
      <c r="C42" s="210"/>
      <c r="D42" s="8"/>
      <c r="E42" s="210"/>
      <c r="F42" s="205"/>
      <c r="G42" s="205"/>
      <c r="H42" s="205"/>
      <c r="I42" s="205"/>
      <c r="J42" s="205"/>
      <c r="K42" s="205"/>
      <c r="L42" s="210"/>
      <c r="M42" s="210"/>
      <c r="N42" s="210"/>
      <c r="O42" s="210"/>
      <c r="P42" s="210"/>
      <c r="Q42" s="210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/>
      <c r="BA42" s="205"/>
      <c r="BB42" s="205"/>
      <c r="BC42" s="205"/>
      <c r="BD42" s="205"/>
      <c r="BE42" s="205"/>
      <c r="BF42" s="205"/>
      <c r="BG42" s="205"/>
      <c r="BH42" s="205"/>
      <c r="BI42" s="205"/>
      <c r="BJ42" s="205"/>
      <c r="BK42" s="205"/>
      <c r="BL42" s="205"/>
      <c r="BM42" s="205"/>
      <c r="BN42" s="205"/>
      <c r="BO42" s="213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</row>
    <row r="43" spans="1:114" customFormat="1">
      <c r="A43" s="211"/>
      <c r="B43" s="211"/>
      <c r="C43" s="210"/>
      <c r="D43" s="8"/>
      <c r="E43" s="210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5"/>
      <c r="BB43" s="205"/>
      <c r="BC43" s="205"/>
      <c r="BD43" s="205"/>
      <c r="BE43" s="205"/>
      <c r="BF43" s="205"/>
      <c r="BG43" s="205"/>
      <c r="BH43" s="205"/>
      <c r="BI43" s="205"/>
      <c r="BJ43" s="205"/>
      <c r="BK43" s="205"/>
      <c r="BL43" s="205"/>
      <c r="BM43" s="205"/>
      <c r="BN43" s="205"/>
      <c r="BO43" s="213"/>
      <c r="BP43" s="141"/>
      <c r="BQ43" s="141"/>
      <c r="BR43" s="141"/>
      <c r="BS43" s="141"/>
      <c r="BT43" s="141"/>
      <c r="BU43" s="141"/>
      <c r="BV43" s="141"/>
      <c r="BW43" s="141"/>
      <c r="BX43" s="141"/>
      <c r="BY43" s="141"/>
      <c r="BZ43" s="141"/>
      <c r="CA43" s="141"/>
      <c r="CB43" s="141"/>
    </row>
    <row r="44" spans="1:114" customFormat="1">
      <c r="A44" s="211"/>
      <c r="B44" s="211"/>
      <c r="C44" s="210"/>
      <c r="D44" s="8"/>
      <c r="E44" s="210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5"/>
      <c r="AX44" s="205"/>
      <c r="AY44" s="205"/>
      <c r="AZ44" s="205"/>
      <c r="BA44" s="205"/>
      <c r="BB44" s="205"/>
      <c r="BC44" s="205"/>
      <c r="BD44" s="205"/>
      <c r="BE44" s="205"/>
      <c r="BF44" s="205"/>
      <c r="BG44" s="205"/>
      <c r="BH44" s="205"/>
      <c r="BI44" s="205"/>
      <c r="BJ44" s="205"/>
      <c r="BK44" s="205"/>
      <c r="BL44" s="205"/>
      <c r="BM44" s="205"/>
      <c r="BN44" s="205"/>
      <c r="BO44" s="213"/>
      <c r="BP44" s="141"/>
      <c r="BQ44" s="141"/>
      <c r="BR44" s="141"/>
      <c r="BS44" s="141"/>
      <c r="BT44" s="141"/>
      <c r="BU44" s="141"/>
      <c r="BV44" s="141"/>
      <c r="BW44" s="141"/>
      <c r="BX44" s="141"/>
      <c r="BY44" s="141"/>
      <c r="BZ44" s="141"/>
      <c r="CA44" s="141"/>
      <c r="CB44" s="141"/>
    </row>
    <row r="45" spans="1:114" customFormat="1">
      <c r="A45" s="211"/>
      <c r="B45" s="211"/>
      <c r="C45" s="210"/>
      <c r="D45" s="206"/>
      <c r="E45" s="210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05"/>
      <c r="AZ45" s="205"/>
      <c r="BA45" s="205"/>
      <c r="BB45" s="205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  <c r="BO45" s="213"/>
      <c r="BP45" s="141"/>
      <c r="BQ45" s="141"/>
      <c r="BR45" s="141"/>
      <c r="BS45" s="141"/>
      <c r="BT45" s="141"/>
      <c r="BU45" s="141"/>
      <c r="BV45" s="141"/>
      <c r="BW45" s="141"/>
      <c r="BX45" s="141"/>
      <c r="BY45" s="141"/>
      <c r="BZ45" s="141"/>
      <c r="CA45" s="141"/>
      <c r="CB45" s="141"/>
    </row>
    <row r="46" spans="1:114" customFormat="1">
      <c r="A46" s="211"/>
      <c r="B46" s="211"/>
      <c r="C46" s="210"/>
      <c r="D46" s="216"/>
      <c r="E46" s="210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5"/>
      <c r="AX46" s="205"/>
      <c r="AY46" s="205"/>
      <c r="AZ46" s="205"/>
      <c r="BA46" s="205"/>
      <c r="BB46" s="205"/>
      <c r="BC46" s="205"/>
      <c r="BD46" s="205"/>
      <c r="BE46" s="205"/>
      <c r="BF46" s="205"/>
      <c r="BG46" s="205"/>
      <c r="BH46" s="205"/>
      <c r="BI46" s="205"/>
      <c r="BJ46" s="205"/>
      <c r="BK46" s="205"/>
      <c r="BL46" s="205"/>
      <c r="BM46" s="205"/>
      <c r="BN46" s="205"/>
      <c r="BO46" s="213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</row>
    <row r="47" spans="1:114" customFormat="1">
      <c r="A47" s="211"/>
      <c r="B47" s="211"/>
      <c r="C47" s="210"/>
      <c r="D47" s="216"/>
      <c r="E47" s="210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  <c r="AV47" s="205"/>
      <c r="AW47" s="205"/>
      <c r="AX47" s="205"/>
      <c r="AY47" s="205"/>
      <c r="AZ47" s="205"/>
      <c r="BA47" s="205"/>
      <c r="BB47" s="205"/>
      <c r="BC47" s="205"/>
      <c r="BD47" s="205"/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  <c r="BO47" s="213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</row>
    <row r="48" spans="1:114" customFormat="1">
      <c r="A48" s="211"/>
      <c r="B48" s="211"/>
      <c r="C48" s="210"/>
      <c r="D48" s="216"/>
      <c r="E48" s="210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5"/>
      <c r="AX48" s="205"/>
      <c r="AY48" s="205"/>
      <c r="AZ48" s="205"/>
      <c r="BA48" s="205"/>
      <c r="BB48" s="205"/>
      <c r="BC48" s="205"/>
      <c r="BD48" s="205"/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  <c r="BO48" s="213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</row>
    <row r="49" spans="1:80" customFormat="1">
      <c r="A49" s="211"/>
      <c r="B49" s="211"/>
      <c r="C49" s="210"/>
      <c r="D49" s="216"/>
      <c r="E49" s="210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13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</row>
    <row r="50" spans="1:80" customFormat="1">
      <c r="A50" s="211"/>
      <c r="B50" s="211"/>
      <c r="C50" s="210"/>
      <c r="D50" s="216"/>
      <c r="E50" s="210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13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</row>
    <row r="51" spans="1:80" customFormat="1">
      <c r="A51" s="211"/>
      <c r="B51" s="211"/>
      <c r="C51" s="210"/>
      <c r="D51" s="216"/>
      <c r="E51" s="210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  <c r="BO51" s="213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</row>
    <row r="52" spans="1:80" customFormat="1">
      <c r="A52" s="211"/>
      <c r="B52" s="211"/>
      <c r="C52" s="210"/>
      <c r="D52" s="216"/>
      <c r="E52" s="21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5"/>
      <c r="BI52" s="205"/>
      <c r="BJ52" s="205"/>
      <c r="BK52" s="205"/>
      <c r="BL52" s="205"/>
      <c r="BM52" s="205"/>
      <c r="BN52" s="205"/>
      <c r="BO52" s="213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</row>
    <row r="53" spans="1:80" customFormat="1">
      <c r="A53" s="211"/>
      <c r="B53" s="211"/>
      <c r="C53" s="210"/>
      <c r="D53" s="216"/>
      <c r="E53" s="21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205"/>
      <c r="AX53" s="205"/>
      <c r="AY53" s="205"/>
      <c r="AZ53" s="205"/>
      <c r="BA53" s="205"/>
      <c r="BB53" s="205"/>
      <c r="BC53" s="205"/>
      <c r="BD53" s="205"/>
      <c r="BE53" s="205"/>
      <c r="BF53" s="205"/>
      <c r="BG53" s="205"/>
      <c r="BH53" s="205"/>
      <c r="BI53" s="205"/>
      <c r="BJ53" s="205"/>
      <c r="BK53" s="205"/>
      <c r="BL53" s="205"/>
      <c r="BM53" s="205"/>
      <c r="BN53" s="205"/>
      <c r="BO53" s="213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</row>
    <row r="54" spans="1:80" customFormat="1">
      <c r="A54" s="211"/>
      <c r="B54" s="211"/>
      <c r="C54" s="210"/>
      <c r="D54" s="8"/>
      <c r="E54" s="222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5"/>
      <c r="AX54" s="205"/>
      <c r="AY54" s="205"/>
      <c r="AZ54" s="205"/>
      <c r="BA54" s="205"/>
      <c r="BB54" s="205"/>
      <c r="BC54" s="205"/>
      <c r="BD54" s="205"/>
      <c r="BE54" s="205"/>
      <c r="BF54" s="205"/>
      <c r="BG54" s="205"/>
      <c r="BH54" s="205"/>
      <c r="BI54" s="205"/>
      <c r="BJ54" s="205"/>
      <c r="BK54" s="205"/>
      <c r="BL54" s="205"/>
      <c r="BM54" s="205"/>
      <c r="BN54" s="205"/>
      <c r="BO54" s="213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</row>
    <row r="55" spans="1:80" customFormat="1">
      <c r="A55" s="211"/>
      <c r="B55" s="211"/>
      <c r="C55" s="210"/>
      <c r="D55" s="216"/>
      <c r="E55" s="211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205"/>
      <c r="BG55" s="205"/>
      <c r="BH55" s="205"/>
      <c r="BI55" s="205"/>
      <c r="BJ55" s="205"/>
      <c r="BK55" s="205"/>
      <c r="BL55" s="205"/>
      <c r="BM55" s="205"/>
      <c r="BN55" s="205"/>
      <c r="BO55" s="213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</row>
    <row r="56" spans="1:80" customFormat="1">
      <c r="A56" s="211"/>
      <c r="B56" s="211"/>
      <c r="C56" s="210"/>
      <c r="D56" s="214"/>
      <c r="E56" s="211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  <c r="AV56" s="205"/>
      <c r="AW56" s="205"/>
      <c r="AX56" s="205"/>
      <c r="AY56" s="205"/>
      <c r="AZ56" s="205"/>
      <c r="BA56" s="205"/>
      <c r="BB56" s="205"/>
      <c r="BC56" s="205"/>
      <c r="BD56" s="205"/>
      <c r="BE56" s="205"/>
      <c r="BF56" s="205"/>
      <c r="BG56" s="205"/>
      <c r="BH56" s="205"/>
      <c r="BI56" s="205"/>
      <c r="BJ56" s="205"/>
      <c r="BK56" s="205"/>
      <c r="BL56" s="205"/>
      <c r="BM56" s="205"/>
      <c r="BN56" s="205"/>
      <c r="BO56" s="213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</row>
    <row r="57" spans="1:80" customFormat="1">
      <c r="A57" s="211"/>
      <c r="B57" s="211"/>
      <c r="C57" s="210"/>
      <c r="D57" s="216"/>
      <c r="E57" s="210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5"/>
      <c r="AV57" s="205"/>
      <c r="AW57" s="205"/>
      <c r="AX57" s="205"/>
      <c r="AY57" s="205"/>
      <c r="AZ57" s="205"/>
      <c r="BA57" s="205"/>
      <c r="BB57" s="205"/>
      <c r="BC57" s="205"/>
      <c r="BD57" s="205"/>
      <c r="BE57" s="205"/>
      <c r="BF57" s="205"/>
      <c r="BG57" s="205"/>
      <c r="BH57" s="205"/>
      <c r="BI57" s="205"/>
      <c r="BJ57" s="205"/>
      <c r="BK57" s="205"/>
      <c r="BL57" s="205"/>
      <c r="BM57" s="205"/>
      <c r="BN57" s="205"/>
      <c r="BO57" s="213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</row>
    <row r="58" spans="1:80" customFormat="1">
      <c r="A58" s="211"/>
      <c r="B58" s="211"/>
      <c r="C58" s="210"/>
      <c r="D58" s="8"/>
      <c r="E58" s="210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  <c r="AV58" s="205"/>
      <c r="AW58" s="205"/>
      <c r="AX58" s="205"/>
      <c r="AY58" s="205"/>
      <c r="AZ58" s="205"/>
      <c r="BA58" s="205"/>
      <c r="BB58" s="205"/>
      <c r="BC58" s="205"/>
      <c r="BD58" s="205"/>
      <c r="BE58" s="205"/>
      <c r="BF58" s="205"/>
      <c r="BG58" s="205"/>
      <c r="BH58" s="205"/>
      <c r="BI58" s="205"/>
      <c r="BJ58" s="205"/>
      <c r="BK58" s="205"/>
      <c r="BL58" s="205"/>
      <c r="BM58" s="205"/>
      <c r="BN58" s="205"/>
      <c r="BO58" s="213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</row>
    <row r="59" spans="1:80" customFormat="1">
      <c r="A59" s="211"/>
      <c r="B59" s="211"/>
      <c r="C59" s="210"/>
      <c r="D59" s="8"/>
      <c r="E59" s="210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05"/>
      <c r="AZ59" s="205"/>
      <c r="BA59" s="205"/>
      <c r="BB59" s="205"/>
      <c r="BC59" s="205"/>
      <c r="BD59" s="205"/>
      <c r="BE59" s="205"/>
      <c r="BF59" s="205"/>
      <c r="BG59" s="205"/>
      <c r="BH59" s="205"/>
      <c r="BI59" s="205"/>
      <c r="BJ59" s="205"/>
      <c r="BK59" s="205"/>
      <c r="BL59" s="205"/>
      <c r="BM59" s="205"/>
      <c r="BN59" s="205"/>
      <c r="BO59" s="213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</row>
    <row r="60" spans="1:80" customFormat="1">
      <c r="A60" s="211"/>
      <c r="B60" s="211"/>
      <c r="C60" s="210"/>
      <c r="D60" s="8"/>
      <c r="E60" s="210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  <c r="AV60" s="205"/>
      <c r="AW60" s="205"/>
      <c r="AX60" s="205"/>
      <c r="AY60" s="205"/>
      <c r="AZ60" s="205"/>
      <c r="BA60" s="205"/>
      <c r="BB60" s="205"/>
      <c r="BC60" s="205"/>
      <c r="BD60" s="205"/>
      <c r="BE60" s="205"/>
      <c r="BF60" s="205"/>
      <c r="BG60" s="205"/>
      <c r="BH60" s="205"/>
      <c r="BI60" s="205"/>
      <c r="BJ60" s="205"/>
      <c r="BK60" s="205"/>
      <c r="BL60" s="205"/>
      <c r="BM60" s="205"/>
      <c r="BN60" s="205"/>
      <c r="BO60" s="213"/>
      <c r="BP60" s="141"/>
      <c r="BQ60" s="141"/>
      <c r="BR60" s="141"/>
      <c r="BS60" s="141"/>
      <c r="BT60" s="141"/>
      <c r="BU60" s="141"/>
      <c r="BV60" s="141"/>
      <c r="BW60" s="141"/>
      <c r="BX60" s="141"/>
      <c r="BY60" s="141"/>
      <c r="BZ60" s="141"/>
      <c r="CA60" s="141"/>
      <c r="CB60" s="141"/>
    </row>
    <row r="61" spans="1:80" customFormat="1">
      <c r="A61" s="211"/>
      <c r="B61" s="211"/>
      <c r="C61" s="210"/>
      <c r="D61" s="8"/>
      <c r="E61" s="210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205"/>
      <c r="BE61" s="205"/>
      <c r="BF61" s="205"/>
      <c r="BG61" s="205"/>
      <c r="BH61" s="205"/>
      <c r="BI61" s="205"/>
      <c r="BJ61" s="205"/>
      <c r="BK61" s="205"/>
      <c r="BL61" s="205"/>
      <c r="BM61" s="205"/>
      <c r="BN61" s="205"/>
      <c r="BO61" s="213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</row>
    <row r="62" spans="1:80" customFormat="1">
      <c r="A62" s="211"/>
      <c r="B62" s="211"/>
      <c r="C62" s="210"/>
      <c r="D62" s="8"/>
      <c r="E62" s="210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  <c r="BC62" s="205"/>
      <c r="BD62" s="205"/>
      <c r="BE62" s="205"/>
      <c r="BF62" s="205"/>
      <c r="BG62" s="205"/>
      <c r="BH62" s="205"/>
      <c r="BI62" s="205"/>
      <c r="BJ62" s="205"/>
      <c r="BK62" s="205"/>
      <c r="BL62" s="205"/>
      <c r="BM62" s="205"/>
      <c r="BN62" s="205"/>
      <c r="BO62" s="213"/>
      <c r="BP62" s="141"/>
      <c r="BQ62" s="141"/>
      <c r="BR62" s="141"/>
      <c r="BS62" s="141"/>
      <c r="BT62" s="141"/>
      <c r="BU62" s="141"/>
      <c r="BV62" s="141"/>
      <c r="BW62" s="141"/>
      <c r="BX62" s="141"/>
      <c r="BY62" s="141"/>
      <c r="BZ62" s="141"/>
      <c r="CA62" s="141"/>
      <c r="CB62" s="141"/>
    </row>
    <row r="63" spans="1:80" customFormat="1">
      <c r="A63" s="211"/>
      <c r="B63" s="211"/>
      <c r="C63" s="210"/>
      <c r="D63" s="8"/>
      <c r="E63" s="210"/>
      <c r="F63" s="223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5"/>
      <c r="AW63" s="205"/>
      <c r="AX63" s="205"/>
      <c r="AY63" s="205"/>
      <c r="AZ63" s="205"/>
      <c r="BA63" s="205"/>
      <c r="BB63" s="205"/>
      <c r="BC63" s="205"/>
      <c r="BD63" s="205"/>
      <c r="BE63" s="205"/>
      <c r="BF63" s="205"/>
      <c r="BG63" s="205"/>
      <c r="BH63" s="205"/>
      <c r="BI63" s="205"/>
      <c r="BJ63" s="205"/>
      <c r="BK63" s="205"/>
      <c r="BL63" s="205"/>
      <c r="BM63" s="205"/>
      <c r="BN63" s="205"/>
      <c r="BO63" s="213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1"/>
      <c r="CB63" s="141"/>
    </row>
    <row r="64" spans="1:80" customFormat="1">
      <c r="A64" s="211"/>
      <c r="B64" s="211"/>
      <c r="C64" s="210"/>
      <c r="D64" s="8"/>
      <c r="E64" s="21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5"/>
      <c r="BA64" s="205"/>
      <c r="BB64" s="205"/>
      <c r="BC64" s="205"/>
      <c r="BD64" s="205"/>
      <c r="BE64" s="205"/>
      <c r="BF64" s="205"/>
      <c r="BG64" s="205"/>
      <c r="BH64" s="205"/>
      <c r="BI64" s="205"/>
      <c r="BJ64" s="205"/>
      <c r="BK64" s="205"/>
      <c r="BL64" s="205"/>
      <c r="BM64" s="205"/>
      <c r="BN64" s="205"/>
      <c r="BO64" s="213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</row>
    <row r="65" spans="1:80" customFormat="1">
      <c r="A65" s="211"/>
      <c r="B65" s="211"/>
      <c r="C65" s="210"/>
      <c r="D65" s="8"/>
      <c r="E65" s="211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5"/>
      <c r="BC65" s="205"/>
      <c r="BD65" s="205"/>
      <c r="BE65" s="205"/>
      <c r="BF65" s="205"/>
      <c r="BG65" s="205"/>
      <c r="BH65" s="205"/>
      <c r="BI65" s="205"/>
      <c r="BJ65" s="205"/>
      <c r="BK65" s="205"/>
      <c r="BL65" s="205"/>
      <c r="BM65" s="205"/>
      <c r="BN65" s="205"/>
      <c r="BO65" s="213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</row>
    <row r="66" spans="1:80" customFormat="1">
      <c r="A66" s="211"/>
      <c r="B66" s="211"/>
      <c r="C66" s="210"/>
      <c r="D66" s="214"/>
      <c r="E66" s="211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205"/>
      <c r="AX66" s="205"/>
      <c r="AY66" s="205"/>
      <c r="AZ66" s="205"/>
      <c r="BA66" s="205"/>
      <c r="BB66" s="205"/>
      <c r="BC66" s="205"/>
      <c r="BD66" s="205"/>
      <c r="BE66" s="205"/>
      <c r="BF66" s="205"/>
      <c r="BG66" s="205"/>
      <c r="BH66" s="205"/>
      <c r="BI66" s="205"/>
      <c r="BJ66" s="205"/>
      <c r="BK66" s="205"/>
      <c r="BL66" s="205"/>
      <c r="BM66" s="205"/>
      <c r="BN66" s="205"/>
      <c r="BO66" s="213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</row>
    <row r="67" spans="1:80" customFormat="1">
      <c r="A67" s="211"/>
      <c r="B67" s="211"/>
      <c r="C67" s="210"/>
      <c r="D67" s="8"/>
      <c r="E67" s="210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05"/>
      <c r="BA67" s="205"/>
      <c r="BB67" s="205"/>
      <c r="BC67" s="205"/>
      <c r="BD67" s="205"/>
      <c r="BE67" s="205"/>
      <c r="BF67" s="205"/>
      <c r="BG67" s="205"/>
      <c r="BH67" s="205"/>
      <c r="BI67" s="205"/>
      <c r="BJ67" s="205"/>
      <c r="BK67" s="205"/>
      <c r="BL67" s="205"/>
      <c r="BM67" s="205"/>
      <c r="BN67" s="205"/>
      <c r="BO67" s="213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</row>
    <row r="68" spans="1:80" customFormat="1">
      <c r="A68" s="211"/>
      <c r="B68" s="211"/>
      <c r="C68" s="210"/>
      <c r="D68" s="8"/>
      <c r="E68" s="210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05"/>
      <c r="BA68" s="205"/>
      <c r="BB68" s="205"/>
      <c r="BC68" s="205"/>
      <c r="BD68" s="205"/>
      <c r="BE68" s="205"/>
      <c r="BF68" s="205"/>
      <c r="BG68" s="205"/>
      <c r="BH68" s="205"/>
      <c r="BI68" s="205"/>
      <c r="BJ68" s="205"/>
      <c r="BK68" s="205"/>
      <c r="BL68" s="205"/>
      <c r="BM68" s="205"/>
      <c r="BN68" s="205"/>
      <c r="BO68" s="213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</row>
    <row r="69" spans="1:80" customFormat="1">
      <c r="A69" s="211"/>
      <c r="B69" s="211"/>
      <c r="C69" s="210"/>
      <c r="D69" s="8"/>
      <c r="E69" s="210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5"/>
      <c r="BI69" s="205"/>
      <c r="BJ69" s="205"/>
      <c r="BK69" s="205"/>
      <c r="BL69" s="205"/>
      <c r="BM69" s="205"/>
      <c r="BN69" s="205"/>
      <c r="BO69" s="213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</row>
    <row r="70" spans="1:80" customFormat="1">
      <c r="A70" s="211"/>
      <c r="B70" s="211"/>
      <c r="C70" s="210"/>
      <c r="D70" s="8"/>
      <c r="E70" s="210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  <c r="AV70" s="205"/>
      <c r="AW70" s="205"/>
      <c r="AX70" s="205"/>
      <c r="AY70" s="205"/>
      <c r="AZ70" s="205"/>
      <c r="BA70" s="205"/>
      <c r="BB70" s="205"/>
      <c r="BC70" s="205"/>
      <c r="BD70" s="205"/>
      <c r="BE70" s="205"/>
      <c r="BF70" s="205"/>
      <c r="BG70" s="205"/>
      <c r="BH70" s="205"/>
      <c r="BI70" s="205"/>
      <c r="BJ70" s="205"/>
      <c r="BK70" s="205"/>
      <c r="BL70" s="205"/>
      <c r="BM70" s="205"/>
      <c r="BN70" s="205"/>
      <c r="BO70" s="213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</row>
    <row r="71" spans="1:80" customFormat="1">
      <c r="A71" s="211"/>
      <c r="B71" s="211"/>
      <c r="C71" s="210"/>
      <c r="D71" s="8"/>
      <c r="E71" s="210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205"/>
      <c r="BA71" s="205"/>
      <c r="BB71" s="205"/>
      <c r="BC71" s="205"/>
      <c r="BD71" s="205"/>
      <c r="BE71" s="205"/>
      <c r="BF71" s="205"/>
      <c r="BG71" s="205"/>
      <c r="BH71" s="205"/>
      <c r="BI71" s="205"/>
      <c r="BJ71" s="205"/>
      <c r="BK71" s="205"/>
      <c r="BL71" s="205"/>
      <c r="BM71" s="205"/>
      <c r="BN71" s="205"/>
      <c r="BO71" s="213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</row>
    <row r="72" spans="1:80" customFormat="1">
      <c r="A72" s="211"/>
      <c r="B72" s="211"/>
      <c r="C72" s="210"/>
      <c r="D72" s="8"/>
      <c r="E72" s="210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  <c r="AV72" s="205"/>
      <c r="AW72" s="205"/>
      <c r="AX72" s="205"/>
      <c r="AY72" s="205"/>
      <c r="AZ72" s="205"/>
      <c r="BA72" s="205"/>
      <c r="BB72" s="205"/>
      <c r="BC72" s="205"/>
      <c r="BD72" s="205"/>
      <c r="BE72" s="205"/>
      <c r="BF72" s="205"/>
      <c r="BG72" s="205"/>
      <c r="BH72" s="205"/>
      <c r="BI72" s="205"/>
      <c r="BJ72" s="205"/>
      <c r="BK72" s="205"/>
      <c r="BL72" s="205"/>
      <c r="BM72" s="205"/>
      <c r="BN72" s="205"/>
      <c r="BO72" s="213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</row>
    <row r="73" spans="1:80" customFormat="1">
      <c r="A73" s="211"/>
      <c r="B73" s="211"/>
      <c r="C73" s="210"/>
      <c r="D73" s="8"/>
      <c r="E73" s="210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205"/>
      <c r="BB73" s="205"/>
      <c r="BC73" s="205"/>
      <c r="BD73" s="205"/>
      <c r="BE73" s="205"/>
      <c r="BF73" s="205"/>
      <c r="BG73" s="205"/>
      <c r="BH73" s="205"/>
      <c r="BI73" s="205"/>
      <c r="BJ73" s="205"/>
      <c r="BK73" s="205"/>
      <c r="BL73" s="205"/>
      <c r="BM73" s="205"/>
      <c r="BN73" s="205"/>
      <c r="BO73" s="213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</row>
    <row r="74" spans="1:80" customFormat="1">
      <c r="A74" s="211"/>
      <c r="B74" s="211"/>
      <c r="C74" s="210"/>
      <c r="D74" s="8"/>
      <c r="E74" s="210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5"/>
      <c r="BI74" s="205"/>
      <c r="BJ74" s="205"/>
      <c r="BK74" s="205"/>
      <c r="BL74" s="205"/>
      <c r="BM74" s="205"/>
      <c r="BN74" s="205"/>
      <c r="BO74" s="213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</row>
    <row r="75" spans="1:80" customFormat="1">
      <c r="A75" s="211"/>
      <c r="B75" s="211"/>
      <c r="C75" s="210"/>
      <c r="D75" s="8"/>
      <c r="E75" s="210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  <c r="BI75" s="205"/>
      <c r="BJ75" s="205"/>
      <c r="BK75" s="205"/>
      <c r="BL75" s="205"/>
      <c r="BM75" s="205"/>
      <c r="BN75" s="205"/>
      <c r="BO75" s="213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</row>
    <row r="76" spans="1:80" customFormat="1">
      <c r="A76" s="211"/>
      <c r="B76" s="211"/>
      <c r="C76" s="210"/>
      <c r="D76" s="8"/>
      <c r="E76" s="210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  <c r="BI76" s="205"/>
      <c r="BJ76" s="205"/>
      <c r="BK76" s="205"/>
      <c r="BL76" s="205"/>
      <c r="BM76" s="205"/>
      <c r="BN76" s="205"/>
      <c r="BO76" s="213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</row>
    <row r="77" spans="1:80" customFormat="1">
      <c r="A77" s="211"/>
      <c r="B77" s="211"/>
      <c r="C77" s="210"/>
      <c r="D77" s="8"/>
      <c r="E77" s="210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4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05"/>
      <c r="BA77" s="205"/>
      <c r="BB77" s="205"/>
      <c r="BC77" s="205"/>
      <c r="BD77" s="205"/>
      <c r="BE77" s="205"/>
      <c r="BF77" s="205"/>
      <c r="BG77" s="205"/>
      <c r="BH77" s="205"/>
      <c r="BI77" s="205"/>
      <c r="BJ77" s="205"/>
      <c r="BK77" s="205"/>
      <c r="BL77" s="205"/>
      <c r="BM77" s="205"/>
      <c r="BN77" s="205"/>
      <c r="BO77" s="213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</row>
    <row r="78" spans="1:80" customFormat="1">
      <c r="A78" s="211"/>
      <c r="B78" s="211"/>
      <c r="C78" s="210"/>
      <c r="D78" s="8"/>
      <c r="E78" s="211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  <c r="BI78" s="205"/>
      <c r="BJ78" s="205"/>
      <c r="BK78" s="205"/>
      <c r="BL78" s="205"/>
      <c r="BM78" s="205"/>
      <c r="BN78" s="205"/>
      <c r="BO78" s="213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</row>
    <row r="79" spans="1:80" customFormat="1">
      <c r="A79" s="211"/>
      <c r="B79" s="211"/>
      <c r="C79" s="210"/>
      <c r="D79" s="214"/>
      <c r="E79" s="211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5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  <c r="BI79" s="205"/>
      <c r="BJ79" s="205"/>
      <c r="BK79" s="205"/>
      <c r="BL79" s="205"/>
      <c r="BM79" s="205"/>
      <c r="BN79" s="205"/>
      <c r="BO79" s="213"/>
      <c r="BP79" s="141"/>
      <c r="BQ79" s="141"/>
      <c r="BR79" s="141"/>
      <c r="BS79" s="141"/>
      <c r="BT79" s="141"/>
      <c r="BU79" s="141"/>
      <c r="BV79" s="141"/>
      <c r="BW79" s="141"/>
      <c r="BX79" s="141"/>
      <c r="BY79" s="141"/>
      <c r="BZ79" s="141"/>
      <c r="CA79" s="141"/>
      <c r="CB79" s="141"/>
    </row>
    <row r="80" spans="1:80" customFormat="1">
      <c r="A80" s="211"/>
      <c r="B80" s="211"/>
      <c r="C80" s="210"/>
      <c r="D80" s="8"/>
      <c r="E80" s="210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5"/>
      <c r="BJ80" s="205"/>
      <c r="BK80" s="205"/>
      <c r="BL80" s="205"/>
      <c r="BM80" s="205"/>
      <c r="BN80" s="205"/>
      <c r="BO80" s="213"/>
      <c r="BP80" s="141"/>
      <c r="BQ80" s="141"/>
      <c r="BR80" s="141"/>
      <c r="BS80" s="141"/>
      <c r="BT80" s="141"/>
      <c r="BU80" s="141"/>
      <c r="BV80" s="141"/>
      <c r="BW80" s="141"/>
      <c r="BX80" s="141"/>
      <c r="BY80" s="141"/>
      <c r="BZ80" s="141"/>
      <c r="CA80" s="141"/>
      <c r="CB80" s="141"/>
    </row>
    <row r="81" spans="1:80" customFormat="1">
      <c r="A81" s="211"/>
      <c r="B81" s="211"/>
      <c r="C81" s="210"/>
      <c r="D81" s="8"/>
      <c r="E81" s="21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5"/>
      <c r="BA81" s="205"/>
      <c r="BB81" s="205"/>
      <c r="BC81" s="205"/>
      <c r="BD81" s="205"/>
      <c r="BE81" s="205"/>
      <c r="BF81" s="205"/>
      <c r="BG81" s="205"/>
      <c r="BH81" s="205"/>
      <c r="BI81" s="205"/>
      <c r="BJ81" s="205"/>
      <c r="BK81" s="205"/>
      <c r="BL81" s="205"/>
      <c r="BM81" s="205"/>
      <c r="BN81" s="205"/>
      <c r="BO81" s="213"/>
      <c r="BP81" s="141"/>
      <c r="BQ81" s="141"/>
      <c r="BR81" s="141"/>
      <c r="BS81" s="141"/>
      <c r="BT81" s="141"/>
      <c r="BU81" s="141"/>
      <c r="BV81" s="141"/>
      <c r="BW81" s="141"/>
      <c r="BX81" s="141"/>
      <c r="BY81" s="141"/>
      <c r="BZ81" s="141"/>
      <c r="CA81" s="141"/>
      <c r="CB81" s="141"/>
    </row>
    <row r="82" spans="1:80" customFormat="1">
      <c r="A82" s="211"/>
      <c r="B82" s="211"/>
      <c r="C82" s="210"/>
      <c r="D82" s="8"/>
      <c r="E82" s="210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05"/>
      <c r="BA82" s="205"/>
      <c r="BB82" s="205"/>
      <c r="BC82" s="205"/>
      <c r="BD82" s="205"/>
      <c r="BE82" s="205"/>
      <c r="BF82" s="205"/>
      <c r="BG82" s="205"/>
      <c r="BH82" s="205"/>
      <c r="BI82" s="205"/>
      <c r="BJ82" s="205"/>
      <c r="BK82" s="205"/>
      <c r="BL82" s="205"/>
      <c r="BM82" s="205"/>
      <c r="BN82" s="205"/>
      <c r="BO82" s="213"/>
      <c r="BP82" s="141"/>
      <c r="BQ82" s="141"/>
      <c r="BR82" s="141"/>
      <c r="BS82" s="141"/>
      <c r="BT82" s="141"/>
      <c r="BU82" s="141"/>
      <c r="BV82" s="141"/>
      <c r="BW82" s="141"/>
      <c r="BX82" s="141"/>
      <c r="BY82" s="141"/>
      <c r="BZ82" s="141"/>
      <c r="CA82" s="141"/>
      <c r="CB82" s="141"/>
    </row>
    <row r="83" spans="1:80" customFormat="1">
      <c r="A83" s="211"/>
      <c r="B83" s="211"/>
      <c r="C83" s="210"/>
      <c r="D83" s="8"/>
      <c r="E83" s="210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  <c r="AV83" s="205"/>
      <c r="AW83" s="205"/>
      <c r="AX83" s="205"/>
      <c r="AY83" s="205"/>
      <c r="AZ83" s="205"/>
      <c r="BA83" s="205"/>
      <c r="BB83" s="205"/>
      <c r="BC83" s="205"/>
      <c r="BD83" s="205"/>
      <c r="BE83" s="205"/>
      <c r="BF83" s="205"/>
      <c r="BG83" s="205"/>
      <c r="BH83" s="205"/>
      <c r="BI83" s="205"/>
      <c r="BJ83" s="205"/>
      <c r="BK83" s="205"/>
      <c r="BL83" s="205"/>
      <c r="BM83" s="205"/>
      <c r="BN83" s="205"/>
      <c r="BO83" s="213"/>
      <c r="BP83" s="141"/>
      <c r="BQ83" s="141"/>
      <c r="BR83" s="141"/>
      <c r="BS83" s="141"/>
      <c r="BT83" s="141"/>
      <c r="BU83" s="141"/>
      <c r="BV83" s="141"/>
      <c r="BW83" s="141"/>
      <c r="BX83" s="141"/>
      <c r="BY83" s="141"/>
      <c r="BZ83" s="141"/>
      <c r="CA83" s="141"/>
      <c r="CB83" s="141"/>
    </row>
    <row r="84" spans="1:80" customFormat="1">
      <c r="A84" s="211"/>
      <c r="B84" s="211"/>
      <c r="C84" s="210"/>
      <c r="D84" s="8"/>
      <c r="E84" s="210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5"/>
      <c r="BI84" s="205"/>
      <c r="BJ84" s="205"/>
      <c r="BK84" s="205"/>
      <c r="BL84" s="205"/>
      <c r="BM84" s="205"/>
      <c r="BN84" s="205"/>
      <c r="BO84" s="213"/>
      <c r="BP84" s="141"/>
      <c r="BQ84" s="141"/>
      <c r="BR84" s="141"/>
      <c r="BS84" s="141"/>
      <c r="BT84" s="141"/>
      <c r="BU84" s="141"/>
      <c r="BV84" s="141"/>
      <c r="BW84" s="141"/>
      <c r="BX84" s="141"/>
      <c r="BY84" s="141"/>
      <c r="BZ84" s="141"/>
      <c r="CA84" s="141"/>
      <c r="CB84" s="141"/>
    </row>
    <row r="85" spans="1:80" customFormat="1">
      <c r="A85" s="211"/>
      <c r="B85" s="211"/>
      <c r="C85" s="210"/>
      <c r="D85" s="8"/>
      <c r="E85" s="210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5"/>
      <c r="BI85" s="205"/>
      <c r="BJ85" s="205"/>
      <c r="BK85" s="205"/>
      <c r="BL85" s="205"/>
      <c r="BM85" s="205"/>
      <c r="BN85" s="205"/>
      <c r="BO85" s="213"/>
      <c r="BP85" s="141"/>
      <c r="BQ85" s="141"/>
      <c r="BR85" s="141"/>
      <c r="BS85" s="141"/>
      <c r="BT85" s="141"/>
      <c r="BU85" s="141"/>
      <c r="BV85" s="141"/>
      <c r="BW85" s="141"/>
      <c r="BX85" s="141"/>
      <c r="BY85" s="141"/>
      <c r="BZ85" s="141"/>
      <c r="CA85" s="141"/>
      <c r="CB85" s="141"/>
    </row>
    <row r="86" spans="1:80" customFormat="1">
      <c r="A86" s="211"/>
      <c r="B86" s="211"/>
      <c r="C86" s="210"/>
      <c r="D86" s="8"/>
      <c r="E86" s="210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205"/>
      <c r="AX86" s="205"/>
      <c r="AY86" s="205"/>
      <c r="AZ86" s="205"/>
      <c r="BA86" s="205"/>
      <c r="BB86" s="205"/>
      <c r="BC86" s="205"/>
      <c r="BD86" s="205"/>
      <c r="BE86" s="205"/>
      <c r="BF86" s="205"/>
      <c r="BG86" s="205"/>
      <c r="BH86" s="205"/>
      <c r="BI86" s="205"/>
      <c r="BJ86" s="205"/>
      <c r="BK86" s="205"/>
      <c r="BL86" s="205"/>
      <c r="BM86" s="205"/>
      <c r="BN86" s="205"/>
      <c r="BO86" s="213"/>
      <c r="BP86" s="141"/>
      <c r="BQ86" s="141"/>
      <c r="BR86" s="141"/>
      <c r="BS86" s="141"/>
      <c r="BT86" s="141"/>
      <c r="BU86" s="141"/>
      <c r="BV86" s="141"/>
      <c r="BW86" s="141"/>
      <c r="BX86" s="141"/>
      <c r="BY86" s="141"/>
      <c r="BZ86" s="141"/>
      <c r="CA86" s="141"/>
      <c r="CB86" s="141"/>
    </row>
    <row r="87" spans="1:80" customFormat="1">
      <c r="A87" s="211"/>
      <c r="B87" s="211"/>
      <c r="C87" s="210"/>
      <c r="D87" s="8"/>
      <c r="E87" s="210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  <c r="AT87" s="205"/>
      <c r="AU87" s="205"/>
      <c r="AV87" s="205"/>
      <c r="AW87" s="205"/>
      <c r="AX87" s="205"/>
      <c r="AY87" s="205"/>
      <c r="AZ87" s="205"/>
      <c r="BA87" s="205"/>
      <c r="BB87" s="205"/>
      <c r="BC87" s="205"/>
      <c r="BD87" s="205"/>
      <c r="BE87" s="205"/>
      <c r="BF87" s="205"/>
      <c r="BG87" s="205"/>
      <c r="BH87" s="205"/>
      <c r="BI87" s="205"/>
      <c r="BJ87" s="205"/>
      <c r="BK87" s="205"/>
      <c r="BL87" s="205"/>
      <c r="BM87" s="205"/>
      <c r="BN87" s="205"/>
      <c r="BO87" s="213"/>
      <c r="BP87" s="141"/>
      <c r="BQ87" s="141"/>
      <c r="BR87" s="141"/>
      <c r="BS87" s="141"/>
      <c r="BT87" s="141"/>
      <c r="BU87" s="141"/>
      <c r="BV87" s="141"/>
      <c r="BW87" s="141"/>
      <c r="BX87" s="141"/>
      <c r="BY87" s="141"/>
      <c r="BZ87" s="141"/>
      <c r="CA87" s="141"/>
      <c r="CB87" s="141"/>
    </row>
    <row r="88" spans="1:80" customFormat="1">
      <c r="A88" s="211"/>
      <c r="B88" s="211"/>
      <c r="C88" s="210"/>
      <c r="D88" s="8"/>
      <c r="E88" s="210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5"/>
      <c r="BI88" s="205"/>
      <c r="BJ88" s="205"/>
      <c r="BK88" s="205"/>
      <c r="BL88" s="205"/>
      <c r="BM88" s="205"/>
      <c r="BN88" s="205"/>
      <c r="BO88" s="213"/>
      <c r="BP88" s="141"/>
      <c r="BQ88" s="141"/>
      <c r="BR88" s="141"/>
      <c r="BS88" s="141"/>
      <c r="BT88" s="141"/>
      <c r="BU88" s="141"/>
      <c r="BV88" s="141"/>
      <c r="BW88" s="141"/>
      <c r="BX88" s="141"/>
      <c r="BY88" s="141"/>
      <c r="BZ88" s="141"/>
      <c r="CA88" s="141"/>
      <c r="CB88" s="141"/>
    </row>
    <row r="89" spans="1:80" customFormat="1">
      <c r="A89" s="211"/>
      <c r="B89" s="211"/>
      <c r="C89" s="210"/>
      <c r="D89" s="206"/>
      <c r="E89" s="210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05"/>
      <c r="AV89" s="205"/>
      <c r="AW89" s="205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5"/>
      <c r="BI89" s="205"/>
      <c r="BJ89" s="205"/>
      <c r="BK89" s="205"/>
      <c r="BL89" s="205"/>
      <c r="BM89" s="205"/>
      <c r="BN89" s="205"/>
      <c r="BO89" s="213"/>
      <c r="BP89" s="141"/>
      <c r="BQ89" s="141"/>
      <c r="BR89" s="141"/>
      <c r="BS89" s="141"/>
      <c r="BT89" s="141"/>
      <c r="BU89" s="141"/>
      <c r="BV89" s="141"/>
      <c r="BW89" s="141"/>
      <c r="BX89" s="141"/>
      <c r="BY89" s="141"/>
      <c r="BZ89" s="141"/>
      <c r="CA89" s="141"/>
      <c r="CB89" s="141"/>
    </row>
    <row r="90" spans="1:80" customFormat="1">
      <c r="A90" s="211"/>
      <c r="B90" s="211"/>
      <c r="C90" s="210"/>
      <c r="D90" s="206"/>
      <c r="E90" s="210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5"/>
      <c r="BI90" s="205"/>
      <c r="BJ90" s="205"/>
      <c r="BK90" s="205"/>
      <c r="BL90" s="205"/>
      <c r="BM90" s="205"/>
      <c r="BN90" s="205"/>
      <c r="BO90" s="213"/>
      <c r="BP90" s="141"/>
      <c r="BQ90" s="141"/>
      <c r="BR90" s="141"/>
      <c r="BS90" s="141"/>
      <c r="BT90" s="141"/>
      <c r="BU90" s="141"/>
      <c r="BV90" s="141"/>
      <c r="BW90" s="141"/>
      <c r="BX90" s="141"/>
      <c r="BY90" s="141"/>
      <c r="BZ90" s="141"/>
      <c r="CA90" s="141"/>
      <c r="CB90" s="141"/>
    </row>
    <row r="91" spans="1:80" customFormat="1">
      <c r="A91" s="211"/>
      <c r="B91" s="211"/>
      <c r="C91" s="210"/>
      <c r="D91" s="207"/>
      <c r="E91" s="211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  <c r="AT91" s="205"/>
      <c r="AU91" s="205"/>
      <c r="AV91" s="205"/>
      <c r="AW91" s="205"/>
      <c r="AX91" s="205"/>
      <c r="AY91" s="205"/>
      <c r="AZ91" s="205"/>
      <c r="BA91" s="205"/>
      <c r="BB91" s="205"/>
      <c r="BC91" s="205"/>
      <c r="BD91" s="205"/>
      <c r="BE91" s="205"/>
      <c r="BF91" s="205"/>
      <c r="BG91" s="205"/>
      <c r="BH91" s="205"/>
      <c r="BI91" s="205"/>
      <c r="BJ91" s="205"/>
      <c r="BK91" s="205"/>
      <c r="BL91" s="205"/>
      <c r="BM91" s="205"/>
      <c r="BN91" s="205"/>
      <c r="BO91" s="213"/>
      <c r="BP91" s="141"/>
      <c r="BQ91" s="141"/>
      <c r="BR91" s="141"/>
      <c r="BS91" s="141"/>
      <c r="BT91" s="141"/>
      <c r="BU91" s="141"/>
      <c r="BV91" s="141"/>
      <c r="BW91" s="141"/>
      <c r="BX91" s="141"/>
      <c r="BY91" s="141"/>
      <c r="BZ91" s="141"/>
      <c r="CA91" s="141"/>
      <c r="CB91" s="141"/>
    </row>
    <row r="92" spans="1:80" customFormat="1">
      <c r="A92" s="211"/>
      <c r="B92" s="211"/>
      <c r="C92" s="210"/>
      <c r="D92" s="214"/>
      <c r="E92" s="211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205"/>
      <c r="AU92" s="205"/>
      <c r="AV92" s="205"/>
      <c r="AW92" s="205"/>
      <c r="AX92" s="205"/>
      <c r="AY92" s="205"/>
      <c r="AZ92" s="205"/>
      <c r="BA92" s="205"/>
      <c r="BB92" s="205"/>
      <c r="BC92" s="205"/>
      <c r="BD92" s="205"/>
      <c r="BE92" s="205"/>
      <c r="BF92" s="205"/>
      <c r="BG92" s="205"/>
      <c r="BH92" s="205"/>
      <c r="BI92" s="205"/>
      <c r="BJ92" s="205"/>
      <c r="BK92" s="205"/>
      <c r="BL92" s="205"/>
      <c r="BM92" s="205"/>
      <c r="BN92" s="205"/>
      <c r="BO92" s="213"/>
      <c r="BP92" s="141"/>
      <c r="BQ92" s="141"/>
      <c r="BR92" s="141"/>
      <c r="BS92" s="141"/>
      <c r="BT92" s="141"/>
      <c r="BU92" s="141"/>
      <c r="BV92" s="141"/>
      <c r="BW92" s="141"/>
      <c r="BX92" s="141"/>
      <c r="BY92" s="141"/>
      <c r="BZ92" s="141"/>
      <c r="CA92" s="141"/>
      <c r="CB92" s="141"/>
    </row>
    <row r="93" spans="1:80" customFormat="1">
      <c r="A93" s="211"/>
      <c r="B93" s="211"/>
      <c r="C93" s="210"/>
      <c r="D93" s="206"/>
      <c r="E93" s="210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  <c r="AT93" s="205"/>
      <c r="AU93" s="205"/>
      <c r="AV93" s="205"/>
      <c r="AW93" s="205"/>
      <c r="AX93" s="205"/>
      <c r="AY93" s="205"/>
      <c r="AZ93" s="205"/>
      <c r="BA93" s="205"/>
      <c r="BB93" s="205"/>
      <c r="BC93" s="205"/>
      <c r="BD93" s="205"/>
      <c r="BE93" s="205"/>
      <c r="BF93" s="205"/>
      <c r="BG93" s="205"/>
      <c r="BH93" s="205"/>
      <c r="BI93" s="205"/>
      <c r="BJ93" s="205"/>
      <c r="BK93" s="205"/>
      <c r="BL93" s="205"/>
      <c r="BM93" s="205"/>
      <c r="BN93" s="205"/>
      <c r="BO93" s="213"/>
      <c r="BP93" s="141"/>
      <c r="BQ93" s="141"/>
      <c r="BR93" s="141"/>
      <c r="BS93" s="141"/>
      <c r="BT93" s="141"/>
      <c r="BU93" s="141"/>
      <c r="BV93" s="141"/>
      <c r="BW93" s="141"/>
      <c r="BX93" s="141"/>
      <c r="BY93" s="141"/>
      <c r="BZ93" s="141"/>
      <c r="CA93" s="141"/>
      <c r="CB93" s="141"/>
    </row>
    <row r="94" spans="1:80" customFormat="1">
      <c r="A94" s="211"/>
      <c r="B94" s="211"/>
      <c r="C94" s="210"/>
      <c r="D94" s="8"/>
      <c r="E94" s="210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  <c r="AV94" s="205"/>
      <c r="AW94" s="205"/>
      <c r="AX94" s="205"/>
      <c r="AY94" s="205"/>
      <c r="AZ94" s="205"/>
      <c r="BA94" s="205"/>
      <c r="BB94" s="205"/>
      <c r="BC94" s="205"/>
      <c r="BD94" s="205"/>
      <c r="BE94" s="205"/>
      <c r="BF94" s="205"/>
      <c r="BG94" s="205"/>
      <c r="BH94" s="205"/>
      <c r="BI94" s="205"/>
      <c r="BJ94" s="205"/>
      <c r="BK94" s="205"/>
      <c r="BL94" s="205"/>
      <c r="BM94" s="205"/>
      <c r="BN94" s="205"/>
      <c r="BO94" s="213"/>
      <c r="BP94" s="141"/>
      <c r="BQ94" s="141"/>
      <c r="BR94" s="141"/>
      <c r="BS94" s="141"/>
      <c r="BT94" s="141"/>
      <c r="BU94" s="141"/>
      <c r="BV94" s="141"/>
      <c r="BW94" s="141"/>
      <c r="BX94" s="141"/>
      <c r="BY94" s="141"/>
      <c r="BZ94" s="141"/>
      <c r="CA94" s="141"/>
      <c r="CB94" s="141"/>
    </row>
    <row r="95" spans="1:80" customFormat="1">
      <c r="A95" s="211"/>
      <c r="B95" s="211"/>
      <c r="C95" s="210"/>
      <c r="D95" s="206"/>
      <c r="E95" s="210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  <c r="BC95" s="205"/>
      <c r="BD95" s="205"/>
      <c r="BE95" s="205"/>
      <c r="BF95" s="205"/>
      <c r="BG95" s="205"/>
      <c r="BH95" s="205"/>
      <c r="BI95" s="205"/>
      <c r="BJ95" s="205"/>
      <c r="BK95" s="205"/>
      <c r="BL95" s="205"/>
      <c r="BM95" s="205"/>
      <c r="BN95" s="205"/>
      <c r="BO95" s="213"/>
      <c r="BP95" s="141"/>
      <c r="BQ95" s="141"/>
      <c r="BR95" s="141"/>
      <c r="BS95" s="141"/>
      <c r="BT95" s="141"/>
      <c r="BU95" s="141"/>
      <c r="BV95" s="141"/>
      <c r="BW95" s="141"/>
      <c r="BX95" s="141"/>
      <c r="BY95" s="141"/>
      <c r="BZ95" s="141"/>
      <c r="CA95" s="141"/>
      <c r="CB95" s="141"/>
    </row>
    <row r="96" spans="1:80" customFormat="1">
      <c r="A96" s="211"/>
      <c r="B96" s="211"/>
      <c r="C96" s="210"/>
      <c r="D96" s="207"/>
      <c r="E96" s="210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  <c r="AV96" s="205"/>
      <c r="AW96" s="205"/>
      <c r="AX96" s="205"/>
      <c r="AY96" s="205"/>
      <c r="AZ96" s="205"/>
      <c r="BA96" s="205"/>
      <c r="BB96" s="205"/>
      <c r="BC96" s="205"/>
      <c r="BD96" s="205"/>
      <c r="BE96" s="205"/>
      <c r="BF96" s="205"/>
      <c r="BG96" s="205"/>
      <c r="BH96" s="205"/>
      <c r="BI96" s="205"/>
      <c r="BJ96" s="205"/>
      <c r="BK96" s="205"/>
      <c r="BL96" s="205"/>
      <c r="BM96" s="205"/>
      <c r="BN96" s="205"/>
      <c r="BO96" s="213"/>
      <c r="BP96" s="141"/>
      <c r="BQ96" s="141"/>
      <c r="BR96" s="141"/>
      <c r="BS96" s="141"/>
      <c r="BT96" s="141"/>
      <c r="BU96" s="141"/>
      <c r="BV96" s="141"/>
      <c r="BW96" s="141"/>
      <c r="BX96" s="141"/>
      <c r="BY96" s="141"/>
      <c r="BZ96" s="141"/>
      <c r="CA96" s="141"/>
      <c r="CB96" s="141"/>
    </row>
    <row r="97" spans="1:80" customFormat="1">
      <c r="A97" s="211"/>
      <c r="B97" s="211"/>
      <c r="C97" s="210"/>
      <c r="D97" s="8"/>
      <c r="E97" s="210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/>
      <c r="BB97" s="205"/>
      <c r="BC97" s="205"/>
      <c r="BD97" s="205"/>
      <c r="BE97" s="205"/>
      <c r="BF97" s="205"/>
      <c r="BG97" s="205"/>
      <c r="BH97" s="205"/>
      <c r="BI97" s="205"/>
      <c r="BJ97" s="205"/>
      <c r="BK97" s="205"/>
      <c r="BL97" s="205"/>
      <c r="BM97" s="205"/>
      <c r="BN97" s="205"/>
      <c r="BO97" s="213"/>
      <c r="BP97" s="141"/>
      <c r="BQ97" s="141"/>
      <c r="BR97" s="141"/>
      <c r="BS97" s="141"/>
      <c r="BT97" s="141"/>
      <c r="BU97" s="141"/>
      <c r="BV97" s="141"/>
      <c r="BW97" s="141"/>
      <c r="BX97" s="141"/>
      <c r="BY97" s="141"/>
      <c r="BZ97" s="141"/>
      <c r="CA97" s="141"/>
      <c r="CB97" s="141"/>
    </row>
    <row r="98" spans="1:80" customFormat="1">
      <c r="A98" s="211"/>
      <c r="B98" s="211"/>
      <c r="C98" s="210"/>
      <c r="D98" s="8"/>
      <c r="E98" s="210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  <c r="BC98" s="205"/>
      <c r="BD98" s="205"/>
      <c r="BE98" s="205"/>
      <c r="BF98" s="205"/>
      <c r="BG98" s="205"/>
      <c r="BH98" s="205"/>
      <c r="BI98" s="205"/>
      <c r="BJ98" s="205"/>
      <c r="BK98" s="205"/>
      <c r="BL98" s="205"/>
      <c r="BM98" s="205"/>
      <c r="BN98" s="205"/>
      <c r="BO98" s="213"/>
      <c r="BP98" s="141"/>
      <c r="BQ98" s="141"/>
      <c r="BR98" s="141"/>
      <c r="BS98" s="141"/>
      <c r="BT98" s="141"/>
      <c r="BU98" s="141"/>
      <c r="BV98" s="141"/>
      <c r="BW98" s="141"/>
      <c r="BX98" s="141"/>
      <c r="BY98" s="141"/>
      <c r="BZ98" s="141"/>
      <c r="CA98" s="141"/>
      <c r="CB98" s="141"/>
    </row>
    <row r="99" spans="1:80" customFormat="1">
      <c r="A99" s="211"/>
      <c r="B99" s="211"/>
      <c r="C99" s="210"/>
      <c r="D99" s="206"/>
      <c r="E99" s="210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05"/>
      <c r="AZ99" s="205"/>
      <c r="BA99" s="205"/>
      <c r="BB99" s="205"/>
      <c r="BC99" s="205"/>
      <c r="BD99" s="205"/>
      <c r="BE99" s="205"/>
      <c r="BF99" s="205"/>
      <c r="BG99" s="205"/>
      <c r="BH99" s="205"/>
      <c r="BI99" s="205"/>
      <c r="BJ99" s="205"/>
      <c r="BK99" s="205"/>
      <c r="BL99" s="205"/>
      <c r="BM99" s="205"/>
      <c r="BN99" s="205"/>
      <c r="BO99" s="213"/>
      <c r="BP99" s="141"/>
      <c r="BQ99" s="141"/>
      <c r="BR99" s="141"/>
      <c r="BS99" s="141"/>
      <c r="BT99" s="141"/>
      <c r="BU99" s="141"/>
      <c r="BV99" s="141"/>
      <c r="BW99" s="141"/>
      <c r="BX99" s="141"/>
      <c r="BY99" s="141"/>
      <c r="BZ99" s="141"/>
      <c r="CA99" s="141"/>
      <c r="CB99" s="141"/>
    </row>
    <row r="100" spans="1:80" customFormat="1">
      <c r="A100" s="211"/>
      <c r="B100" s="211"/>
      <c r="C100" s="210"/>
      <c r="D100" s="207"/>
      <c r="E100" s="211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  <c r="AT100" s="205"/>
      <c r="AU100" s="205"/>
      <c r="AV100" s="205"/>
      <c r="AW100" s="205"/>
      <c r="AX100" s="205"/>
      <c r="AY100" s="205"/>
      <c r="AZ100" s="205"/>
      <c r="BA100" s="205"/>
      <c r="BB100" s="205"/>
      <c r="BC100" s="205"/>
      <c r="BD100" s="205"/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  <c r="BO100" s="213"/>
      <c r="BP100" s="141"/>
      <c r="BQ100" s="141"/>
      <c r="BR100" s="141"/>
      <c r="BS100" s="141"/>
      <c r="BT100" s="141"/>
      <c r="BU100" s="141"/>
      <c r="BV100" s="141"/>
      <c r="BW100" s="141"/>
      <c r="BX100" s="141"/>
      <c r="BY100" s="141"/>
      <c r="BZ100" s="141"/>
      <c r="CA100" s="141"/>
      <c r="CB100" s="141"/>
    </row>
    <row r="101" spans="1:80" customFormat="1">
      <c r="A101" s="211"/>
      <c r="B101" s="211"/>
      <c r="C101" s="210"/>
      <c r="D101" s="214"/>
      <c r="E101" s="211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  <c r="AV101" s="205"/>
      <c r="AW101" s="205"/>
      <c r="AX101" s="205"/>
      <c r="AY101" s="205"/>
      <c r="AZ101" s="205"/>
      <c r="BA101" s="205"/>
      <c r="BB101" s="205"/>
      <c r="BC101" s="205"/>
      <c r="BD101" s="205"/>
      <c r="BE101" s="205"/>
      <c r="BF101" s="205"/>
      <c r="BG101" s="205"/>
      <c r="BH101" s="205"/>
      <c r="BI101" s="205"/>
      <c r="BJ101" s="205"/>
      <c r="BK101" s="205"/>
      <c r="BL101" s="205"/>
      <c r="BM101" s="205"/>
      <c r="BN101" s="205"/>
      <c r="BO101" s="213"/>
      <c r="BP101" s="141"/>
      <c r="BQ101" s="141"/>
      <c r="BR101" s="141"/>
      <c r="BS101" s="141"/>
      <c r="BT101" s="141"/>
      <c r="BU101" s="141"/>
      <c r="BV101" s="141"/>
      <c r="BW101" s="141"/>
      <c r="BX101" s="141"/>
      <c r="BY101" s="141"/>
      <c r="BZ101" s="141"/>
      <c r="CA101" s="141"/>
      <c r="CB101" s="141"/>
    </row>
    <row r="102" spans="1:80" customFormat="1">
      <c r="A102" s="211"/>
      <c r="B102" s="211"/>
      <c r="C102" s="210"/>
      <c r="D102" s="207"/>
      <c r="E102" s="210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205"/>
      <c r="AX102" s="205"/>
      <c r="AY102" s="205"/>
      <c r="AZ102" s="205"/>
      <c r="BA102" s="205"/>
      <c r="BB102" s="205"/>
      <c r="BC102" s="205"/>
      <c r="BD102" s="205"/>
      <c r="BE102" s="205"/>
      <c r="BF102" s="205"/>
      <c r="BG102" s="205"/>
      <c r="BH102" s="205"/>
      <c r="BI102" s="205"/>
      <c r="BJ102" s="205"/>
      <c r="BK102" s="205"/>
      <c r="BL102" s="205"/>
      <c r="BM102" s="205"/>
      <c r="BN102" s="205"/>
      <c r="BO102" s="213"/>
      <c r="BP102" s="141"/>
      <c r="BQ102" s="141"/>
      <c r="BR102" s="141"/>
      <c r="BS102" s="141"/>
      <c r="BT102" s="141"/>
      <c r="BU102" s="141"/>
      <c r="BV102" s="141"/>
      <c r="BW102" s="141"/>
      <c r="BX102" s="141"/>
      <c r="BY102" s="141"/>
      <c r="BZ102" s="141"/>
      <c r="CA102" s="141"/>
      <c r="CB102" s="141"/>
    </row>
    <row r="103" spans="1:80" customFormat="1">
      <c r="A103" s="211"/>
      <c r="B103" s="211"/>
      <c r="C103" s="210"/>
      <c r="D103" s="206"/>
      <c r="E103" s="210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  <c r="AX103" s="205"/>
      <c r="AY103" s="205"/>
      <c r="AZ103" s="205"/>
      <c r="BA103" s="205"/>
      <c r="BB103" s="205"/>
      <c r="BC103" s="205"/>
      <c r="BD103" s="205"/>
      <c r="BE103" s="205"/>
      <c r="BF103" s="205"/>
      <c r="BG103" s="205"/>
      <c r="BH103" s="205"/>
      <c r="BI103" s="205"/>
      <c r="BJ103" s="205"/>
      <c r="BK103" s="205"/>
      <c r="BL103" s="205"/>
      <c r="BM103" s="205"/>
      <c r="BN103" s="205"/>
      <c r="BO103" s="213"/>
      <c r="BP103" s="141"/>
      <c r="BQ103" s="141"/>
      <c r="BR103" s="141"/>
      <c r="BS103" s="141"/>
      <c r="BT103" s="141"/>
      <c r="BU103" s="141"/>
      <c r="BV103" s="141"/>
      <c r="BW103" s="141"/>
      <c r="BX103" s="141"/>
      <c r="BY103" s="141"/>
      <c r="BZ103" s="141"/>
      <c r="CA103" s="141"/>
      <c r="CB103" s="141"/>
    </row>
    <row r="104" spans="1:80" customFormat="1">
      <c r="A104" s="211"/>
      <c r="B104" s="211"/>
      <c r="C104" s="210"/>
      <c r="D104" s="8"/>
      <c r="E104" s="210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05"/>
      <c r="BI104" s="205"/>
      <c r="BJ104" s="205"/>
      <c r="BK104" s="205"/>
      <c r="BL104" s="205"/>
      <c r="BM104" s="205"/>
      <c r="BN104" s="205"/>
      <c r="BO104" s="213"/>
      <c r="BP104" s="141"/>
      <c r="BQ104" s="141"/>
      <c r="BR104" s="141"/>
      <c r="BS104" s="141"/>
      <c r="BT104" s="141"/>
      <c r="BU104" s="141"/>
      <c r="BV104" s="141"/>
      <c r="BW104" s="141"/>
      <c r="BX104" s="141"/>
      <c r="BY104" s="141"/>
      <c r="BZ104" s="141"/>
      <c r="CA104" s="141"/>
      <c r="CB104" s="141"/>
    </row>
    <row r="105" spans="1:80" customFormat="1">
      <c r="A105" s="211"/>
      <c r="B105" s="211"/>
      <c r="C105" s="210"/>
      <c r="D105" s="206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  <c r="AV105" s="205"/>
      <c r="AW105" s="205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05"/>
      <c r="BI105" s="205"/>
      <c r="BJ105" s="205"/>
      <c r="BK105" s="205"/>
      <c r="BL105" s="205"/>
      <c r="BM105" s="205"/>
      <c r="BN105" s="205"/>
      <c r="BO105" s="213"/>
      <c r="BP105" s="141"/>
      <c r="BQ105" s="141"/>
      <c r="BR105" s="141"/>
      <c r="BS105" s="141"/>
      <c r="BT105" s="141"/>
      <c r="BU105" s="141"/>
      <c r="BV105" s="141"/>
      <c r="BW105" s="141"/>
      <c r="BX105" s="141"/>
      <c r="BY105" s="141"/>
      <c r="BZ105" s="141"/>
      <c r="CA105" s="141"/>
      <c r="CB105" s="141"/>
    </row>
    <row r="106" spans="1:80" customFormat="1">
      <c r="A106" s="211"/>
      <c r="B106" s="211"/>
      <c r="C106" s="210"/>
      <c r="D106" s="206"/>
      <c r="E106" s="210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  <c r="AT106" s="205"/>
      <c r="AU106" s="205"/>
      <c r="AV106" s="205"/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05"/>
      <c r="BI106" s="205"/>
      <c r="BJ106" s="205"/>
      <c r="BK106" s="205"/>
      <c r="BL106" s="205"/>
      <c r="BM106" s="205"/>
      <c r="BN106" s="205"/>
      <c r="BO106" s="213"/>
      <c r="BP106" s="141"/>
      <c r="BQ106" s="141"/>
      <c r="BR106" s="141"/>
      <c r="BS106" s="141"/>
      <c r="BT106" s="141"/>
      <c r="BU106" s="141"/>
      <c r="BV106" s="141"/>
      <c r="BW106" s="141"/>
      <c r="BX106" s="141"/>
      <c r="BY106" s="141"/>
      <c r="BZ106" s="141"/>
      <c r="CA106" s="141"/>
      <c r="CB106" s="141"/>
    </row>
    <row r="107" spans="1:80" customFormat="1">
      <c r="A107" s="211"/>
      <c r="B107" s="211"/>
      <c r="C107" s="210"/>
      <c r="D107" s="206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  <c r="AV107" s="205"/>
      <c r="AW107" s="205"/>
      <c r="AX107" s="205"/>
      <c r="AY107" s="205"/>
      <c r="AZ107" s="205"/>
      <c r="BA107" s="205"/>
      <c r="BB107" s="205"/>
      <c r="BC107" s="205"/>
      <c r="BD107" s="205"/>
      <c r="BE107" s="205"/>
      <c r="BF107" s="205"/>
      <c r="BG107" s="205"/>
      <c r="BH107" s="205"/>
      <c r="BI107" s="205"/>
      <c r="BJ107" s="205"/>
      <c r="BK107" s="205"/>
      <c r="BL107" s="205"/>
      <c r="BM107" s="205"/>
      <c r="BN107" s="205"/>
      <c r="BO107" s="213"/>
      <c r="BP107" s="141"/>
      <c r="BQ107" s="141"/>
      <c r="BR107" s="141"/>
      <c r="BS107" s="141"/>
      <c r="BT107" s="141"/>
      <c r="BU107" s="141"/>
      <c r="BV107" s="141"/>
      <c r="BW107" s="141"/>
      <c r="BX107" s="141"/>
      <c r="BY107" s="141"/>
      <c r="BZ107" s="141"/>
      <c r="CA107" s="141"/>
      <c r="CB107" s="141"/>
    </row>
    <row r="108" spans="1:80" customFormat="1">
      <c r="A108" s="211"/>
      <c r="B108" s="211"/>
      <c r="C108" s="210"/>
      <c r="D108" s="206"/>
      <c r="E108" s="211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  <c r="AT108" s="205"/>
      <c r="AU108" s="205"/>
      <c r="AV108" s="205"/>
      <c r="AW108" s="205"/>
      <c r="AX108" s="205"/>
      <c r="AY108" s="205"/>
      <c r="AZ108" s="205"/>
      <c r="BA108" s="205"/>
      <c r="BB108" s="205"/>
      <c r="BC108" s="205"/>
      <c r="BD108" s="205"/>
      <c r="BE108" s="205"/>
      <c r="BF108" s="205"/>
      <c r="BG108" s="205"/>
      <c r="BH108" s="205"/>
      <c r="BI108" s="205"/>
      <c r="BJ108" s="205"/>
      <c r="BK108" s="205"/>
      <c r="BL108" s="205"/>
      <c r="BM108" s="205"/>
      <c r="BN108" s="205"/>
      <c r="BO108" s="213"/>
      <c r="BP108" s="141"/>
      <c r="BQ108" s="141"/>
      <c r="BR108" s="141"/>
      <c r="BS108" s="141"/>
      <c r="BT108" s="141"/>
      <c r="BU108" s="141"/>
      <c r="BV108" s="141"/>
      <c r="BW108" s="141"/>
      <c r="BX108" s="141"/>
      <c r="BY108" s="141"/>
      <c r="BZ108" s="141"/>
      <c r="CA108" s="141"/>
      <c r="CB108" s="141"/>
    </row>
    <row r="109" spans="1:80" customFormat="1">
      <c r="A109" s="211"/>
      <c r="B109" s="211"/>
      <c r="C109" s="210"/>
      <c r="D109" s="214"/>
      <c r="E109" s="211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  <c r="AT109" s="205"/>
      <c r="AU109" s="205"/>
      <c r="AV109" s="205"/>
      <c r="AW109" s="205"/>
      <c r="AX109" s="205"/>
      <c r="AY109" s="205"/>
      <c r="AZ109" s="205"/>
      <c r="BA109" s="205"/>
      <c r="BB109" s="205"/>
      <c r="BC109" s="205"/>
      <c r="BD109" s="205"/>
      <c r="BE109" s="205"/>
      <c r="BF109" s="205"/>
      <c r="BG109" s="205"/>
      <c r="BH109" s="205"/>
      <c r="BI109" s="205"/>
      <c r="BJ109" s="205"/>
      <c r="BK109" s="205"/>
      <c r="BL109" s="205"/>
      <c r="BM109" s="205"/>
      <c r="BN109" s="205"/>
      <c r="BO109" s="213"/>
      <c r="BP109" s="141"/>
      <c r="BQ109" s="141"/>
      <c r="BR109" s="141"/>
      <c r="BS109" s="141"/>
      <c r="BT109" s="141"/>
      <c r="BU109" s="141"/>
      <c r="BV109" s="141"/>
      <c r="BW109" s="141"/>
      <c r="BX109" s="141"/>
      <c r="BY109" s="141"/>
      <c r="BZ109" s="141"/>
      <c r="CA109" s="141"/>
      <c r="CB109" s="141"/>
    </row>
    <row r="110" spans="1:80" customFormat="1">
      <c r="A110" s="211"/>
      <c r="B110" s="211"/>
      <c r="C110" s="210"/>
      <c r="D110" s="224"/>
      <c r="E110" s="210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5"/>
      <c r="BE110" s="205"/>
      <c r="BF110" s="205"/>
      <c r="BG110" s="205"/>
      <c r="BH110" s="205"/>
      <c r="BI110" s="205"/>
      <c r="BJ110" s="205"/>
      <c r="BK110" s="205"/>
      <c r="BL110" s="205"/>
      <c r="BM110" s="205"/>
      <c r="BN110" s="205"/>
      <c r="BO110" s="213"/>
      <c r="BP110" s="141"/>
      <c r="BQ110" s="141"/>
      <c r="BR110" s="141"/>
      <c r="BS110" s="141"/>
      <c r="BT110" s="141"/>
      <c r="BU110" s="141"/>
      <c r="BV110" s="141"/>
      <c r="BW110" s="141"/>
      <c r="BX110" s="141"/>
      <c r="BY110" s="141"/>
      <c r="BZ110" s="141"/>
      <c r="CA110" s="141"/>
      <c r="CB110" s="141"/>
    </row>
    <row r="111" spans="1:80" customFormat="1">
      <c r="A111" s="211"/>
      <c r="B111" s="211"/>
      <c r="C111" s="210"/>
      <c r="D111" s="208"/>
      <c r="E111" s="210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  <c r="AT111" s="205"/>
      <c r="AU111" s="205"/>
      <c r="AV111" s="205"/>
      <c r="AW111" s="205"/>
      <c r="AX111" s="205"/>
      <c r="AY111" s="205"/>
      <c r="AZ111" s="205"/>
      <c r="BA111" s="205"/>
      <c r="BB111" s="205"/>
      <c r="BC111" s="205"/>
      <c r="BD111" s="205"/>
      <c r="BE111" s="205"/>
      <c r="BF111" s="205"/>
      <c r="BG111" s="205"/>
      <c r="BH111" s="205"/>
      <c r="BI111" s="205"/>
      <c r="BJ111" s="205"/>
      <c r="BK111" s="205"/>
      <c r="BL111" s="205"/>
      <c r="BM111" s="205"/>
      <c r="BN111" s="205"/>
      <c r="BO111" s="213"/>
      <c r="BP111" s="141"/>
      <c r="BQ111" s="141"/>
      <c r="BR111" s="141"/>
      <c r="BS111" s="141"/>
      <c r="BT111" s="141"/>
      <c r="BU111" s="141"/>
      <c r="BV111" s="141"/>
      <c r="BW111" s="141"/>
      <c r="BX111" s="141"/>
      <c r="BY111" s="141"/>
      <c r="BZ111" s="141"/>
      <c r="CA111" s="141"/>
      <c r="CB111" s="141"/>
    </row>
    <row r="112" spans="1:80" customFormat="1">
      <c r="A112" s="211"/>
      <c r="B112" s="211"/>
      <c r="C112" s="210"/>
      <c r="D112" s="208"/>
      <c r="E112" s="210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205"/>
      <c r="AV112" s="205"/>
      <c r="AW112" s="205"/>
      <c r="AX112" s="205"/>
      <c r="AY112" s="205"/>
      <c r="AZ112" s="205"/>
      <c r="BA112" s="205"/>
      <c r="BB112" s="205"/>
      <c r="BC112" s="205"/>
      <c r="BD112" s="205"/>
      <c r="BE112" s="205"/>
      <c r="BF112" s="205"/>
      <c r="BG112" s="205"/>
      <c r="BH112" s="205"/>
      <c r="BI112" s="205"/>
      <c r="BJ112" s="205"/>
      <c r="BK112" s="205"/>
      <c r="BL112" s="205"/>
      <c r="BM112" s="205"/>
      <c r="BN112" s="205"/>
      <c r="BO112" s="213"/>
      <c r="BP112" s="141"/>
      <c r="BQ112" s="141"/>
      <c r="BR112" s="141"/>
      <c r="BS112" s="141"/>
      <c r="BT112" s="141"/>
      <c r="BU112" s="141"/>
      <c r="BV112" s="141"/>
      <c r="BW112" s="141"/>
      <c r="BX112" s="141"/>
      <c r="BY112" s="141"/>
      <c r="BZ112" s="141"/>
      <c r="CA112" s="141"/>
      <c r="CB112" s="141"/>
    </row>
    <row r="113" spans="1:80" customFormat="1">
      <c r="A113" s="211"/>
      <c r="B113" s="211"/>
      <c r="C113" s="210"/>
      <c r="D113" s="208"/>
      <c r="E113" s="210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  <c r="AV113" s="205"/>
      <c r="AW113" s="205"/>
      <c r="AX113" s="205"/>
      <c r="AY113" s="205"/>
      <c r="AZ113" s="205"/>
      <c r="BA113" s="205"/>
      <c r="BB113" s="205"/>
      <c r="BC113" s="205"/>
      <c r="BD113" s="205"/>
      <c r="BE113" s="205"/>
      <c r="BF113" s="205"/>
      <c r="BG113" s="205"/>
      <c r="BH113" s="205"/>
      <c r="BI113" s="205"/>
      <c r="BJ113" s="205"/>
      <c r="BK113" s="205"/>
      <c r="BL113" s="205"/>
      <c r="BM113" s="205"/>
      <c r="BN113" s="205"/>
      <c r="BO113" s="213"/>
      <c r="BP113" s="141"/>
      <c r="BQ113" s="141"/>
      <c r="BR113" s="141"/>
      <c r="BS113" s="141"/>
      <c r="BT113" s="141"/>
      <c r="BU113" s="141"/>
      <c r="BV113" s="141"/>
      <c r="BW113" s="141"/>
      <c r="BX113" s="141"/>
      <c r="BY113" s="141"/>
      <c r="BZ113" s="141"/>
      <c r="CA113" s="141"/>
      <c r="CB113" s="141"/>
    </row>
    <row r="114" spans="1:80" customFormat="1">
      <c r="A114" s="211"/>
      <c r="B114" s="211"/>
      <c r="C114" s="210"/>
      <c r="D114" s="208"/>
      <c r="E114" s="210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  <c r="AU114" s="205"/>
      <c r="AV114" s="205"/>
      <c r="AW114" s="205"/>
      <c r="AX114" s="205"/>
      <c r="AY114" s="205"/>
      <c r="AZ114" s="205"/>
      <c r="BA114" s="205"/>
      <c r="BB114" s="205"/>
      <c r="BC114" s="205"/>
      <c r="BD114" s="205"/>
      <c r="BE114" s="205"/>
      <c r="BF114" s="205"/>
      <c r="BG114" s="205"/>
      <c r="BH114" s="205"/>
      <c r="BI114" s="205"/>
      <c r="BJ114" s="205"/>
      <c r="BK114" s="205"/>
      <c r="BL114" s="205"/>
      <c r="BM114" s="205"/>
      <c r="BN114" s="205"/>
      <c r="BO114" s="213"/>
      <c r="BP114" s="141"/>
      <c r="BQ114" s="141"/>
      <c r="BR114" s="141"/>
      <c r="BS114" s="141"/>
      <c r="BT114" s="141"/>
      <c r="BU114" s="141"/>
      <c r="BV114" s="141"/>
      <c r="BW114" s="141"/>
      <c r="BX114" s="141"/>
      <c r="BY114" s="141"/>
      <c r="BZ114" s="141"/>
      <c r="CA114" s="141"/>
      <c r="CB114" s="141"/>
    </row>
    <row r="115" spans="1:80" customFormat="1">
      <c r="A115" s="211"/>
      <c r="B115" s="211"/>
      <c r="C115" s="210"/>
      <c r="D115" s="208"/>
      <c r="E115" s="211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5"/>
      <c r="BI115" s="205"/>
      <c r="BJ115" s="205"/>
      <c r="BK115" s="205"/>
      <c r="BL115" s="205"/>
      <c r="BM115" s="205"/>
      <c r="BN115" s="205"/>
      <c r="BO115" s="213"/>
      <c r="BP115" s="141"/>
      <c r="BQ115" s="141"/>
      <c r="BR115" s="141"/>
      <c r="BS115" s="141"/>
      <c r="BT115" s="141"/>
      <c r="BU115" s="141"/>
      <c r="BV115" s="141"/>
      <c r="BW115" s="141"/>
      <c r="BX115" s="141"/>
      <c r="BY115" s="141"/>
      <c r="BZ115" s="141"/>
      <c r="CA115" s="141"/>
      <c r="CB115" s="141"/>
    </row>
    <row r="116" spans="1:80" customFormat="1">
      <c r="A116" s="211"/>
      <c r="B116" s="211"/>
      <c r="C116" s="210"/>
      <c r="D116" s="214"/>
      <c r="E116" s="211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5"/>
      <c r="BA116" s="205"/>
      <c r="BB116" s="205"/>
      <c r="BC116" s="205"/>
      <c r="BD116" s="205"/>
      <c r="BE116" s="205"/>
      <c r="BF116" s="205"/>
      <c r="BG116" s="205"/>
      <c r="BH116" s="205"/>
      <c r="BI116" s="205"/>
      <c r="BJ116" s="205"/>
      <c r="BK116" s="205"/>
      <c r="BL116" s="205"/>
      <c r="BM116" s="205"/>
      <c r="BN116" s="205"/>
      <c r="BO116" s="213"/>
      <c r="BP116" s="141"/>
      <c r="BQ116" s="141"/>
      <c r="BR116" s="141"/>
      <c r="BS116" s="141"/>
      <c r="BT116" s="141"/>
      <c r="BU116" s="141"/>
      <c r="BV116" s="141"/>
      <c r="BW116" s="141"/>
      <c r="BX116" s="141"/>
      <c r="BY116" s="141"/>
      <c r="BZ116" s="141"/>
      <c r="CA116" s="141"/>
      <c r="CB116" s="141"/>
    </row>
    <row r="117" spans="1:80" customFormat="1">
      <c r="A117" s="211"/>
      <c r="B117" s="211"/>
      <c r="C117" s="210"/>
      <c r="D117" s="208"/>
      <c r="E117" s="210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  <c r="AT117" s="205"/>
      <c r="AU117" s="205"/>
      <c r="AV117" s="205"/>
      <c r="AW117" s="205"/>
      <c r="AX117" s="205"/>
      <c r="AY117" s="205"/>
      <c r="AZ117" s="205"/>
      <c r="BA117" s="205"/>
      <c r="BB117" s="205"/>
      <c r="BC117" s="205"/>
      <c r="BD117" s="205"/>
      <c r="BE117" s="205"/>
      <c r="BF117" s="205"/>
      <c r="BG117" s="205"/>
      <c r="BH117" s="205"/>
      <c r="BI117" s="205"/>
      <c r="BJ117" s="205"/>
      <c r="BK117" s="205"/>
      <c r="BL117" s="205"/>
      <c r="BM117" s="205"/>
      <c r="BN117" s="205"/>
      <c r="BO117" s="213"/>
      <c r="BP117" s="141"/>
      <c r="BQ117" s="141"/>
      <c r="BR117" s="141"/>
      <c r="BS117" s="141"/>
      <c r="BT117" s="141"/>
      <c r="BU117" s="141"/>
      <c r="BV117" s="141"/>
      <c r="BW117" s="141"/>
      <c r="BX117" s="141"/>
      <c r="BY117" s="141"/>
      <c r="BZ117" s="141"/>
      <c r="CA117" s="141"/>
      <c r="CB117" s="141"/>
    </row>
    <row r="118" spans="1:80" customFormat="1">
      <c r="A118" s="211"/>
      <c r="B118" s="211"/>
      <c r="C118" s="210"/>
      <c r="D118" s="208"/>
      <c r="E118" s="210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5"/>
      <c r="BC118" s="205"/>
      <c r="BD118" s="205"/>
      <c r="BE118" s="205"/>
      <c r="BF118" s="205"/>
      <c r="BG118" s="205"/>
      <c r="BH118" s="205"/>
      <c r="BI118" s="205"/>
      <c r="BJ118" s="205"/>
      <c r="BK118" s="205"/>
      <c r="BL118" s="205"/>
      <c r="BM118" s="205"/>
      <c r="BN118" s="205"/>
      <c r="BO118" s="213"/>
      <c r="BP118" s="141"/>
      <c r="BQ118" s="141"/>
      <c r="BR118" s="141"/>
      <c r="BS118" s="141"/>
      <c r="BT118" s="141"/>
      <c r="BU118" s="141"/>
      <c r="BV118" s="141"/>
      <c r="BW118" s="141"/>
      <c r="BX118" s="141"/>
      <c r="BY118" s="141"/>
      <c r="BZ118" s="141"/>
      <c r="CA118" s="141"/>
      <c r="CB118" s="141"/>
    </row>
    <row r="119" spans="1:80" customFormat="1">
      <c r="A119" s="211"/>
      <c r="B119" s="211"/>
      <c r="C119" s="210"/>
      <c r="D119" s="208"/>
      <c r="E119" s="210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  <c r="AT119" s="205"/>
      <c r="AU119" s="205"/>
      <c r="AV119" s="205"/>
      <c r="AW119" s="205"/>
      <c r="AX119" s="205"/>
      <c r="AY119" s="205"/>
      <c r="AZ119" s="205"/>
      <c r="BA119" s="205"/>
      <c r="BB119" s="205"/>
      <c r="BC119" s="205"/>
      <c r="BD119" s="205"/>
      <c r="BE119" s="205"/>
      <c r="BF119" s="205"/>
      <c r="BG119" s="205"/>
      <c r="BH119" s="205"/>
      <c r="BI119" s="205"/>
      <c r="BJ119" s="205"/>
      <c r="BK119" s="205"/>
      <c r="BL119" s="205"/>
      <c r="BM119" s="205"/>
      <c r="BN119" s="205"/>
      <c r="BO119" s="213"/>
      <c r="BP119" s="141"/>
      <c r="BQ119" s="141"/>
      <c r="BR119" s="141"/>
      <c r="BS119" s="141"/>
      <c r="BT119" s="141"/>
      <c r="BU119" s="141"/>
      <c r="BV119" s="141"/>
      <c r="BW119" s="141"/>
      <c r="BX119" s="141"/>
      <c r="BY119" s="141"/>
      <c r="BZ119" s="141"/>
      <c r="CA119" s="141"/>
      <c r="CB119" s="141"/>
    </row>
    <row r="120" spans="1:80" customFormat="1">
      <c r="A120" s="211"/>
      <c r="B120" s="211"/>
      <c r="C120" s="210"/>
      <c r="D120" s="208"/>
      <c r="E120" s="210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  <c r="AV120" s="205"/>
      <c r="AW120" s="205"/>
      <c r="AX120" s="205"/>
      <c r="AY120" s="205"/>
      <c r="AZ120" s="205"/>
      <c r="BA120" s="205"/>
      <c r="BB120" s="205"/>
      <c r="BC120" s="205"/>
      <c r="BD120" s="205"/>
      <c r="BE120" s="205"/>
      <c r="BF120" s="205"/>
      <c r="BG120" s="205"/>
      <c r="BH120" s="205"/>
      <c r="BI120" s="205"/>
      <c r="BJ120" s="205"/>
      <c r="BK120" s="205"/>
      <c r="BL120" s="205"/>
      <c r="BM120" s="205"/>
      <c r="BN120" s="205"/>
      <c r="BO120" s="213"/>
      <c r="BP120" s="141"/>
      <c r="BQ120" s="141"/>
      <c r="BR120" s="141"/>
      <c r="BS120" s="141"/>
      <c r="BT120" s="141"/>
      <c r="BU120" s="141"/>
      <c r="BV120" s="141"/>
      <c r="BW120" s="141"/>
      <c r="BX120" s="141"/>
      <c r="BY120" s="141"/>
      <c r="BZ120" s="141"/>
      <c r="CA120" s="141"/>
      <c r="CB120" s="141"/>
    </row>
    <row r="121" spans="1:80" customFormat="1">
      <c r="A121" s="211"/>
      <c r="B121" s="211"/>
      <c r="C121" s="210"/>
      <c r="D121" s="208"/>
      <c r="E121" s="210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  <c r="AT121" s="205"/>
      <c r="AU121" s="205"/>
      <c r="AV121" s="205"/>
      <c r="AW121" s="205"/>
      <c r="AX121" s="205"/>
      <c r="AY121" s="205"/>
      <c r="AZ121" s="205"/>
      <c r="BA121" s="205"/>
      <c r="BB121" s="205"/>
      <c r="BC121" s="205"/>
      <c r="BD121" s="205"/>
      <c r="BE121" s="205"/>
      <c r="BF121" s="205"/>
      <c r="BG121" s="205"/>
      <c r="BH121" s="205"/>
      <c r="BI121" s="205"/>
      <c r="BJ121" s="205"/>
      <c r="BK121" s="205"/>
      <c r="BL121" s="205"/>
      <c r="BM121" s="205"/>
      <c r="BN121" s="205"/>
      <c r="BO121" s="213"/>
      <c r="BP121" s="141"/>
      <c r="BQ121" s="141"/>
      <c r="BR121" s="141"/>
      <c r="BS121" s="141"/>
      <c r="BT121" s="141"/>
      <c r="BU121" s="141"/>
      <c r="BV121" s="141"/>
      <c r="BW121" s="141"/>
      <c r="BX121" s="141"/>
      <c r="BY121" s="141"/>
      <c r="BZ121" s="141"/>
      <c r="CA121" s="141"/>
      <c r="CB121" s="141"/>
    </row>
    <row r="122" spans="1:80" customFormat="1">
      <c r="A122" s="211"/>
      <c r="B122" s="211"/>
      <c r="C122" s="210"/>
      <c r="D122" s="208"/>
      <c r="E122" s="211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05"/>
      <c r="AZ122" s="205"/>
      <c r="BA122" s="205"/>
      <c r="BB122" s="205"/>
      <c r="BC122" s="205"/>
      <c r="BD122" s="205"/>
      <c r="BE122" s="205"/>
      <c r="BF122" s="205"/>
      <c r="BG122" s="205"/>
      <c r="BH122" s="205"/>
      <c r="BI122" s="205"/>
      <c r="BJ122" s="205"/>
      <c r="BK122" s="205"/>
      <c r="BL122" s="205"/>
      <c r="BM122" s="205"/>
      <c r="BN122" s="205"/>
      <c r="BO122" s="213"/>
      <c r="BP122" s="141"/>
      <c r="BQ122" s="141"/>
      <c r="BR122" s="141"/>
      <c r="BS122" s="141"/>
      <c r="BT122" s="141"/>
      <c r="BU122" s="141"/>
      <c r="BV122" s="141"/>
      <c r="BW122" s="141"/>
      <c r="BX122" s="141"/>
      <c r="BY122" s="141"/>
      <c r="BZ122" s="141"/>
      <c r="CA122" s="141"/>
      <c r="CB122" s="141"/>
    </row>
    <row r="123" spans="1:80" customFormat="1">
      <c r="A123" s="211"/>
      <c r="B123" s="211"/>
      <c r="C123" s="210"/>
      <c r="D123" s="214"/>
      <c r="E123" s="211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5"/>
      <c r="BJ123" s="205"/>
      <c r="BK123" s="205"/>
      <c r="BL123" s="205"/>
      <c r="BM123" s="205"/>
      <c r="BN123" s="205"/>
      <c r="BO123" s="213"/>
      <c r="BP123" s="141"/>
      <c r="BQ123" s="141"/>
      <c r="BR123" s="141"/>
      <c r="BS123" s="141"/>
      <c r="BT123" s="141"/>
      <c r="BU123" s="141"/>
      <c r="BV123" s="141"/>
      <c r="BW123" s="141"/>
      <c r="BX123" s="141"/>
      <c r="BY123" s="141"/>
      <c r="BZ123" s="141"/>
      <c r="CA123" s="141"/>
      <c r="CB123" s="141"/>
    </row>
    <row r="124" spans="1:80" customFormat="1">
      <c r="A124" s="211"/>
      <c r="B124" s="211"/>
      <c r="C124" s="210"/>
      <c r="D124" s="8"/>
      <c r="E124" s="210"/>
      <c r="F124" s="22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  <c r="AA124" s="225"/>
      <c r="AB124" s="225"/>
      <c r="AC124" s="225"/>
      <c r="AD124" s="225"/>
      <c r="AE124" s="225"/>
      <c r="AF124" s="225"/>
      <c r="AG124" s="225"/>
      <c r="AH124" s="225"/>
      <c r="AI124" s="225"/>
      <c r="AJ124" s="225"/>
      <c r="AK124" s="225"/>
      <c r="AL124" s="225"/>
      <c r="AM124" s="225"/>
      <c r="AN124" s="225"/>
      <c r="AO124" s="225"/>
      <c r="AP124" s="225"/>
      <c r="AQ124" s="225"/>
      <c r="AR124" s="225"/>
      <c r="AS124" s="225"/>
      <c r="AT124" s="225"/>
      <c r="AU124" s="225"/>
      <c r="AV124" s="225"/>
      <c r="AW124" s="225"/>
      <c r="AX124" s="225"/>
      <c r="AY124" s="225"/>
      <c r="AZ124" s="225"/>
      <c r="BA124" s="225"/>
      <c r="BB124" s="225"/>
      <c r="BC124" s="225"/>
      <c r="BD124" s="225"/>
      <c r="BE124" s="225"/>
      <c r="BF124" s="225"/>
      <c r="BG124" s="225"/>
      <c r="BH124" s="225"/>
      <c r="BI124" s="225"/>
      <c r="BJ124" s="225"/>
      <c r="BK124" s="225"/>
      <c r="BL124" s="225"/>
      <c r="BM124" s="225"/>
      <c r="BN124" s="205"/>
      <c r="BO124" s="213"/>
      <c r="BP124" s="141"/>
      <c r="BQ124" s="141"/>
      <c r="BR124" s="141"/>
      <c r="BS124" s="141"/>
      <c r="BT124" s="141"/>
      <c r="BU124" s="141"/>
      <c r="BV124" s="141"/>
      <c r="BW124" s="141"/>
      <c r="BX124" s="141"/>
      <c r="BY124" s="141"/>
      <c r="BZ124" s="141"/>
      <c r="CA124" s="141"/>
      <c r="CB124" s="141"/>
    </row>
    <row r="125" spans="1:80" customFormat="1">
      <c r="A125" s="211"/>
      <c r="B125" s="211"/>
      <c r="C125" s="210"/>
      <c r="D125" s="207"/>
      <c r="E125" s="210"/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  <c r="AA125" s="225"/>
      <c r="AB125" s="225"/>
      <c r="AC125" s="225"/>
      <c r="AD125" s="225"/>
      <c r="AE125" s="225"/>
      <c r="AF125" s="225"/>
      <c r="AG125" s="225"/>
      <c r="AH125" s="225"/>
      <c r="AI125" s="225"/>
      <c r="AJ125" s="225"/>
      <c r="AK125" s="225"/>
      <c r="AL125" s="225"/>
      <c r="AM125" s="225"/>
      <c r="AN125" s="225"/>
      <c r="AO125" s="225"/>
      <c r="AP125" s="225"/>
      <c r="AQ125" s="225"/>
      <c r="AR125" s="225"/>
      <c r="AS125" s="225"/>
      <c r="AT125" s="225"/>
      <c r="AU125" s="225"/>
      <c r="AV125" s="225"/>
      <c r="AW125" s="225"/>
      <c r="AX125" s="225"/>
      <c r="AY125" s="225"/>
      <c r="AZ125" s="225"/>
      <c r="BA125" s="225"/>
      <c r="BB125" s="225"/>
      <c r="BC125" s="225"/>
      <c r="BD125" s="225"/>
      <c r="BE125" s="225"/>
      <c r="BF125" s="225"/>
      <c r="BG125" s="225"/>
      <c r="BH125" s="225"/>
      <c r="BI125" s="225"/>
      <c r="BJ125" s="225"/>
      <c r="BK125" s="225"/>
      <c r="BL125" s="225"/>
      <c r="BM125" s="225"/>
      <c r="BN125" s="205"/>
      <c r="BO125" s="213"/>
      <c r="BP125" s="141"/>
      <c r="BQ125" s="141"/>
      <c r="BR125" s="141"/>
      <c r="BS125" s="141"/>
      <c r="BT125" s="141"/>
      <c r="BU125" s="141"/>
      <c r="BV125" s="141"/>
      <c r="BW125" s="141"/>
      <c r="BX125" s="141"/>
      <c r="BY125" s="141"/>
      <c r="BZ125" s="141"/>
      <c r="CA125" s="141"/>
      <c r="CB125" s="141"/>
    </row>
    <row r="126" spans="1:80" customFormat="1">
      <c r="A126" s="211"/>
      <c r="B126" s="211"/>
      <c r="C126" s="210"/>
      <c r="D126" s="207"/>
      <c r="E126" s="210"/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  <c r="AA126" s="225"/>
      <c r="AB126" s="225"/>
      <c r="AC126" s="225"/>
      <c r="AD126" s="225"/>
      <c r="AE126" s="225"/>
      <c r="AF126" s="225"/>
      <c r="AG126" s="225"/>
      <c r="AH126" s="225"/>
      <c r="AI126" s="225"/>
      <c r="AJ126" s="225"/>
      <c r="AK126" s="225"/>
      <c r="AL126" s="225"/>
      <c r="AM126" s="225"/>
      <c r="AN126" s="225"/>
      <c r="AO126" s="225"/>
      <c r="AP126" s="225"/>
      <c r="AQ126" s="225"/>
      <c r="AR126" s="225"/>
      <c r="AS126" s="225"/>
      <c r="AT126" s="225"/>
      <c r="AU126" s="225"/>
      <c r="AV126" s="225"/>
      <c r="AW126" s="225"/>
      <c r="AX126" s="225"/>
      <c r="AY126" s="225"/>
      <c r="AZ126" s="225"/>
      <c r="BA126" s="225"/>
      <c r="BB126" s="225"/>
      <c r="BC126" s="225"/>
      <c r="BD126" s="225"/>
      <c r="BE126" s="225"/>
      <c r="BF126" s="225"/>
      <c r="BG126" s="225"/>
      <c r="BH126" s="225"/>
      <c r="BI126" s="225"/>
      <c r="BJ126" s="225"/>
      <c r="BK126" s="225"/>
      <c r="BL126" s="225"/>
      <c r="BM126" s="225"/>
      <c r="BN126" s="205"/>
      <c r="BO126" s="213"/>
      <c r="BP126" s="141"/>
      <c r="BQ126" s="141"/>
      <c r="BR126" s="141"/>
      <c r="BS126" s="141"/>
      <c r="BT126" s="141"/>
      <c r="BU126" s="141"/>
      <c r="BV126" s="141"/>
      <c r="BW126" s="141"/>
      <c r="BX126" s="141"/>
      <c r="BY126" s="141"/>
      <c r="BZ126" s="141"/>
      <c r="CA126" s="141"/>
      <c r="CB126" s="141"/>
    </row>
    <row r="127" spans="1:80" customFormat="1">
      <c r="A127" s="211"/>
      <c r="B127" s="211"/>
      <c r="C127" s="210"/>
      <c r="D127" s="206"/>
      <c r="E127" s="210"/>
      <c r="F127" s="22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  <c r="AB127" s="225"/>
      <c r="AC127" s="225"/>
      <c r="AD127" s="225"/>
      <c r="AE127" s="225"/>
      <c r="AF127" s="225"/>
      <c r="AG127" s="225"/>
      <c r="AH127" s="225"/>
      <c r="AI127" s="225"/>
      <c r="AJ127" s="225"/>
      <c r="AK127" s="225"/>
      <c r="AL127" s="225"/>
      <c r="AM127" s="225"/>
      <c r="AN127" s="225"/>
      <c r="AO127" s="225"/>
      <c r="AP127" s="225"/>
      <c r="AQ127" s="225"/>
      <c r="AR127" s="225"/>
      <c r="AS127" s="225"/>
      <c r="AT127" s="225"/>
      <c r="AU127" s="225"/>
      <c r="AV127" s="225"/>
      <c r="AW127" s="225"/>
      <c r="AX127" s="225"/>
      <c r="AY127" s="225"/>
      <c r="AZ127" s="225"/>
      <c r="BA127" s="225"/>
      <c r="BB127" s="225"/>
      <c r="BC127" s="225"/>
      <c r="BD127" s="225"/>
      <c r="BE127" s="225"/>
      <c r="BF127" s="225"/>
      <c r="BG127" s="225"/>
      <c r="BH127" s="225"/>
      <c r="BI127" s="225"/>
      <c r="BJ127" s="225"/>
      <c r="BK127" s="225"/>
      <c r="BL127" s="225"/>
      <c r="BM127" s="225"/>
      <c r="BN127" s="205"/>
      <c r="BO127" s="213"/>
      <c r="BP127" s="141"/>
      <c r="BQ127" s="141"/>
      <c r="BR127" s="141"/>
      <c r="BS127" s="141"/>
      <c r="BT127" s="141"/>
      <c r="BU127" s="141"/>
      <c r="BV127" s="141"/>
      <c r="BW127" s="141"/>
      <c r="BX127" s="141"/>
      <c r="BY127" s="141"/>
      <c r="BZ127" s="141"/>
      <c r="CA127" s="141"/>
      <c r="CB127" s="141"/>
    </row>
    <row r="128" spans="1:80" customFormat="1">
      <c r="A128" s="211"/>
      <c r="B128" s="211"/>
      <c r="C128" s="210"/>
      <c r="D128" s="207"/>
      <c r="E128" s="210"/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  <c r="AA128" s="225"/>
      <c r="AB128" s="225"/>
      <c r="AC128" s="225"/>
      <c r="AD128" s="225"/>
      <c r="AE128" s="225"/>
      <c r="AF128" s="225"/>
      <c r="AG128" s="225"/>
      <c r="AH128" s="225"/>
      <c r="AI128" s="225"/>
      <c r="AJ128" s="225"/>
      <c r="AK128" s="225"/>
      <c r="AL128" s="225"/>
      <c r="AM128" s="225"/>
      <c r="AN128" s="225"/>
      <c r="AO128" s="225"/>
      <c r="AP128" s="225"/>
      <c r="AQ128" s="225"/>
      <c r="AR128" s="225"/>
      <c r="AS128" s="225"/>
      <c r="AT128" s="225"/>
      <c r="AU128" s="225"/>
      <c r="AV128" s="225"/>
      <c r="AW128" s="225"/>
      <c r="AX128" s="225"/>
      <c r="AY128" s="225"/>
      <c r="AZ128" s="225"/>
      <c r="BA128" s="225"/>
      <c r="BB128" s="225"/>
      <c r="BC128" s="225"/>
      <c r="BD128" s="225"/>
      <c r="BE128" s="225"/>
      <c r="BF128" s="225"/>
      <c r="BG128" s="225"/>
      <c r="BH128" s="225"/>
      <c r="BI128" s="225"/>
      <c r="BJ128" s="225"/>
      <c r="BK128" s="225"/>
      <c r="BL128" s="225"/>
      <c r="BM128" s="225"/>
      <c r="BN128" s="205"/>
      <c r="BO128" s="213"/>
      <c r="BP128" s="141"/>
      <c r="BQ128" s="141"/>
      <c r="BR128" s="141"/>
      <c r="BS128" s="141"/>
      <c r="BT128" s="141"/>
      <c r="BU128" s="141"/>
      <c r="BV128" s="141"/>
      <c r="BW128" s="141"/>
      <c r="BX128" s="141"/>
      <c r="BY128" s="141"/>
      <c r="BZ128" s="141"/>
      <c r="CA128" s="141"/>
      <c r="CB128" s="141"/>
    </row>
    <row r="129" spans="1:80" customFormat="1">
      <c r="A129" s="211"/>
      <c r="B129" s="211"/>
      <c r="C129" s="210"/>
      <c r="D129" s="216"/>
      <c r="E129" s="210"/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  <c r="AA129" s="225"/>
      <c r="AB129" s="225"/>
      <c r="AC129" s="225"/>
      <c r="AD129" s="225"/>
      <c r="AE129" s="225"/>
      <c r="AF129" s="225"/>
      <c r="AG129" s="225"/>
      <c r="AH129" s="225"/>
      <c r="AI129" s="225"/>
      <c r="AJ129" s="225"/>
      <c r="AK129" s="225"/>
      <c r="AL129" s="225"/>
      <c r="AM129" s="225"/>
      <c r="AN129" s="225"/>
      <c r="AO129" s="225"/>
      <c r="AP129" s="225"/>
      <c r="AQ129" s="225"/>
      <c r="AR129" s="225"/>
      <c r="AS129" s="225"/>
      <c r="AT129" s="225"/>
      <c r="AU129" s="225"/>
      <c r="AV129" s="225"/>
      <c r="AW129" s="225"/>
      <c r="AX129" s="225"/>
      <c r="AY129" s="225"/>
      <c r="AZ129" s="225"/>
      <c r="BA129" s="225"/>
      <c r="BB129" s="225"/>
      <c r="BC129" s="225"/>
      <c r="BD129" s="225"/>
      <c r="BE129" s="225"/>
      <c r="BF129" s="225"/>
      <c r="BG129" s="225"/>
      <c r="BH129" s="225"/>
      <c r="BI129" s="225"/>
      <c r="BJ129" s="225"/>
      <c r="BK129" s="225"/>
      <c r="BL129" s="225"/>
      <c r="BM129" s="225"/>
      <c r="BN129" s="205"/>
      <c r="BO129" s="213"/>
      <c r="BP129" s="141"/>
      <c r="BQ129" s="141"/>
      <c r="BR129" s="141"/>
      <c r="BS129" s="141"/>
      <c r="BT129" s="141"/>
      <c r="BU129" s="141"/>
      <c r="BV129" s="141"/>
      <c r="BW129" s="141"/>
      <c r="BX129" s="141"/>
      <c r="BY129" s="141"/>
      <c r="BZ129" s="141"/>
      <c r="CA129" s="141"/>
      <c r="CB129" s="141"/>
    </row>
    <row r="130" spans="1:80" customFormat="1">
      <c r="A130" s="211"/>
      <c r="B130" s="211"/>
      <c r="C130" s="210"/>
      <c r="D130" s="207"/>
      <c r="E130" s="210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  <c r="AT130" s="205"/>
      <c r="AU130" s="205"/>
      <c r="AV130" s="205"/>
      <c r="AW130" s="205"/>
      <c r="AX130" s="205"/>
      <c r="AY130" s="205"/>
      <c r="AZ130" s="205"/>
      <c r="BA130" s="205"/>
      <c r="BB130" s="205"/>
      <c r="BC130" s="205"/>
      <c r="BD130" s="205"/>
      <c r="BE130" s="205"/>
      <c r="BF130" s="205"/>
      <c r="BG130" s="205"/>
      <c r="BH130" s="205"/>
      <c r="BI130" s="205"/>
      <c r="BJ130" s="205"/>
      <c r="BK130" s="205"/>
      <c r="BL130" s="205"/>
      <c r="BM130" s="205"/>
      <c r="BN130" s="205"/>
      <c r="BO130" s="213"/>
      <c r="BP130" s="141"/>
      <c r="BQ130" s="141"/>
      <c r="BR130" s="141"/>
      <c r="BS130" s="141"/>
      <c r="BT130" s="141"/>
      <c r="BU130" s="141"/>
      <c r="BV130" s="141"/>
      <c r="BW130" s="141"/>
      <c r="BX130" s="141"/>
      <c r="BY130" s="141"/>
      <c r="BZ130" s="141"/>
      <c r="CA130" s="141"/>
      <c r="CB130" s="141"/>
    </row>
    <row r="131" spans="1:80" customFormat="1">
      <c r="A131" s="211"/>
      <c r="B131" s="211"/>
      <c r="C131" s="210"/>
      <c r="D131" s="207"/>
      <c r="E131" s="210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  <c r="AT131" s="205"/>
      <c r="AU131" s="205"/>
      <c r="AV131" s="205"/>
      <c r="AW131" s="205"/>
      <c r="AX131" s="205"/>
      <c r="AY131" s="205"/>
      <c r="AZ131" s="205"/>
      <c r="BA131" s="205"/>
      <c r="BB131" s="205"/>
      <c r="BC131" s="205"/>
      <c r="BD131" s="205"/>
      <c r="BE131" s="205"/>
      <c r="BF131" s="205"/>
      <c r="BG131" s="205"/>
      <c r="BH131" s="205"/>
      <c r="BI131" s="205"/>
      <c r="BJ131" s="205"/>
      <c r="BK131" s="205"/>
      <c r="BL131" s="205"/>
      <c r="BM131" s="205"/>
      <c r="BN131" s="205"/>
      <c r="BO131" s="213"/>
      <c r="BP131" s="141"/>
      <c r="BQ131" s="141"/>
      <c r="BR131" s="141"/>
      <c r="BS131" s="141"/>
      <c r="BT131" s="141"/>
      <c r="BU131" s="141"/>
      <c r="BV131" s="141"/>
      <c r="BW131" s="141"/>
      <c r="BX131" s="141"/>
      <c r="BY131" s="141"/>
      <c r="BZ131" s="141"/>
      <c r="CA131" s="141"/>
      <c r="CB131" s="141"/>
    </row>
    <row r="132" spans="1:80" customFormat="1">
      <c r="A132" s="211"/>
      <c r="B132" s="211"/>
      <c r="C132" s="210"/>
      <c r="D132" s="207"/>
      <c r="E132" s="210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05"/>
      <c r="AV132" s="205"/>
      <c r="AW132" s="205"/>
      <c r="AX132" s="205"/>
      <c r="AY132" s="205"/>
      <c r="AZ132" s="205"/>
      <c r="BA132" s="205"/>
      <c r="BB132" s="205"/>
      <c r="BC132" s="205"/>
      <c r="BD132" s="205"/>
      <c r="BE132" s="205"/>
      <c r="BF132" s="205"/>
      <c r="BG132" s="205"/>
      <c r="BH132" s="205"/>
      <c r="BI132" s="205"/>
      <c r="BJ132" s="205"/>
      <c r="BK132" s="205"/>
      <c r="BL132" s="205"/>
      <c r="BM132" s="205"/>
      <c r="BN132" s="205"/>
      <c r="BO132" s="213"/>
      <c r="BP132" s="141"/>
      <c r="BQ132" s="141"/>
      <c r="BR132" s="141"/>
      <c r="BS132" s="141"/>
      <c r="BT132" s="141"/>
      <c r="BU132" s="141"/>
      <c r="BV132" s="141"/>
      <c r="BW132" s="141"/>
      <c r="BX132" s="141"/>
      <c r="BY132" s="141"/>
      <c r="BZ132" s="141"/>
      <c r="CA132" s="141"/>
      <c r="CB132" s="141"/>
    </row>
    <row r="133" spans="1:80" customFormat="1">
      <c r="A133" s="211"/>
      <c r="B133" s="211"/>
      <c r="C133" s="210"/>
      <c r="D133" s="207"/>
      <c r="E133" s="210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  <c r="AV133" s="205"/>
      <c r="AW133" s="205"/>
      <c r="AX133" s="205"/>
      <c r="AY133" s="205"/>
      <c r="AZ133" s="205"/>
      <c r="BA133" s="205"/>
      <c r="BB133" s="205"/>
      <c r="BC133" s="205"/>
      <c r="BD133" s="205"/>
      <c r="BE133" s="205"/>
      <c r="BF133" s="205"/>
      <c r="BG133" s="205"/>
      <c r="BH133" s="205"/>
      <c r="BI133" s="205"/>
      <c r="BJ133" s="205"/>
      <c r="BK133" s="205"/>
      <c r="BL133" s="205"/>
      <c r="BM133" s="205"/>
      <c r="BN133" s="205"/>
      <c r="BO133" s="213"/>
      <c r="BP133" s="141"/>
      <c r="BQ133" s="141"/>
      <c r="BR133" s="141"/>
      <c r="BS133" s="141"/>
      <c r="BT133" s="141"/>
      <c r="BU133" s="141"/>
      <c r="BV133" s="141"/>
      <c r="BW133" s="141"/>
      <c r="BX133" s="141"/>
      <c r="BY133" s="141"/>
      <c r="BZ133" s="141"/>
      <c r="CA133" s="141"/>
      <c r="CB133" s="141"/>
    </row>
    <row r="134" spans="1:80" customFormat="1">
      <c r="A134" s="211"/>
      <c r="B134" s="211"/>
      <c r="C134" s="210"/>
      <c r="D134" s="207"/>
      <c r="E134" s="210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  <c r="BE134" s="205"/>
      <c r="BF134" s="205"/>
      <c r="BG134" s="205"/>
      <c r="BH134" s="205"/>
      <c r="BI134" s="205"/>
      <c r="BJ134" s="205"/>
      <c r="BK134" s="205"/>
      <c r="BL134" s="205"/>
      <c r="BM134" s="205"/>
      <c r="BN134" s="205"/>
      <c r="BO134" s="213"/>
      <c r="BP134" s="141"/>
      <c r="BQ134" s="141"/>
      <c r="BR134" s="141"/>
      <c r="BS134" s="141"/>
      <c r="BT134" s="141"/>
      <c r="BU134" s="141"/>
      <c r="BV134" s="141"/>
      <c r="BW134" s="141"/>
      <c r="BX134" s="141"/>
      <c r="BY134" s="141"/>
      <c r="BZ134" s="141"/>
      <c r="CA134" s="141"/>
      <c r="CB134" s="141"/>
    </row>
    <row r="135" spans="1:80" customFormat="1">
      <c r="A135" s="211"/>
      <c r="B135" s="211"/>
      <c r="C135" s="210"/>
      <c r="D135" s="207"/>
      <c r="E135" s="210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05"/>
      <c r="AV135" s="205"/>
      <c r="AW135" s="205"/>
      <c r="AX135" s="205"/>
      <c r="AY135" s="205"/>
      <c r="AZ135" s="205"/>
      <c r="BA135" s="205"/>
      <c r="BB135" s="205"/>
      <c r="BC135" s="205"/>
      <c r="BD135" s="205"/>
      <c r="BE135" s="205"/>
      <c r="BF135" s="205"/>
      <c r="BG135" s="205"/>
      <c r="BH135" s="205"/>
      <c r="BI135" s="205"/>
      <c r="BJ135" s="205"/>
      <c r="BK135" s="205"/>
      <c r="BL135" s="205"/>
      <c r="BM135" s="205"/>
      <c r="BN135" s="205"/>
      <c r="BO135" s="213"/>
      <c r="BP135" s="141"/>
      <c r="BQ135" s="141"/>
      <c r="BR135" s="141"/>
      <c r="BS135" s="141"/>
      <c r="BT135" s="141"/>
      <c r="BU135" s="141"/>
      <c r="BV135" s="141"/>
      <c r="BW135" s="141"/>
      <c r="BX135" s="141"/>
      <c r="BY135" s="141"/>
      <c r="BZ135" s="141"/>
      <c r="CA135" s="141"/>
      <c r="CB135" s="141"/>
    </row>
    <row r="136" spans="1:80" customFormat="1">
      <c r="A136" s="211"/>
      <c r="B136" s="211"/>
      <c r="C136" s="210"/>
      <c r="D136" s="207"/>
      <c r="E136" s="210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05"/>
      <c r="AV136" s="205"/>
      <c r="AW136" s="205"/>
      <c r="AX136" s="205"/>
      <c r="AY136" s="205"/>
      <c r="AZ136" s="205"/>
      <c r="BA136" s="205"/>
      <c r="BB136" s="205"/>
      <c r="BC136" s="205"/>
      <c r="BD136" s="205"/>
      <c r="BE136" s="205"/>
      <c r="BF136" s="205"/>
      <c r="BG136" s="205"/>
      <c r="BH136" s="205"/>
      <c r="BI136" s="205"/>
      <c r="BJ136" s="205"/>
      <c r="BK136" s="205"/>
      <c r="BL136" s="205"/>
      <c r="BM136" s="205"/>
      <c r="BN136" s="205"/>
      <c r="BO136" s="213"/>
      <c r="BP136" s="141"/>
      <c r="BQ136" s="141"/>
      <c r="BR136" s="141"/>
      <c r="BS136" s="141"/>
      <c r="BT136" s="141"/>
      <c r="BU136" s="141"/>
      <c r="BV136" s="141"/>
      <c r="BW136" s="141"/>
      <c r="BX136" s="141"/>
      <c r="BY136" s="141"/>
      <c r="BZ136" s="141"/>
      <c r="CA136" s="141"/>
      <c r="CB136" s="141"/>
    </row>
    <row r="137" spans="1:80" customFormat="1">
      <c r="A137" s="211"/>
      <c r="B137" s="211"/>
      <c r="C137" s="210"/>
      <c r="D137" s="207"/>
      <c r="E137" s="210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  <c r="AT137" s="205"/>
      <c r="AU137" s="205"/>
      <c r="AV137" s="205"/>
      <c r="AW137" s="205"/>
      <c r="AX137" s="205"/>
      <c r="AY137" s="205"/>
      <c r="AZ137" s="205"/>
      <c r="BA137" s="205"/>
      <c r="BB137" s="205"/>
      <c r="BC137" s="205"/>
      <c r="BD137" s="205"/>
      <c r="BE137" s="205"/>
      <c r="BF137" s="205"/>
      <c r="BG137" s="205"/>
      <c r="BH137" s="205"/>
      <c r="BI137" s="205"/>
      <c r="BJ137" s="205"/>
      <c r="BK137" s="205"/>
      <c r="BL137" s="205"/>
      <c r="BM137" s="205"/>
      <c r="BN137" s="205"/>
      <c r="BO137" s="213"/>
      <c r="BP137" s="141"/>
      <c r="BQ137" s="141"/>
      <c r="BR137" s="141"/>
      <c r="BS137" s="141"/>
      <c r="BT137" s="141"/>
      <c r="BU137" s="141"/>
      <c r="BV137" s="141"/>
      <c r="BW137" s="141"/>
      <c r="BX137" s="141"/>
      <c r="BY137" s="141"/>
      <c r="BZ137" s="141"/>
      <c r="CA137" s="141"/>
      <c r="CB137" s="141"/>
    </row>
    <row r="138" spans="1:80" customFormat="1">
      <c r="A138" s="211"/>
      <c r="B138" s="211"/>
      <c r="C138" s="210"/>
      <c r="D138" s="207"/>
      <c r="E138" s="210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  <c r="AT138" s="205"/>
      <c r="AU138" s="205"/>
      <c r="AV138" s="205"/>
      <c r="AW138" s="205"/>
      <c r="AX138" s="205"/>
      <c r="AY138" s="205"/>
      <c r="AZ138" s="205"/>
      <c r="BA138" s="205"/>
      <c r="BB138" s="205"/>
      <c r="BC138" s="205"/>
      <c r="BD138" s="205"/>
      <c r="BE138" s="205"/>
      <c r="BF138" s="205"/>
      <c r="BG138" s="205"/>
      <c r="BH138" s="205"/>
      <c r="BI138" s="205"/>
      <c r="BJ138" s="205"/>
      <c r="BK138" s="205"/>
      <c r="BL138" s="205"/>
      <c r="BM138" s="205"/>
      <c r="BN138" s="205"/>
      <c r="BO138" s="213"/>
      <c r="BP138" s="141"/>
      <c r="BQ138" s="141"/>
      <c r="BR138" s="141"/>
      <c r="BS138" s="141"/>
      <c r="BT138" s="141"/>
      <c r="BU138" s="141"/>
      <c r="BV138" s="141"/>
      <c r="BW138" s="141"/>
      <c r="BX138" s="141"/>
      <c r="BY138" s="141"/>
      <c r="BZ138" s="141"/>
      <c r="CA138" s="141"/>
      <c r="CB138" s="141"/>
    </row>
    <row r="139" spans="1:80" customFormat="1">
      <c r="A139" s="211"/>
      <c r="B139" s="211"/>
      <c r="C139" s="210"/>
      <c r="D139" s="207"/>
      <c r="E139" s="210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  <c r="AT139" s="205"/>
      <c r="AU139" s="205"/>
      <c r="AV139" s="205"/>
      <c r="AW139" s="205"/>
      <c r="AX139" s="205"/>
      <c r="AY139" s="205"/>
      <c r="AZ139" s="205"/>
      <c r="BA139" s="205"/>
      <c r="BB139" s="205"/>
      <c r="BC139" s="205"/>
      <c r="BD139" s="205"/>
      <c r="BE139" s="205"/>
      <c r="BF139" s="205"/>
      <c r="BG139" s="205"/>
      <c r="BH139" s="205"/>
      <c r="BI139" s="205"/>
      <c r="BJ139" s="205"/>
      <c r="BK139" s="205"/>
      <c r="BL139" s="205"/>
      <c r="BM139" s="205"/>
      <c r="BN139" s="205"/>
      <c r="BO139" s="213"/>
      <c r="BP139" s="141"/>
      <c r="BQ139" s="141"/>
      <c r="BR139" s="141"/>
      <c r="BS139" s="141"/>
      <c r="BT139" s="141"/>
      <c r="BU139" s="141"/>
      <c r="BV139" s="141"/>
      <c r="BW139" s="141"/>
      <c r="BX139" s="141"/>
      <c r="BY139" s="141"/>
      <c r="BZ139" s="141"/>
      <c r="CA139" s="141"/>
      <c r="CB139" s="141"/>
    </row>
    <row r="140" spans="1:80" customFormat="1">
      <c r="A140" s="211"/>
      <c r="B140" s="211"/>
      <c r="C140" s="210"/>
      <c r="D140" s="207"/>
      <c r="E140" s="210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  <c r="AT140" s="205"/>
      <c r="AU140" s="205"/>
      <c r="AV140" s="205"/>
      <c r="AW140" s="205"/>
      <c r="AX140" s="205"/>
      <c r="AY140" s="205"/>
      <c r="AZ140" s="205"/>
      <c r="BA140" s="205"/>
      <c r="BB140" s="205"/>
      <c r="BC140" s="205"/>
      <c r="BD140" s="205"/>
      <c r="BE140" s="205"/>
      <c r="BF140" s="205"/>
      <c r="BG140" s="205"/>
      <c r="BH140" s="205"/>
      <c r="BI140" s="205"/>
      <c r="BJ140" s="205"/>
      <c r="BK140" s="205"/>
      <c r="BL140" s="205"/>
      <c r="BM140" s="205"/>
      <c r="BN140" s="205"/>
      <c r="BO140" s="213"/>
      <c r="BP140" s="141"/>
      <c r="BQ140" s="141"/>
      <c r="BR140" s="141"/>
      <c r="BS140" s="141"/>
      <c r="BT140" s="141"/>
      <c r="BU140" s="141"/>
      <c r="BV140" s="141"/>
      <c r="BW140" s="141"/>
      <c r="BX140" s="141"/>
      <c r="BY140" s="141"/>
      <c r="BZ140" s="141"/>
      <c r="CA140" s="141"/>
      <c r="CB140" s="141"/>
    </row>
    <row r="141" spans="1:80" customFormat="1">
      <c r="A141" s="211"/>
      <c r="B141" s="211"/>
      <c r="C141" s="210"/>
      <c r="D141" s="207"/>
      <c r="E141" s="210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  <c r="AT141" s="205"/>
      <c r="AU141" s="205"/>
      <c r="AV141" s="205"/>
      <c r="AW141" s="205"/>
      <c r="AX141" s="205"/>
      <c r="AY141" s="205"/>
      <c r="AZ141" s="205"/>
      <c r="BA141" s="205"/>
      <c r="BB141" s="205"/>
      <c r="BC141" s="205"/>
      <c r="BD141" s="205"/>
      <c r="BE141" s="205"/>
      <c r="BF141" s="205"/>
      <c r="BG141" s="205"/>
      <c r="BH141" s="205"/>
      <c r="BI141" s="205"/>
      <c r="BJ141" s="205"/>
      <c r="BK141" s="205"/>
      <c r="BL141" s="205"/>
      <c r="BM141" s="205"/>
      <c r="BN141" s="205"/>
      <c r="BO141" s="213"/>
      <c r="BP141" s="141"/>
      <c r="BQ141" s="141"/>
      <c r="BR141" s="141"/>
      <c r="BS141" s="141"/>
      <c r="BT141" s="141"/>
      <c r="BU141" s="141"/>
      <c r="BV141" s="141"/>
      <c r="BW141" s="141"/>
      <c r="BX141" s="141"/>
      <c r="BY141" s="141"/>
      <c r="BZ141" s="141"/>
      <c r="CA141" s="141"/>
      <c r="CB141" s="141"/>
    </row>
    <row r="142" spans="1:80" customFormat="1">
      <c r="A142" s="211"/>
      <c r="B142" s="211"/>
      <c r="C142" s="210"/>
      <c r="D142" s="207"/>
      <c r="E142" s="210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  <c r="AV142" s="205"/>
      <c r="AW142" s="205"/>
      <c r="AX142" s="205"/>
      <c r="AY142" s="205"/>
      <c r="AZ142" s="205"/>
      <c r="BA142" s="205"/>
      <c r="BB142" s="205"/>
      <c r="BC142" s="205"/>
      <c r="BD142" s="205"/>
      <c r="BE142" s="205"/>
      <c r="BF142" s="205"/>
      <c r="BG142" s="205"/>
      <c r="BH142" s="205"/>
      <c r="BI142" s="205"/>
      <c r="BJ142" s="205"/>
      <c r="BK142" s="205"/>
      <c r="BL142" s="205"/>
      <c r="BM142" s="205"/>
      <c r="BN142" s="205"/>
      <c r="BO142" s="213"/>
      <c r="BP142" s="141"/>
      <c r="BQ142" s="141"/>
      <c r="BR142" s="141"/>
      <c r="BS142" s="141"/>
      <c r="BT142" s="141"/>
      <c r="BU142" s="141"/>
      <c r="BV142" s="141"/>
      <c r="BW142" s="141"/>
      <c r="BX142" s="141"/>
      <c r="BY142" s="141"/>
      <c r="BZ142" s="141"/>
      <c r="CA142" s="141"/>
      <c r="CB142" s="141"/>
    </row>
    <row r="143" spans="1:80" customFormat="1">
      <c r="A143" s="211"/>
      <c r="B143" s="211"/>
      <c r="C143" s="210"/>
      <c r="D143" s="207"/>
      <c r="E143" s="210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  <c r="AT143" s="205"/>
      <c r="AU143" s="205"/>
      <c r="AV143" s="205"/>
      <c r="AW143" s="205"/>
      <c r="AX143" s="205"/>
      <c r="AY143" s="205"/>
      <c r="AZ143" s="205"/>
      <c r="BA143" s="205"/>
      <c r="BB143" s="205"/>
      <c r="BC143" s="205"/>
      <c r="BD143" s="205"/>
      <c r="BE143" s="205"/>
      <c r="BF143" s="205"/>
      <c r="BG143" s="205"/>
      <c r="BH143" s="205"/>
      <c r="BI143" s="205"/>
      <c r="BJ143" s="205"/>
      <c r="BK143" s="205"/>
      <c r="BL143" s="205"/>
      <c r="BM143" s="205"/>
      <c r="BN143" s="205"/>
      <c r="BO143" s="213"/>
      <c r="BP143" s="141"/>
      <c r="BQ143" s="141"/>
      <c r="BR143" s="141"/>
      <c r="BS143" s="141"/>
      <c r="BT143" s="141"/>
      <c r="BU143" s="141"/>
      <c r="BV143" s="141"/>
      <c r="BW143" s="141"/>
      <c r="BX143" s="141"/>
      <c r="BY143" s="141"/>
      <c r="BZ143" s="141"/>
      <c r="CA143" s="141"/>
      <c r="CB143" s="141"/>
    </row>
    <row r="144" spans="1:80" customFormat="1">
      <c r="A144" s="211"/>
      <c r="B144" s="211"/>
      <c r="C144" s="210"/>
      <c r="D144" s="207"/>
      <c r="E144" s="210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  <c r="AV144" s="205"/>
      <c r="AW144" s="205"/>
      <c r="AX144" s="205"/>
      <c r="AY144" s="205"/>
      <c r="AZ144" s="205"/>
      <c r="BA144" s="205"/>
      <c r="BB144" s="205"/>
      <c r="BC144" s="205"/>
      <c r="BD144" s="205"/>
      <c r="BE144" s="205"/>
      <c r="BF144" s="205"/>
      <c r="BG144" s="205"/>
      <c r="BH144" s="205"/>
      <c r="BI144" s="205"/>
      <c r="BJ144" s="205"/>
      <c r="BK144" s="205"/>
      <c r="BL144" s="205"/>
      <c r="BM144" s="205"/>
      <c r="BN144" s="205"/>
      <c r="BO144" s="213"/>
      <c r="BP144" s="141"/>
      <c r="BQ144" s="141"/>
      <c r="BR144" s="141"/>
      <c r="BS144" s="141"/>
      <c r="BT144" s="141"/>
      <c r="BU144" s="141"/>
      <c r="BV144" s="141"/>
      <c r="BW144" s="141"/>
      <c r="BX144" s="141"/>
      <c r="BY144" s="141"/>
      <c r="BZ144" s="141"/>
      <c r="CA144" s="141"/>
      <c r="CB144" s="141"/>
    </row>
    <row r="145" spans="1:80" customFormat="1">
      <c r="A145" s="211"/>
      <c r="B145" s="211"/>
      <c r="C145" s="210"/>
      <c r="D145" s="207"/>
      <c r="E145" s="211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  <c r="AT145" s="205"/>
      <c r="AU145" s="205"/>
      <c r="AV145" s="205"/>
      <c r="AW145" s="205"/>
      <c r="AX145" s="205"/>
      <c r="AY145" s="205"/>
      <c r="AZ145" s="205"/>
      <c r="BA145" s="205"/>
      <c r="BB145" s="205"/>
      <c r="BC145" s="205"/>
      <c r="BD145" s="205"/>
      <c r="BE145" s="205"/>
      <c r="BF145" s="205"/>
      <c r="BG145" s="205"/>
      <c r="BH145" s="205"/>
      <c r="BI145" s="205"/>
      <c r="BJ145" s="205"/>
      <c r="BK145" s="205"/>
      <c r="BL145" s="205"/>
      <c r="BM145" s="205"/>
      <c r="BN145" s="205"/>
      <c r="BO145" s="213"/>
      <c r="BP145" s="141"/>
      <c r="BQ145" s="141"/>
      <c r="BR145" s="141"/>
      <c r="BS145" s="141"/>
      <c r="BT145" s="141"/>
      <c r="BU145" s="141"/>
      <c r="BV145" s="141"/>
      <c r="BW145" s="141"/>
      <c r="BX145" s="141"/>
      <c r="BY145" s="141"/>
      <c r="BZ145" s="141"/>
      <c r="CA145" s="141"/>
      <c r="CB145" s="141"/>
    </row>
    <row r="146" spans="1:80" customFormat="1">
      <c r="A146" s="211"/>
      <c r="B146" s="211"/>
      <c r="C146" s="210"/>
      <c r="D146" s="214"/>
      <c r="E146" s="211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  <c r="AV146" s="205"/>
      <c r="AW146" s="205"/>
      <c r="AX146" s="205"/>
      <c r="AY146" s="205"/>
      <c r="AZ146" s="205"/>
      <c r="BA146" s="205"/>
      <c r="BB146" s="205"/>
      <c r="BC146" s="205"/>
      <c r="BD146" s="205"/>
      <c r="BE146" s="205"/>
      <c r="BF146" s="205"/>
      <c r="BG146" s="205"/>
      <c r="BH146" s="205"/>
      <c r="BI146" s="205"/>
      <c r="BJ146" s="205"/>
      <c r="BK146" s="205"/>
      <c r="BL146" s="205"/>
      <c r="BM146" s="205"/>
      <c r="BN146" s="205"/>
      <c r="BO146" s="213"/>
      <c r="BP146" s="141"/>
      <c r="BQ146" s="141"/>
      <c r="BR146" s="141"/>
      <c r="BS146" s="141"/>
      <c r="BT146" s="141"/>
      <c r="BU146" s="141"/>
      <c r="BV146" s="141"/>
      <c r="BW146" s="141"/>
      <c r="BX146" s="141"/>
      <c r="BY146" s="141"/>
      <c r="BZ146" s="141"/>
      <c r="CA146" s="141"/>
      <c r="CB146" s="141"/>
    </row>
    <row r="147" spans="1:80" customFormat="1">
      <c r="A147" s="211"/>
      <c r="B147" s="211"/>
      <c r="C147" s="210"/>
      <c r="D147" s="8"/>
      <c r="E147" s="210"/>
      <c r="F147" s="22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  <c r="AB147" s="225"/>
      <c r="AC147" s="225"/>
      <c r="AD147" s="225"/>
      <c r="AE147" s="225"/>
      <c r="AF147" s="225"/>
      <c r="AG147" s="225"/>
      <c r="AH147" s="225"/>
      <c r="AI147" s="225"/>
      <c r="AJ147" s="225"/>
      <c r="AK147" s="225"/>
      <c r="AL147" s="225"/>
      <c r="AM147" s="225"/>
      <c r="AN147" s="225"/>
      <c r="AO147" s="225"/>
      <c r="AP147" s="225"/>
      <c r="AQ147" s="225"/>
      <c r="AR147" s="225"/>
      <c r="AS147" s="225"/>
      <c r="AT147" s="225"/>
      <c r="AU147" s="225"/>
      <c r="AV147" s="225"/>
      <c r="AW147" s="225"/>
      <c r="AX147" s="225"/>
      <c r="AY147" s="225"/>
      <c r="AZ147" s="225"/>
      <c r="BA147" s="225"/>
      <c r="BB147" s="225"/>
      <c r="BC147" s="225"/>
      <c r="BD147" s="225"/>
      <c r="BE147" s="225"/>
      <c r="BF147" s="225"/>
      <c r="BG147" s="225"/>
      <c r="BH147" s="225"/>
      <c r="BI147" s="225"/>
      <c r="BJ147" s="225"/>
      <c r="BK147" s="225"/>
      <c r="BL147" s="225"/>
      <c r="BM147" s="225"/>
      <c r="BN147" s="205"/>
      <c r="BO147" s="213"/>
      <c r="BP147" s="141"/>
      <c r="BQ147" s="141"/>
      <c r="BR147" s="141"/>
      <c r="BS147" s="141"/>
      <c r="BT147" s="141"/>
      <c r="BU147" s="141"/>
      <c r="BV147" s="141"/>
      <c r="BW147" s="141"/>
      <c r="BX147" s="141"/>
      <c r="BY147" s="141"/>
      <c r="BZ147" s="141"/>
      <c r="CA147" s="141"/>
      <c r="CB147" s="141"/>
    </row>
    <row r="148" spans="1:80" customFormat="1">
      <c r="A148" s="211"/>
      <c r="B148" s="211"/>
      <c r="C148" s="210"/>
      <c r="D148" s="8"/>
      <c r="E148" s="210"/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  <c r="AB148" s="225"/>
      <c r="AC148" s="225"/>
      <c r="AD148" s="225"/>
      <c r="AE148" s="225"/>
      <c r="AF148" s="225"/>
      <c r="AG148" s="225"/>
      <c r="AH148" s="225"/>
      <c r="AI148" s="225"/>
      <c r="AJ148" s="225"/>
      <c r="AK148" s="225"/>
      <c r="AL148" s="225"/>
      <c r="AM148" s="225"/>
      <c r="AN148" s="225"/>
      <c r="AO148" s="225"/>
      <c r="AP148" s="225"/>
      <c r="AQ148" s="225"/>
      <c r="AR148" s="225"/>
      <c r="AS148" s="225"/>
      <c r="AT148" s="225"/>
      <c r="AU148" s="225"/>
      <c r="AV148" s="225"/>
      <c r="AW148" s="225"/>
      <c r="AX148" s="225"/>
      <c r="AY148" s="225"/>
      <c r="AZ148" s="225"/>
      <c r="BA148" s="225"/>
      <c r="BB148" s="225"/>
      <c r="BC148" s="225"/>
      <c r="BD148" s="225"/>
      <c r="BE148" s="225"/>
      <c r="BF148" s="225"/>
      <c r="BG148" s="225"/>
      <c r="BH148" s="225"/>
      <c r="BI148" s="225"/>
      <c r="BJ148" s="225"/>
      <c r="BK148" s="225"/>
      <c r="BL148" s="225"/>
      <c r="BM148" s="225"/>
      <c r="BN148" s="205"/>
      <c r="BO148" s="213"/>
      <c r="BP148" s="141"/>
      <c r="BQ148" s="141"/>
      <c r="BR148" s="141"/>
      <c r="BS148" s="141"/>
      <c r="BT148" s="141"/>
      <c r="BU148" s="141"/>
      <c r="BV148" s="141"/>
      <c r="BW148" s="141"/>
      <c r="BX148" s="141"/>
      <c r="BY148" s="141"/>
      <c r="BZ148" s="141"/>
      <c r="CA148" s="141"/>
      <c r="CB148" s="141"/>
    </row>
    <row r="149" spans="1:80" customFormat="1">
      <c r="A149" s="211"/>
      <c r="B149" s="211"/>
      <c r="C149" s="210"/>
      <c r="D149" s="8"/>
      <c r="E149" s="210"/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  <c r="AB149" s="225"/>
      <c r="AC149" s="225"/>
      <c r="AD149" s="225"/>
      <c r="AE149" s="225"/>
      <c r="AF149" s="225"/>
      <c r="AG149" s="225"/>
      <c r="AH149" s="225"/>
      <c r="AI149" s="225"/>
      <c r="AJ149" s="225"/>
      <c r="AK149" s="225"/>
      <c r="AL149" s="225"/>
      <c r="AM149" s="225"/>
      <c r="AN149" s="225"/>
      <c r="AO149" s="225"/>
      <c r="AP149" s="225"/>
      <c r="AQ149" s="225"/>
      <c r="AR149" s="225"/>
      <c r="AS149" s="225"/>
      <c r="AT149" s="225"/>
      <c r="AU149" s="225"/>
      <c r="AV149" s="225"/>
      <c r="AW149" s="225"/>
      <c r="AX149" s="225"/>
      <c r="AY149" s="225"/>
      <c r="AZ149" s="225"/>
      <c r="BA149" s="225"/>
      <c r="BB149" s="225"/>
      <c r="BC149" s="225"/>
      <c r="BD149" s="225"/>
      <c r="BE149" s="225"/>
      <c r="BF149" s="225"/>
      <c r="BG149" s="225"/>
      <c r="BH149" s="225"/>
      <c r="BI149" s="225"/>
      <c r="BJ149" s="225"/>
      <c r="BK149" s="225"/>
      <c r="BL149" s="225"/>
      <c r="BM149" s="225"/>
      <c r="BN149" s="205"/>
      <c r="BO149" s="213"/>
      <c r="BP149" s="141"/>
      <c r="BQ149" s="141"/>
      <c r="BR149" s="141"/>
      <c r="BS149" s="141"/>
      <c r="BT149" s="141"/>
      <c r="BU149" s="141"/>
      <c r="BV149" s="141"/>
      <c r="BW149" s="141"/>
      <c r="BX149" s="141"/>
      <c r="BY149" s="141"/>
      <c r="BZ149" s="141"/>
      <c r="CA149" s="141"/>
      <c r="CB149" s="141"/>
    </row>
    <row r="150" spans="1:80" customFormat="1">
      <c r="A150" s="211"/>
      <c r="B150" s="211"/>
      <c r="C150" s="210"/>
      <c r="D150" s="8"/>
      <c r="E150" s="210"/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  <c r="AA150" s="225"/>
      <c r="AB150" s="225"/>
      <c r="AC150" s="225"/>
      <c r="AD150" s="225"/>
      <c r="AE150" s="225"/>
      <c r="AF150" s="225"/>
      <c r="AG150" s="225"/>
      <c r="AH150" s="225"/>
      <c r="AI150" s="225"/>
      <c r="AJ150" s="225"/>
      <c r="AK150" s="225"/>
      <c r="AL150" s="225"/>
      <c r="AM150" s="225"/>
      <c r="AN150" s="225"/>
      <c r="AO150" s="225"/>
      <c r="AP150" s="225"/>
      <c r="AQ150" s="225"/>
      <c r="AR150" s="225"/>
      <c r="AS150" s="225"/>
      <c r="AT150" s="225"/>
      <c r="AU150" s="225"/>
      <c r="AV150" s="225"/>
      <c r="AW150" s="225"/>
      <c r="AX150" s="225"/>
      <c r="AY150" s="225"/>
      <c r="AZ150" s="225"/>
      <c r="BA150" s="225"/>
      <c r="BB150" s="225"/>
      <c r="BC150" s="225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5"/>
      <c r="BN150" s="205"/>
      <c r="BO150" s="213"/>
      <c r="BP150" s="141"/>
      <c r="BQ150" s="141"/>
      <c r="BR150" s="141"/>
      <c r="BS150" s="141"/>
      <c r="BT150" s="141"/>
      <c r="BU150" s="141"/>
      <c r="BV150" s="141"/>
      <c r="BW150" s="141"/>
      <c r="BX150" s="141"/>
      <c r="BY150" s="141"/>
      <c r="BZ150" s="141"/>
      <c r="CA150" s="141"/>
      <c r="CB150" s="141"/>
    </row>
    <row r="151" spans="1:80" customFormat="1">
      <c r="A151" s="211"/>
      <c r="B151" s="211"/>
      <c r="C151" s="210"/>
      <c r="D151" s="8"/>
      <c r="E151" s="210"/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  <c r="AA151" s="225"/>
      <c r="AB151" s="225"/>
      <c r="AC151" s="225"/>
      <c r="AD151" s="225"/>
      <c r="AE151" s="225"/>
      <c r="AF151" s="225"/>
      <c r="AG151" s="225"/>
      <c r="AH151" s="225"/>
      <c r="AI151" s="225"/>
      <c r="AJ151" s="225"/>
      <c r="AK151" s="225"/>
      <c r="AL151" s="225"/>
      <c r="AM151" s="225"/>
      <c r="AN151" s="225"/>
      <c r="AO151" s="225"/>
      <c r="AP151" s="225"/>
      <c r="AQ151" s="225"/>
      <c r="AR151" s="225"/>
      <c r="AS151" s="225"/>
      <c r="AT151" s="225"/>
      <c r="AU151" s="225"/>
      <c r="AV151" s="225"/>
      <c r="AW151" s="225"/>
      <c r="AX151" s="225"/>
      <c r="AY151" s="225"/>
      <c r="AZ151" s="225"/>
      <c r="BA151" s="225"/>
      <c r="BB151" s="225"/>
      <c r="BC151" s="225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5"/>
      <c r="BN151" s="205"/>
      <c r="BO151" s="213"/>
      <c r="BP151" s="141"/>
      <c r="BQ151" s="141"/>
      <c r="BR151" s="141"/>
      <c r="BS151" s="141"/>
      <c r="BT151" s="141"/>
      <c r="BU151" s="141"/>
      <c r="BV151" s="141"/>
      <c r="BW151" s="141"/>
      <c r="BX151" s="141"/>
      <c r="BY151" s="141"/>
      <c r="BZ151" s="141"/>
      <c r="CA151" s="141"/>
      <c r="CB151" s="141"/>
    </row>
    <row r="152" spans="1:80" customFormat="1">
      <c r="A152" s="211"/>
      <c r="B152" s="211"/>
      <c r="C152" s="210"/>
      <c r="D152" s="8"/>
      <c r="E152" s="210"/>
      <c r="F152" s="22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  <c r="AA152" s="225"/>
      <c r="AB152" s="225"/>
      <c r="AC152" s="225"/>
      <c r="AD152" s="225"/>
      <c r="AE152" s="225"/>
      <c r="AF152" s="225"/>
      <c r="AG152" s="225"/>
      <c r="AH152" s="225"/>
      <c r="AI152" s="225"/>
      <c r="AJ152" s="225"/>
      <c r="AK152" s="225"/>
      <c r="AL152" s="225"/>
      <c r="AM152" s="225"/>
      <c r="AN152" s="225"/>
      <c r="AO152" s="225"/>
      <c r="AP152" s="225"/>
      <c r="AQ152" s="225"/>
      <c r="AR152" s="225"/>
      <c r="AS152" s="225"/>
      <c r="AT152" s="225"/>
      <c r="AU152" s="225"/>
      <c r="AV152" s="225"/>
      <c r="AW152" s="225"/>
      <c r="AX152" s="225"/>
      <c r="AY152" s="225"/>
      <c r="AZ152" s="225"/>
      <c r="BA152" s="225"/>
      <c r="BB152" s="225"/>
      <c r="BC152" s="225"/>
      <c r="BD152" s="225"/>
      <c r="BE152" s="225"/>
      <c r="BF152" s="225"/>
      <c r="BG152" s="225"/>
      <c r="BH152" s="225"/>
      <c r="BI152" s="225"/>
      <c r="BJ152" s="225"/>
      <c r="BK152" s="225"/>
      <c r="BL152" s="225"/>
      <c r="BM152" s="225"/>
      <c r="BN152" s="205"/>
      <c r="BO152" s="213"/>
      <c r="BP152" s="141"/>
      <c r="BQ152" s="141"/>
      <c r="BR152" s="141"/>
      <c r="BS152" s="141"/>
      <c r="BT152" s="141"/>
      <c r="BU152" s="141"/>
      <c r="BV152" s="141"/>
      <c r="BW152" s="141"/>
      <c r="BX152" s="141"/>
      <c r="BY152" s="141"/>
      <c r="BZ152" s="141"/>
      <c r="CA152" s="141"/>
      <c r="CB152" s="141"/>
    </row>
    <row r="153" spans="1:80" customFormat="1">
      <c r="A153" s="211"/>
      <c r="B153" s="211"/>
      <c r="C153" s="210"/>
      <c r="D153" s="8"/>
      <c r="E153" s="210"/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  <c r="AA153" s="225"/>
      <c r="AB153" s="225"/>
      <c r="AC153" s="225"/>
      <c r="AD153" s="225"/>
      <c r="AE153" s="225"/>
      <c r="AF153" s="225"/>
      <c r="AG153" s="225"/>
      <c r="AH153" s="225"/>
      <c r="AI153" s="225"/>
      <c r="AJ153" s="225"/>
      <c r="AK153" s="225"/>
      <c r="AL153" s="225"/>
      <c r="AM153" s="225"/>
      <c r="AN153" s="225"/>
      <c r="AO153" s="225"/>
      <c r="AP153" s="225"/>
      <c r="AQ153" s="225"/>
      <c r="AR153" s="225"/>
      <c r="AS153" s="225"/>
      <c r="AT153" s="225"/>
      <c r="AU153" s="225"/>
      <c r="AV153" s="225"/>
      <c r="AW153" s="225"/>
      <c r="AX153" s="225"/>
      <c r="AY153" s="225"/>
      <c r="AZ153" s="225"/>
      <c r="BA153" s="225"/>
      <c r="BB153" s="225"/>
      <c r="BC153" s="225"/>
      <c r="BD153" s="225"/>
      <c r="BE153" s="225"/>
      <c r="BF153" s="225"/>
      <c r="BG153" s="225"/>
      <c r="BH153" s="225"/>
      <c r="BI153" s="225"/>
      <c r="BJ153" s="225"/>
      <c r="BK153" s="225"/>
      <c r="BL153" s="225"/>
      <c r="BM153" s="225"/>
      <c r="BN153" s="205"/>
      <c r="BO153" s="213"/>
      <c r="BP153" s="141"/>
      <c r="BQ153" s="141"/>
      <c r="BR153" s="141"/>
      <c r="BS153" s="141"/>
      <c r="BT153" s="141"/>
      <c r="BU153" s="141"/>
      <c r="BV153" s="141"/>
      <c r="BW153" s="141"/>
      <c r="BX153" s="141"/>
      <c r="BY153" s="141"/>
      <c r="BZ153" s="141"/>
      <c r="CA153" s="141"/>
      <c r="CB153" s="141"/>
    </row>
    <row r="154" spans="1:80" customFormat="1">
      <c r="A154" s="211"/>
      <c r="B154" s="211"/>
      <c r="C154" s="210"/>
      <c r="D154" s="8"/>
      <c r="E154" s="210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05"/>
      <c r="AZ154" s="205"/>
      <c r="BA154" s="205"/>
      <c r="BB154" s="205"/>
      <c r="BC154" s="205"/>
      <c r="BD154" s="205"/>
      <c r="BE154" s="205"/>
      <c r="BF154" s="205"/>
      <c r="BG154" s="205"/>
      <c r="BH154" s="205"/>
      <c r="BI154" s="205"/>
      <c r="BJ154" s="205"/>
      <c r="BK154" s="205"/>
      <c r="BL154" s="205"/>
      <c r="BM154" s="205"/>
      <c r="BN154" s="205"/>
      <c r="BO154" s="213"/>
      <c r="BP154" s="141"/>
      <c r="BQ154" s="141"/>
      <c r="BR154" s="141"/>
      <c r="BS154" s="141"/>
      <c r="BT154" s="141"/>
      <c r="BU154" s="141"/>
      <c r="BV154" s="141"/>
      <c r="BW154" s="141"/>
      <c r="BX154" s="141"/>
      <c r="BY154" s="141"/>
      <c r="BZ154" s="141"/>
      <c r="CA154" s="141"/>
      <c r="CB154" s="141"/>
    </row>
    <row r="155" spans="1:80" customFormat="1">
      <c r="A155" s="211"/>
      <c r="B155" s="211"/>
      <c r="C155" s="210"/>
      <c r="D155" s="8"/>
      <c r="E155" s="210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  <c r="AV155" s="205"/>
      <c r="AW155" s="205"/>
      <c r="AX155" s="205"/>
      <c r="AY155" s="205"/>
      <c r="AZ155" s="205"/>
      <c r="BA155" s="205"/>
      <c r="BB155" s="205"/>
      <c r="BC155" s="205"/>
      <c r="BD155" s="205"/>
      <c r="BE155" s="205"/>
      <c r="BF155" s="205"/>
      <c r="BG155" s="205"/>
      <c r="BH155" s="205"/>
      <c r="BI155" s="205"/>
      <c r="BJ155" s="205"/>
      <c r="BK155" s="205"/>
      <c r="BL155" s="205"/>
      <c r="BM155" s="205"/>
      <c r="BN155" s="205"/>
      <c r="BO155" s="213"/>
      <c r="BP155" s="141"/>
      <c r="BQ155" s="141"/>
      <c r="BR155" s="141"/>
      <c r="BS155" s="141"/>
      <c r="BT155" s="141"/>
      <c r="BU155" s="141"/>
      <c r="BV155" s="141"/>
      <c r="BW155" s="141"/>
      <c r="BX155" s="141"/>
      <c r="BY155" s="141"/>
      <c r="BZ155" s="141"/>
      <c r="CA155" s="141"/>
      <c r="CB155" s="141"/>
    </row>
    <row r="156" spans="1:80" customFormat="1">
      <c r="A156" s="211"/>
      <c r="B156" s="211"/>
      <c r="C156" s="210"/>
      <c r="D156" s="8"/>
      <c r="E156" s="210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5"/>
      <c r="BA156" s="205"/>
      <c r="BB156" s="205"/>
      <c r="BC156" s="205"/>
      <c r="BD156" s="205"/>
      <c r="BE156" s="205"/>
      <c r="BF156" s="205"/>
      <c r="BG156" s="205"/>
      <c r="BH156" s="205"/>
      <c r="BI156" s="205"/>
      <c r="BJ156" s="205"/>
      <c r="BK156" s="205"/>
      <c r="BL156" s="205"/>
      <c r="BM156" s="205"/>
      <c r="BN156" s="205"/>
      <c r="BO156" s="213"/>
      <c r="BP156" s="141"/>
      <c r="BQ156" s="141"/>
      <c r="BR156" s="141"/>
      <c r="BS156" s="141"/>
      <c r="BT156" s="141"/>
      <c r="BU156" s="141"/>
      <c r="BV156" s="141"/>
      <c r="BW156" s="141"/>
      <c r="BX156" s="141"/>
      <c r="BY156" s="141"/>
      <c r="BZ156" s="141"/>
      <c r="CA156" s="141"/>
      <c r="CB156" s="141"/>
    </row>
    <row r="157" spans="1:80" customFormat="1">
      <c r="A157" s="211"/>
      <c r="B157" s="211"/>
      <c r="C157" s="210"/>
      <c r="D157" s="8"/>
      <c r="E157" s="210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  <c r="AV157" s="205"/>
      <c r="AW157" s="205"/>
      <c r="AX157" s="205"/>
      <c r="AY157" s="205"/>
      <c r="AZ157" s="205"/>
      <c r="BA157" s="205"/>
      <c r="BB157" s="205"/>
      <c r="BC157" s="205"/>
      <c r="BD157" s="205"/>
      <c r="BE157" s="205"/>
      <c r="BF157" s="205"/>
      <c r="BG157" s="205"/>
      <c r="BH157" s="205"/>
      <c r="BI157" s="205"/>
      <c r="BJ157" s="205"/>
      <c r="BK157" s="205"/>
      <c r="BL157" s="205"/>
      <c r="BM157" s="205"/>
      <c r="BN157" s="205"/>
      <c r="BO157" s="213"/>
      <c r="BP157" s="141"/>
      <c r="BQ157" s="141"/>
      <c r="BR157" s="141"/>
      <c r="BS157" s="141"/>
      <c r="BT157" s="141"/>
      <c r="BU157" s="141"/>
      <c r="BV157" s="141"/>
      <c r="BW157" s="141"/>
      <c r="BX157" s="141"/>
      <c r="BY157" s="141"/>
      <c r="BZ157" s="141"/>
      <c r="CA157" s="141"/>
      <c r="CB157" s="141"/>
    </row>
    <row r="158" spans="1:80" customFormat="1">
      <c r="A158" s="211"/>
      <c r="B158" s="211"/>
      <c r="C158" s="210"/>
      <c r="D158" s="8"/>
      <c r="E158" s="211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5"/>
      <c r="BA158" s="205"/>
      <c r="BB158" s="205"/>
      <c r="BC158" s="205"/>
      <c r="BD158" s="205"/>
      <c r="BE158" s="205"/>
      <c r="BF158" s="205"/>
      <c r="BG158" s="205"/>
      <c r="BH158" s="205"/>
      <c r="BI158" s="205"/>
      <c r="BJ158" s="205"/>
      <c r="BK158" s="205"/>
      <c r="BL158" s="205"/>
      <c r="BM158" s="205"/>
      <c r="BN158" s="205"/>
      <c r="BO158" s="213"/>
      <c r="BP158" s="141"/>
      <c r="BQ158" s="141"/>
      <c r="BR158" s="141"/>
      <c r="BS158" s="141"/>
      <c r="BT158" s="141"/>
      <c r="BU158" s="141"/>
      <c r="BV158" s="141"/>
      <c r="BW158" s="141"/>
      <c r="BX158" s="141"/>
      <c r="BY158" s="141"/>
      <c r="BZ158" s="141"/>
      <c r="CA158" s="141"/>
      <c r="CB158" s="141"/>
    </row>
    <row r="159" spans="1:80" customFormat="1">
      <c r="A159" s="211"/>
      <c r="B159" s="211"/>
      <c r="C159" s="210"/>
      <c r="D159" s="214"/>
      <c r="E159" s="211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  <c r="AV159" s="205"/>
      <c r="AW159" s="205"/>
      <c r="AX159" s="205"/>
      <c r="AY159" s="205"/>
      <c r="AZ159" s="205"/>
      <c r="BA159" s="205"/>
      <c r="BB159" s="205"/>
      <c r="BC159" s="205"/>
      <c r="BD159" s="205"/>
      <c r="BE159" s="205"/>
      <c r="BF159" s="205"/>
      <c r="BG159" s="205"/>
      <c r="BH159" s="205"/>
      <c r="BI159" s="205"/>
      <c r="BJ159" s="205"/>
      <c r="BK159" s="205"/>
      <c r="BL159" s="205"/>
      <c r="BM159" s="205"/>
      <c r="BN159" s="205"/>
      <c r="BO159" s="213"/>
      <c r="BP159" s="141"/>
      <c r="BQ159" s="141"/>
      <c r="BR159" s="141"/>
      <c r="BS159" s="141"/>
      <c r="BT159" s="141"/>
      <c r="BU159" s="141"/>
      <c r="BV159" s="141"/>
      <c r="BW159" s="141"/>
      <c r="BX159" s="141"/>
      <c r="BY159" s="141"/>
      <c r="BZ159" s="141"/>
      <c r="CA159" s="141"/>
      <c r="CB159" s="141"/>
    </row>
    <row r="160" spans="1:80" customFormat="1">
      <c r="A160" s="211"/>
      <c r="B160" s="211"/>
      <c r="C160" s="210"/>
      <c r="D160" s="206"/>
      <c r="E160" s="215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6"/>
      <c r="AG160" s="226"/>
      <c r="AH160" s="226"/>
      <c r="AI160" s="226"/>
      <c r="AJ160" s="226"/>
      <c r="AK160" s="226"/>
      <c r="AL160" s="226"/>
      <c r="AM160" s="226"/>
      <c r="AN160" s="226"/>
      <c r="AO160" s="226"/>
      <c r="AP160" s="226"/>
      <c r="AQ160" s="226"/>
      <c r="AR160" s="226"/>
      <c r="AS160" s="226"/>
      <c r="AT160" s="226"/>
      <c r="AU160" s="226"/>
      <c r="AV160" s="226"/>
      <c r="AW160" s="226"/>
      <c r="AX160" s="226"/>
      <c r="AY160" s="226"/>
      <c r="AZ160" s="226"/>
      <c r="BA160" s="226"/>
      <c r="BB160" s="226"/>
      <c r="BC160" s="226"/>
      <c r="BD160" s="226"/>
      <c r="BE160" s="226"/>
      <c r="BF160" s="226"/>
      <c r="BG160" s="226"/>
      <c r="BH160" s="226"/>
      <c r="BI160" s="226"/>
      <c r="BJ160" s="226"/>
      <c r="BK160" s="226"/>
      <c r="BL160" s="226"/>
      <c r="BM160" s="226"/>
      <c r="BN160" s="205"/>
      <c r="BO160" s="213"/>
      <c r="BP160" s="141"/>
      <c r="BQ160" s="141"/>
      <c r="BR160" s="141"/>
      <c r="BS160" s="141"/>
      <c r="BT160" s="141"/>
      <c r="BU160" s="141"/>
      <c r="BV160" s="141"/>
      <c r="BW160" s="141"/>
      <c r="BX160" s="141"/>
      <c r="BY160" s="141"/>
      <c r="BZ160" s="141"/>
      <c r="CA160" s="141"/>
      <c r="CB160" s="141"/>
    </row>
    <row r="161" spans="1:80" customFormat="1">
      <c r="A161" s="211"/>
      <c r="B161" s="211"/>
      <c r="C161" s="210"/>
      <c r="D161" s="206"/>
      <c r="E161" s="215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  <c r="AB161" s="226"/>
      <c r="AC161" s="226"/>
      <c r="AD161" s="226"/>
      <c r="AE161" s="226"/>
      <c r="AF161" s="226"/>
      <c r="AG161" s="226"/>
      <c r="AH161" s="226"/>
      <c r="AI161" s="226"/>
      <c r="AJ161" s="226"/>
      <c r="AK161" s="226"/>
      <c r="AL161" s="226"/>
      <c r="AM161" s="226"/>
      <c r="AN161" s="226"/>
      <c r="AO161" s="226"/>
      <c r="AP161" s="226"/>
      <c r="AQ161" s="226"/>
      <c r="AR161" s="226"/>
      <c r="AS161" s="226"/>
      <c r="AT161" s="226"/>
      <c r="AU161" s="226"/>
      <c r="AV161" s="226"/>
      <c r="AW161" s="226"/>
      <c r="AX161" s="226"/>
      <c r="AY161" s="226"/>
      <c r="AZ161" s="226"/>
      <c r="BA161" s="226"/>
      <c r="BB161" s="226"/>
      <c r="BC161" s="226"/>
      <c r="BD161" s="226"/>
      <c r="BE161" s="226"/>
      <c r="BF161" s="226"/>
      <c r="BG161" s="226"/>
      <c r="BH161" s="226"/>
      <c r="BI161" s="226"/>
      <c r="BJ161" s="226"/>
      <c r="BK161" s="226"/>
      <c r="BL161" s="226"/>
      <c r="BM161" s="226"/>
      <c r="BN161" s="205"/>
      <c r="BO161" s="213"/>
      <c r="BP161" s="141"/>
      <c r="BQ161" s="141"/>
      <c r="BR161" s="141"/>
      <c r="BS161" s="141"/>
      <c r="BT161" s="141"/>
      <c r="BU161" s="141"/>
      <c r="BV161" s="141"/>
      <c r="BW161" s="141"/>
      <c r="BX161" s="141"/>
      <c r="BY161" s="141"/>
      <c r="BZ161" s="141"/>
      <c r="CA161" s="141"/>
      <c r="CB161" s="141"/>
    </row>
    <row r="162" spans="1:80" customFormat="1">
      <c r="A162" s="211"/>
      <c r="B162" s="211"/>
      <c r="C162" s="210"/>
      <c r="D162" s="207"/>
      <c r="E162" s="215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09"/>
      <c r="AP162" s="209"/>
      <c r="AQ162" s="209"/>
      <c r="AR162" s="209"/>
      <c r="AS162" s="209"/>
      <c r="AT162" s="209"/>
      <c r="AU162" s="209"/>
      <c r="AV162" s="209"/>
      <c r="AW162" s="209"/>
      <c r="AX162" s="209"/>
      <c r="AY162" s="209"/>
      <c r="AZ162" s="209"/>
      <c r="BA162" s="209"/>
      <c r="BB162" s="209"/>
      <c r="BC162" s="209"/>
      <c r="BD162" s="209"/>
      <c r="BE162" s="209"/>
      <c r="BF162" s="209"/>
      <c r="BG162" s="209"/>
      <c r="BH162" s="209"/>
      <c r="BI162" s="209"/>
      <c r="BJ162" s="209"/>
      <c r="BK162" s="209"/>
      <c r="BL162" s="209"/>
      <c r="BM162" s="209"/>
      <c r="BN162" s="205"/>
      <c r="BO162" s="213"/>
      <c r="BP162" s="141"/>
      <c r="BQ162" s="141"/>
      <c r="BR162" s="141"/>
      <c r="BS162" s="141"/>
      <c r="BT162" s="141"/>
      <c r="BU162" s="141"/>
      <c r="BV162" s="141"/>
      <c r="BW162" s="141"/>
      <c r="BX162" s="141"/>
      <c r="BY162" s="141"/>
      <c r="BZ162" s="141"/>
      <c r="CA162" s="141"/>
      <c r="CB162" s="141"/>
    </row>
    <row r="163" spans="1:80" customFormat="1">
      <c r="A163" s="211"/>
      <c r="B163" s="211"/>
      <c r="C163" s="210"/>
      <c r="D163" s="212"/>
      <c r="E163" s="215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  <c r="AA163" s="213"/>
      <c r="AB163" s="213"/>
      <c r="AC163" s="213"/>
      <c r="AD163" s="213"/>
      <c r="AE163" s="213"/>
      <c r="AF163" s="213"/>
      <c r="AG163" s="213"/>
      <c r="AH163" s="213"/>
      <c r="AI163" s="213"/>
      <c r="AJ163" s="213"/>
      <c r="AK163" s="213"/>
      <c r="AL163" s="213"/>
      <c r="AM163" s="213"/>
      <c r="AN163" s="213"/>
      <c r="AO163" s="213"/>
      <c r="AP163" s="213"/>
      <c r="AQ163" s="213"/>
      <c r="AR163" s="213"/>
      <c r="AS163" s="213"/>
      <c r="AT163" s="213"/>
      <c r="AU163" s="213"/>
      <c r="AV163" s="213"/>
      <c r="AW163" s="213"/>
      <c r="AX163" s="213"/>
      <c r="AY163" s="213"/>
      <c r="AZ163" s="213"/>
      <c r="BA163" s="213"/>
      <c r="BB163" s="213"/>
      <c r="BC163" s="213"/>
      <c r="BD163" s="213"/>
      <c r="BE163" s="213"/>
      <c r="BF163" s="213"/>
      <c r="BG163" s="213"/>
      <c r="BH163" s="213"/>
      <c r="BI163" s="213"/>
      <c r="BJ163" s="213"/>
      <c r="BK163" s="213"/>
      <c r="BL163" s="213"/>
      <c r="BM163" s="213"/>
      <c r="BN163" s="205"/>
      <c r="BO163" s="213"/>
      <c r="BP163" s="141"/>
      <c r="BQ163" s="141"/>
      <c r="BR163" s="141"/>
      <c r="BS163" s="141"/>
      <c r="BT163" s="141"/>
      <c r="BU163" s="141"/>
      <c r="BV163" s="141"/>
      <c r="BW163" s="141"/>
      <c r="BX163" s="141"/>
      <c r="BY163" s="141"/>
      <c r="BZ163" s="141"/>
      <c r="CA163" s="141"/>
      <c r="CB163" s="141"/>
    </row>
    <row r="164" spans="1:80" customFormat="1">
      <c r="A164" s="211"/>
      <c r="B164" s="211"/>
      <c r="C164" s="210"/>
      <c r="D164" s="212"/>
      <c r="E164" s="215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  <c r="AA164" s="213"/>
      <c r="AB164" s="213"/>
      <c r="AC164" s="213"/>
      <c r="AD164" s="213"/>
      <c r="AE164" s="213"/>
      <c r="AF164" s="213"/>
      <c r="AG164" s="213"/>
      <c r="AH164" s="213"/>
      <c r="AI164" s="213"/>
      <c r="AJ164" s="213"/>
      <c r="AK164" s="213"/>
      <c r="AL164" s="213"/>
      <c r="AM164" s="213"/>
      <c r="AN164" s="213"/>
      <c r="AO164" s="213"/>
      <c r="AP164" s="213"/>
      <c r="AQ164" s="213"/>
      <c r="AR164" s="213"/>
      <c r="AS164" s="213"/>
      <c r="AT164" s="213"/>
      <c r="AU164" s="213"/>
      <c r="AV164" s="213"/>
      <c r="AW164" s="213"/>
      <c r="AX164" s="213"/>
      <c r="AY164" s="213"/>
      <c r="AZ164" s="213"/>
      <c r="BA164" s="213"/>
      <c r="BB164" s="213"/>
      <c r="BC164" s="213"/>
      <c r="BD164" s="213"/>
      <c r="BE164" s="213"/>
      <c r="BF164" s="213"/>
      <c r="BG164" s="213"/>
      <c r="BH164" s="213"/>
      <c r="BI164" s="213"/>
      <c r="BJ164" s="213"/>
      <c r="BK164" s="213"/>
      <c r="BL164" s="213"/>
      <c r="BM164" s="213"/>
      <c r="BN164" s="205"/>
      <c r="BO164" s="213"/>
      <c r="BP164" s="141"/>
      <c r="BQ164" s="141"/>
      <c r="BR164" s="141"/>
      <c r="BS164" s="141"/>
      <c r="BT164" s="141"/>
      <c r="BU164" s="141"/>
      <c r="BV164" s="141"/>
      <c r="BW164" s="141"/>
      <c r="BX164" s="141"/>
      <c r="BY164" s="141"/>
      <c r="BZ164" s="141"/>
      <c r="CA164" s="141"/>
      <c r="CB164" s="141"/>
    </row>
    <row r="165" spans="1:80" customFormat="1">
      <c r="A165" s="211"/>
      <c r="B165" s="211"/>
      <c r="C165" s="210"/>
      <c r="D165" s="212"/>
      <c r="E165" s="215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  <c r="AA165" s="213"/>
      <c r="AB165" s="213"/>
      <c r="AC165" s="213"/>
      <c r="AD165" s="213"/>
      <c r="AE165" s="213"/>
      <c r="AF165" s="213"/>
      <c r="AG165" s="213"/>
      <c r="AH165" s="213"/>
      <c r="AI165" s="213"/>
      <c r="AJ165" s="213"/>
      <c r="AK165" s="213"/>
      <c r="AL165" s="213"/>
      <c r="AM165" s="213"/>
      <c r="AN165" s="213"/>
      <c r="AO165" s="213"/>
      <c r="AP165" s="213"/>
      <c r="AQ165" s="213"/>
      <c r="AR165" s="213"/>
      <c r="AS165" s="213"/>
      <c r="AT165" s="213"/>
      <c r="AU165" s="213"/>
      <c r="AV165" s="213"/>
      <c r="AW165" s="213"/>
      <c r="AX165" s="213"/>
      <c r="AY165" s="213"/>
      <c r="AZ165" s="213"/>
      <c r="BA165" s="213"/>
      <c r="BB165" s="213"/>
      <c r="BC165" s="213"/>
      <c r="BD165" s="213"/>
      <c r="BE165" s="213"/>
      <c r="BF165" s="213"/>
      <c r="BG165" s="213"/>
      <c r="BH165" s="213"/>
      <c r="BI165" s="213"/>
      <c r="BJ165" s="213"/>
      <c r="BK165" s="213"/>
      <c r="BL165" s="213"/>
      <c r="BM165" s="213"/>
      <c r="BN165" s="205"/>
      <c r="BO165" s="213"/>
      <c r="BP165" s="141"/>
      <c r="BQ165" s="141"/>
      <c r="BR165" s="141"/>
      <c r="BS165" s="141"/>
      <c r="BT165" s="141"/>
      <c r="BU165" s="141"/>
      <c r="BV165" s="141"/>
      <c r="BW165" s="141"/>
      <c r="BX165" s="141"/>
      <c r="BY165" s="141"/>
      <c r="BZ165" s="141"/>
      <c r="CA165" s="141"/>
      <c r="CB165" s="141"/>
    </row>
    <row r="166" spans="1:80" customFormat="1">
      <c r="A166" s="211"/>
      <c r="B166" s="211"/>
      <c r="C166" s="210"/>
      <c r="D166" s="212"/>
      <c r="E166" s="215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  <c r="AA166" s="213"/>
      <c r="AB166" s="213"/>
      <c r="AC166" s="213"/>
      <c r="AD166" s="213"/>
      <c r="AE166" s="213"/>
      <c r="AF166" s="213"/>
      <c r="AG166" s="213"/>
      <c r="AH166" s="213"/>
      <c r="AI166" s="213"/>
      <c r="AJ166" s="213"/>
      <c r="AK166" s="213"/>
      <c r="AL166" s="213"/>
      <c r="AM166" s="213"/>
      <c r="AN166" s="213"/>
      <c r="AO166" s="213"/>
      <c r="AP166" s="213"/>
      <c r="AQ166" s="213"/>
      <c r="AR166" s="213"/>
      <c r="AS166" s="213"/>
      <c r="AT166" s="213"/>
      <c r="AU166" s="213"/>
      <c r="AV166" s="213"/>
      <c r="AW166" s="213"/>
      <c r="AX166" s="213"/>
      <c r="AY166" s="213"/>
      <c r="AZ166" s="213"/>
      <c r="BA166" s="213"/>
      <c r="BB166" s="213"/>
      <c r="BC166" s="213"/>
      <c r="BD166" s="213"/>
      <c r="BE166" s="213"/>
      <c r="BF166" s="213"/>
      <c r="BG166" s="213"/>
      <c r="BH166" s="213"/>
      <c r="BI166" s="213"/>
      <c r="BJ166" s="213"/>
      <c r="BK166" s="213"/>
      <c r="BL166" s="213"/>
      <c r="BM166" s="213"/>
      <c r="BN166" s="205"/>
      <c r="BO166" s="213"/>
      <c r="BP166" s="141"/>
      <c r="BQ166" s="141"/>
      <c r="BR166" s="141"/>
      <c r="BS166" s="141"/>
      <c r="BT166" s="141"/>
      <c r="BU166" s="141"/>
      <c r="BV166" s="141"/>
      <c r="BW166" s="141"/>
      <c r="BX166" s="141"/>
      <c r="BY166" s="141"/>
      <c r="BZ166" s="141"/>
      <c r="CA166" s="141"/>
      <c r="CB166" s="141"/>
    </row>
    <row r="167" spans="1:80" customFormat="1">
      <c r="A167" s="211"/>
      <c r="B167" s="211"/>
      <c r="C167" s="210"/>
      <c r="D167" s="212"/>
      <c r="E167" s="215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  <c r="AA167" s="213"/>
      <c r="AB167" s="213"/>
      <c r="AC167" s="213"/>
      <c r="AD167" s="213"/>
      <c r="AE167" s="213"/>
      <c r="AF167" s="213"/>
      <c r="AG167" s="213"/>
      <c r="AH167" s="213"/>
      <c r="AI167" s="213"/>
      <c r="AJ167" s="213"/>
      <c r="AK167" s="213"/>
      <c r="AL167" s="213"/>
      <c r="AM167" s="213"/>
      <c r="AN167" s="213"/>
      <c r="AO167" s="213"/>
      <c r="AP167" s="213"/>
      <c r="AQ167" s="213"/>
      <c r="AR167" s="213"/>
      <c r="AS167" s="213"/>
      <c r="AT167" s="213"/>
      <c r="AU167" s="213"/>
      <c r="AV167" s="213"/>
      <c r="AW167" s="213"/>
      <c r="AX167" s="213"/>
      <c r="AY167" s="213"/>
      <c r="AZ167" s="213"/>
      <c r="BA167" s="213"/>
      <c r="BB167" s="213"/>
      <c r="BC167" s="213"/>
      <c r="BD167" s="213"/>
      <c r="BE167" s="213"/>
      <c r="BF167" s="213"/>
      <c r="BG167" s="213"/>
      <c r="BH167" s="213"/>
      <c r="BI167" s="213"/>
      <c r="BJ167" s="213"/>
      <c r="BK167" s="213"/>
      <c r="BL167" s="213"/>
      <c r="BM167" s="213"/>
      <c r="BN167" s="205"/>
      <c r="BO167" s="213"/>
      <c r="BP167" s="141"/>
      <c r="BQ167" s="141"/>
      <c r="BR167" s="141"/>
      <c r="BS167" s="141"/>
      <c r="BT167" s="141"/>
      <c r="BU167" s="141"/>
      <c r="BV167" s="141"/>
      <c r="BW167" s="141"/>
      <c r="BX167" s="141"/>
      <c r="BY167" s="141"/>
      <c r="BZ167" s="141"/>
      <c r="CA167" s="141"/>
      <c r="CB167" s="141"/>
    </row>
    <row r="168" spans="1:80" customFormat="1">
      <c r="A168" s="211"/>
      <c r="B168" s="211"/>
      <c r="C168" s="210"/>
      <c r="D168" s="212"/>
      <c r="E168" s="215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  <c r="AA168" s="213"/>
      <c r="AB168" s="213"/>
      <c r="AC168" s="213"/>
      <c r="AD168" s="213"/>
      <c r="AE168" s="213"/>
      <c r="AF168" s="213"/>
      <c r="AG168" s="213"/>
      <c r="AH168" s="213"/>
      <c r="AI168" s="213"/>
      <c r="AJ168" s="213"/>
      <c r="AK168" s="213"/>
      <c r="AL168" s="213"/>
      <c r="AM168" s="213"/>
      <c r="AN168" s="213"/>
      <c r="AO168" s="213"/>
      <c r="AP168" s="213"/>
      <c r="AQ168" s="213"/>
      <c r="AR168" s="213"/>
      <c r="AS168" s="213"/>
      <c r="AT168" s="213"/>
      <c r="AU168" s="213"/>
      <c r="AV168" s="213"/>
      <c r="AW168" s="213"/>
      <c r="AX168" s="213"/>
      <c r="AY168" s="213"/>
      <c r="AZ168" s="213"/>
      <c r="BA168" s="213"/>
      <c r="BB168" s="213"/>
      <c r="BC168" s="213"/>
      <c r="BD168" s="213"/>
      <c r="BE168" s="213"/>
      <c r="BF168" s="213"/>
      <c r="BG168" s="213"/>
      <c r="BH168" s="213"/>
      <c r="BI168" s="213"/>
      <c r="BJ168" s="213"/>
      <c r="BK168" s="213"/>
      <c r="BL168" s="213"/>
      <c r="BM168" s="213"/>
      <c r="BN168" s="205"/>
      <c r="BO168" s="213"/>
      <c r="BP168" s="141"/>
      <c r="BQ168" s="141"/>
      <c r="BR168" s="141"/>
      <c r="BS168" s="141"/>
      <c r="BT168" s="141"/>
      <c r="BU168" s="141"/>
      <c r="BV168" s="141"/>
      <c r="BW168" s="141"/>
      <c r="BX168" s="141"/>
      <c r="BY168" s="141"/>
      <c r="BZ168" s="141"/>
      <c r="CA168" s="141"/>
      <c r="CB168" s="141"/>
    </row>
    <row r="169" spans="1:80" customFormat="1">
      <c r="A169" s="211"/>
      <c r="B169" s="211"/>
      <c r="C169" s="210"/>
      <c r="D169" s="212"/>
      <c r="E169" s="215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  <c r="AA169" s="213"/>
      <c r="AB169" s="213"/>
      <c r="AC169" s="213"/>
      <c r="AD169" s="213"/>
      <c r="AE169" s="213"/>
      <c r="AF169" s="213"/>
      <c r="AG169" s="213"/>
      <c r="AH169" s="213"/>
      <c r="AI169" s="213"/>
      <c r="AJ169" s="213"/>
      <c r="AK169" s="213"/>
      <c r="AL169" s="213"/>
      <c r="AM169" s="213"/>
      <c r="AN169" s="213"/>
      <c r="AO169" s="213"/>
      <c r="AP169" s="213"/>
      <c r="AQ169" s="213"/>
      <c r="AR169" s="213"/>
      <c r="AS169" s="213"/>
      <c r="AT169" s="213"/>
      <c r="AU169" s="213"/>
      <c r="AV169" s="213"/>
      <c r="AW169" s="213"/>
      <c r="AX169" s="213"/>
      <c r="AY169" s="213"/>
      <c r="AZ169" s="213"/>
      <c r="BA169" s="213"/>
      <c r="BB169" s="213"/>
      <c r="BC169" s="213"/>
      <c r="BD169" s="213"/>
      <c r="BE169" s="213"/>
      <c r="BF169" s="213"/>
      <c r="BG169" s="213"/>
      <c r="BH169" s="213"/>
      <c r="BI169" s="213"/>
      <c r="BJ169" s="213"/>
      <c r="BK169" s="213"/>
      <c r="BL169" s="213"/>
      <c r="BM169" s="213"/>
      <c r="BN169" s="205"/>
      <c r="BO169" s="213"/>
      <c r="BP169" s="141"/>
      <c r="BQ169" s="141"/>
      <c r="BR169" s="141"/>
      <c r="BS169" s="141"/>
      <c r="BT169" s="141"/>
      <c r="BU169" s="141"/>
      <c r="BV169" s="141"/>
      <c r="BW169" s="141"/>
      <c r="BX169" s="141"/>
      <c r="BY169" s="141"/>
      <c r="BZ169" s="141"/>
      <c r="CA169" s="141"/>
      <c r="CB169" s="141"/>
    </row>
    <row r="170" spans="1:80" customFormat="1">
      <c r="A170" s="211"/>
      <c r="B170" s="211"/>
      <c r="C170" s="210"/>
      <c r="D170" s="212"/>
      <c r="E170" s="215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  <c r="AA170" s="213"/>
      <c r="AB170" s="213"/>
      <c r="AC170" s="213"/>
      <c r="AD170" s="213"/>
      <c r="AE170" s="213"/>
      <c r="AF170" s="213"/>
      <c r="AG170" s="213"/>
      <c r="AH170" s="213"/>
      <c r="AI170" s="213"/>
      <c r="AJ170" s="213"/>
      <c r="AK170" s="213"/>
      <c r="AL170" s="213"/>
      <c r="AM170" s="213"/>
      <c r="AN170" s="213"/>
      <c r="AO170" s="213"/>
      <c r="AP170" s="213"/>
      <c r="AQ170" s="213"/>
      <c r="AR170" s="213"/>
      <c r="AS170" s="213"/>
      <c r="AT170" s="213"/>
      <c r="AU170" s="213"/>
      <c r="AV170" s="213"/>
      <c r="AW170" s="213"/>
      <c r="AX170" s="213"/>
      <c r="AY170" s="213"/>
      <c r="AZ170" s="213"/>
      <c r="BA170" s="213"/>
      <c r="BB170" s="213"/>
      <c r="BC170" s="213"/>
      <c r="BD170" s="213"/>
      <c r="BE170" s="213"/>
      <c r="BF170" s="213"/>
      <c r="BG170" s="213"/>
      <c r="BH170" s="213"/>
      <c r="BI170" s="213"/>
      <c r="BJ170" s="213"/>
      <c r="BK170" s="213"/>
      <c r="BL170" s="213"/>
      <c r="BM170" s="213"/>
      <c r="BN170" s="205"/>
      <c r="BO170" s="213"/>
      <c r="BP170" s="141"/>
      <c r="BQ170" s="141"/>
      <c r="BR170" s="141"/>
      <c r="BS170" s="141"/>
      <c r="BT170" s="141"/>
      <c r="BU170" s="141"/>
      <c r="BV170" s="141"/>
      <c r="BW170" s="141"/>
      <c r="BX170" s="141"/>
      <c r="BY170" s="141"/>
      <c r="BZ170" s="141"/>
      <c r="CA170" s="141"/>
      <c r="CB170" s="141"/>
    </row>
    <row r="171" spans="1:80" customFormat="1">
      <c r="A171" s="211"/>
      <c r="B171" s="211"/>
      <c r="C171" s="210"/>
      <c r="D171" s="211"/>
      <c r="E171" s="211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  <c r="AV171" s="205"/>
      <c r="AW171" s="205"/>
      <c r="AX171" s="205"/>
      <c r="AY171" s="205"/>
      <c r="AZ171" s="205"/>
      <c r="BA171" s="205"/>
      <c r="BB171" s="205"/>
      <c r="BC171" s="205"/>
      <c r="BD171" s="205"/>
      <c r="BE171" s="205"/>
      <c r="BF171" s="205"/>
      <c r="BG171" s="205"/>
      <c r="BH171" s="205"/>
      <c r="BI171" s="205"/>
      <c r="BJ171" s="205"/>
      <c r="BK171" s="205"/>
      <c r="BL171" s="205"/>
      <c r="BM171" s="205"/>
      <c r="BN171" s="205"/>
      <c r="BO171" s="213"/>
      <c r="BP171" s="141"/>
      <c r="BQ171" s="141"/>
      <c r="BR171" s="141"/>
      <c r="BS171" s="141"/>
      <c r="BT171" s="141"/>
      <c r="BU171" s="141"/>
      <c r="BV171" s="141"/>
      <c r="BW171" s="141"/>
      <c r="BX171" s="141"/>
      <c r="BY171" s="141"/>
      <c r="BZ171" s="141"/>
      <c r="CA171" s="141"/>
      <c r="CB171" s="141"/>
    </row>
    <row r="172" spans="1:80" customFormat="1">
      <c r="A172" s="211"/>
      <c r="B172" s="211"/>
      <c r="C172" s="210"/>
      <c r="D172" s="211"/>
      <c r="E172" s="211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05"/>
      <c r="AZ172" s="205"/>
      <c r="BA172" s="205"/>
      <c r="BB172" s="205"/>
      <c r="BC172" s="205"/>
      <c r="BD172" s="205"/>
      <c r="BE172" s="205"/>
      <c r="BF172" s="205"/>
      <c r="BG172" s="205"/>
      <c r="BH172" s="205"/>
      <c r="BI172" s="205"/>
      <c r="BJ172" s="205"/>
      <c r="BK172" s="205"/>
      <c r="BL172" s="205"/>
      <c r="BM172" s="205"/>
      <c r="BN172" s="205"/>
      <c r="BO172" s="213"/>
      <c r="BP172" s="141"/>
      <c r="BQ172" s="141"/>
      <c r="BR172" s="141"/>
      <c r="BS172" s="141"/>
      <c r="BT172" s="141"/>
      <c r="BU172" s="141"/>
      <c r="BV172" s="141"/>
      <c r="BW172" s="141"/>
      <c r="BX172" s="141"/>
      <c r="BY172" s="141"/>
      <c r="BZ172" s="141"/>
      <c r="CA172" s="141"/>
      <c r="CB172" s="141"/>
    </row>
    <row r="173" spans="1:80" customFormat="1">
      <c r="A173" s="211"/>
      <c r="B173" s="211"/>
      <c r="C173" s="210"/>
      <c r="D173" s="211"/>
      <c r="E173" s="211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  <c r="AV173" s="205"/>
      <c r="AW173" s="205"/>
      <c r="AX173" s="205"/>
      <c r="AY173" s="205"/>
      <c r="AZ173" s="205"/>
      <c r="BA173" s="205"/>
      <c r="BB173" s="205"/>
      <c r="BC173" s="205"/>
      <c r="BD173" s="205"/>
      <c r="BE173" s="205"/>
      <c r="BF173" s="205"/>
      <c r="BG173" s="205"/>
      <c r="BH173" s="205"/>
      <c r="BI173" s="205"/>
      <c r="BJ173" s="205"/>
      <c r="BK173" s="205"/>
      <c r="BL173" s="205"/>
      <c r="BM173" s="205"/>
      <c r="BN173" s="205"/>
      <c r="BO173" s="213"/>
      <c r="BP173" s="141"/>
      <c r="BQ173" s="141"/>
      <c r="BR173" s="141"/>
      <c r="BS173" s="141"/>
      <c r="BT173" s="141"/>
      <c r="BU173" s="141"/>
      <c r="BV173" s="141"/>
      <c r="BW173" s="141"/>
      <c r="BX173" s="141"/>
      <c r="BY173" s="141"/>
      <c r="BZ173" s="141"/>
      <c r="CA173" s="141"/>
      <c r="CB173" s="141"/>
    </row>
    <row r="174" spans="1:80" customFormat="1">
      <c r="A174" s="211"/>
      <c r="B174" s="211"/>
      <c r="C174" s="210"/>
      <c r="D174" s="211"/>
      <c r="E174" s="211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  <c r="AV174" s="205"/>
      <c r="AW174" s="205"/>
      <c r="AX174" s="205"/>
      <c r="AY174" s="205"/>
      <c r="AZ174" s="205"/>
      <c r="BA174" s="205"/>
      <c r="BB174" s="205"/>
      <c r="BC174" s="205"/>
      <c r="BD174" s="205"/>
      <c r="BE174" s="205"/>
      <c r="BF174" s="205"/>
      <c r="BG174" s="205"/>
      <c r="BH174" s="205"/>
      <c r="BI174" s="205"/>
      <c r="BJ174" s="205"/>
      <c r="BK174" s="205"/>
      <c r="BL174" s="205"/>
      <c r="BM174" s="205"/>
      <c r="BN174" s="205"/>
      <c r="BO174" s="213"/>
      <c r="BP174" s="141"/>
      <c r="BQ174" s="141"/>
      <c r="BR174" s="141"/>
      <c r="BS174" s="141"/>
      <c r="BT174" s="141"/>
      <c r="BU174" s="141"/>
      <c r="BV174" s="141"/>
      <c r="BW174" s="141"/>
      <c r="BX174" s="141"/>
      <c r="BY174" s="141"/>
      <c r="BZ174" s="141"/>
      <c r="CA174" s="141"/>
      <c r="CB174" s="141"/>
    </row>
    <row r="175" spans="1:80" customFormat="1">
      <c r="A175" s="211"/>
      <c r="B175" s="211"/>
      <c r="C175" s="210"/>
      <c r="D175" s="211"/>
      <c r="E175" s="211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  <c r="AV175" s="205"/>
      <c r="AW175" s="205"/>
      <c r="AX175" s="205"/>
      <c r="AY175" s="205"/>
      <c r="AZ175" s="205"/>
      <c r="BA175" s="205"/>
      <c r="BB175" s="205"/>
      <c r="BC175" s="205"/>
      <c r="BD175" s="205"/>
      <c r="BE175" s="205"/>
      <c r="BF175" s="205"/>
      <c r="BG175" s="205"/>
      <c r="BH175" s="205"/>
      <c r="BI175" s="205"/>
      <c r="BJ175" s="205"/>
      <c r="BK175" s="205"/>
      <c r="BL175" s="205"/>
      <c r="BM175" s="205"/>
      <c r="BN175" s="205"/>
      <c r="BO175" s="213"/>
      <c r="BP175" s="141"/>
      <c r="BQ175" s="141"/>
      <c r="BR175" s="141"/>
      <c r="BS175" s="141"/>
      <c r="BT175" s="141"/>
      <c r="BU175" s="141"/>
      <c r="BV175" s="141"/>
      <c r="BW175" s="141"/>
      <c r="BX175" s="141"/>
      <c r="BY175" s="141"/>
      <c r="BZ175" s="141"/>
      <c r="CA175" s="141"/>
      <c r="CB175" s="141"/>
    </row>
    <row r="176" spans="1:80" customFormat="1">
      <c r="A176" s="211"/>
      <c r="B176" s="211"/>
      <c r="C176" s="210"/>
      <c r="D176" s="211"/>
      <c r="E176" s="211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  <c r="AV176" s="205"/>
      <c r="AW176" s="205"/>
      <c r="AX176" s="205"/>
      <c r="AY176" s="205"/>
      <c r="AZ176" s="205"/>
      <c r="BA176" s="205"/>
      <c r="BB176" s="205"/>
      <c r="BC176" s="205"/>
      <c r="BD176" s="205"/>
      <c r="BE176" s="205"/>
      <c r="BF176" s="205"/>
      <c r="BG176" s="205"/>
      <c r="BH176" s="205"/>
      <c r="BI176" s="205"/>
      <c r="BJ176" s="205"/>
      <c r="BK176" s="205"/>
      <c r="BL176" s="205"/>
      <c r="BM176" s="205"/>
      <c r="BN176" s="205"/>
      <c r="BO176" s="213"/>
      <c r="BP176" s="141"/>
      <c r="BQ176" s="141"/>
      <c r="BR176" s="141"/>
      <c r="BS176" s="141"/>
      <c r="BT176" s="141"/>
      <c r="BU176" s="141"/>
      <c r="BV176" s="141"/>
      <c r="BW176" s="141"/>
      <c r="BX176" s="141"/>
      <c r="BY176" s="141"/>
      <c r="BZ176" s="141"/>
      <c r="CA176" s="141"/>
      <c r="CB176" s="141"/>
    </row>
    <row r="177" spans="1:80" customFormat="1">
      <c r="A177" s="211"/>
      <c r="B177" s="211"/>
      <c r="C177" s="210"/>
      <c r="D177" s="211"/>
      <c r="E177" s="211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  <c r="AV177" s="205"/>
      <c r="AW177" s="205"/>
      <c r="AX177" s="205"/>
      <c r="AY177" s="205"/>
      <c r="AZ177" s="205"/>
      <c r="BA177" s="205"/>
      <c r="BB177" s="205"/>
      <c r="BC177" s="205"/>
      <c r="BD177" s="205"/>
      <c r="BE177" s="205"/>
      <c r="BF177" s="205"/>
      <c r="BG177" s="205"/>
      <c r="BH177" s="205"/>
      <c r="BI177" s="205"/>
      <c r="BJ177" s="205"/>
      <c r="BK177" s="205"/>
      <c r="BL177" s="205"/>
      <c r="BM177" s="205"/>
      <c r="BN177" s="205"/>
      <c r="BO177" s="213"/>
      <c r="BP177" s="141"/>
      <c r="BQ177" s="141"/>
      <c r="BR177" s="141"/>
      <c r="BS177" s="141"/>
      <c r="BT177" s="141"/>
      <c r="BU177" s="141"/>
      <c r="BV177" s="141"/>
      <c r="BW177" s="141"/>
      <c r="BX177" s="141"/>
      <c r="BY177" s="141"/>
      <c r="BZ177" s="141"/>
      <c r="CA177" s="141"/>
      <c r="CB177" s="141"/>
    </row>
    <row r="178" spans="1:80" customFormat="1">
      <c r="A178" s="211"/>
      <c r="B178" s="211"/>
      <c r="C178" s="210"/>
      <c r="D178" s="211"/>
      <c r="E178" s="211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  <c r="AV178" s="205"/>
      <c r="AW178" s="205"/>
      <c r="AX178" s="205"/>
      <c r="AY178" s="205"/>
      <c r="AZ178" s="205"/>
      <c r="BA178" s="205"/>
      <c r="BB178" s="205"/>
      <c r="BC178" s="205"/>
      <c r="BD178" s="205"/>
      <c r="BE178" s="205"/>
      <c r="BF178" s="205"/>
      <c r="BG178" s="205"/>
      <c r="BH178" s="205"/>
      <c r="BI178" s="205"/>
      <c r="BJ178" s="205"/>
      <c r="BK178" s="205"/>
      <c r="BL178" s="205"/>
      <c r="BM178" s="205"/>
      <c r="BN178" s="205"/>
      <c r="BO178" s="213"/>
      <c r="BP178" s="141"/>
      <c r="BQ178" s="141"/>
      <c r="BR178" s="141"/>
      <c r="BS178" s="141"/>
      <c r="BT178" s="141"/>
      <c r="BU178" s="141"/>
      <c r="BV178" s="141"/>
      <c r="BW178" s="141"/>
      <c r="BX178" s="141"/>
      <c r="BY178" s="141"/>
      <c r="BZ178" s="141"/>
      <c r="CA178" s="141"/>
      <c r="CB178" s="141"/>
    </row>
    <row r="179" spans="1:80" customFormat="1">
      <c r="A179" s="211"/>
      <c r="B179" s="211"/>
      <c r="C179" s="210"/>
      <c r="D179" s="211"/>
      <c r="E179" s="211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05"/>
      <c r="BF179" s="205"/>
      <c r="BG179" s="205"/>
      <c r="BH179" s="205"/>
      <c r="BI179" s="205"/>
      <c r="BJ179" s="205"/>
      <c r="BK179" s="205"/>
      <c r="BL179" s="205"/>
      <c r="BM179" s="205"/>
      <c r="BN179" s="205"/>
      <c r="BO179" s="213"/>
      <c r="BP179" s="141"/>
      <c r="BQ179" s="141"/>
      <c r="BR179" s="141"/>
      <c r="BS179" s="141"/>
      <c r="BT179" s="141"/>
      <c r="BU179" s="141"/>
      <c r="BV179" s="141"/>
      <c r="BW179" s="141"/>
      <c r="BX179" s="141"/>
      <c r="BY179" s="141"/>
      <c r="BZ179" s="141"/>
      <c r="CA179" s="141"/>
      <c r="CB179" s="141"/>
    </row>
    <row r="180" spans="1:80" customFormat="1">
      <c r="A180" s="211"/>
      <c r="B180" s="211"/>
      <c r="C180" s="210"/>
      <c r="D180" s="211"/>
      <c r="E180" s="211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  <c r="AV180" s="205"/>
      <c r="AW180" s="205"/>
      <c r="AX180" s="205"/>
      <c r="AY180" s="205"/>
      <c r="AZ180" s="205"/>
      <c r="BA180" s="205"/>
      <c r="BB180" s="205"/>
      <c r="BC180" s="205"/>
      <c r="BD180" s="205"/>
      <c r="BE180" s="205"/>
      <c r="BF180" s="205"/>
      <c r="BG180" s="205"/>
      <c r="BH180" s="205"/>
      <c r="BI180" s="205"/>
      <c r="BJ180" s="205"/>
      <c r="BK180" s="205"/>
      <c r="BL180" s="205"/>
      <c r="BM180" s="205"/>
      <c r="BN180" s="205"/>
      <c r="BO180" s="213"/>
      <c r="BP180" s="141"/>
      <c r="BQ180" s="141"/>
      <c r="BR180" s="141"/>
      <c r="BS180" s="141"/>
      <c r="BT180" s="141"/>
      <c r="BU180" s="141"/>
      <c r="BV180" s="141"/>
      <c r="BW180" s="141"/>
      <c r="BX180" s="141"/>
      <c r="BY180" s="141"/>
      <c r="BZ180" s="141"/>
      <c r="CA180" s="141"/>
      <c r="CB180" s="141"/>
    </row>
    <row r="181" spans="1:80" customFormat="1">
      <c r="A181" s="211"/>
      <c r="B181" s="211"/>
      <c r="C181" s="210"/>
      <c r="D181" s="211"/>
      <c r="E181" s="211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  <c r="AV181" s="205"/>
      <c r="AW181" s="205"/>
      <c r="AX181" s="205"/>
      <c r="AY181" s="205"/>
      <c r="AZ181" s="205"/>
      <c r="BA181" s="205"/>
      <c r="BB181" s="205"/>
      <c r="BC181" s="205"/>
      <c r="BD181" s="205"/>
      <c r="BE181" s="205"/>
      <c r="BF181" s="205"/>
      <c r="BG181" s="205"/>
      <c r="BH181" s="205"/>
      <c r="BI181" s="205"/>
      <c r="BJ181" s="205"/>
      <c r="BK181" s="205"/>
      <c r="BL181" s="205"/>
      <c r="BM181" s="205"/>
      <c r="BN181" s="205"/>
      <c r="BO181" s="213"/>
      <c r="BP181" s="141"/>
      <c r="BQ181" s="141"/>
      <c r="BR181" s="141"/>
      <c r="BS181" s="141"/>
      <c r="BT181" s="141"/>
      <c r="BU181" s="141"/>
      <c r="BV181" s="141"/>
      <c r="BW181" s="141"/>
      <c r="BX181" s="141"/>
      <c r="BY181" s="141"/>
      <c r="BZ181" s="141"/>
      <c r="CA181" s="141"/>
      <c r="CB181" s="141"/>
    </row>
    <row r="182" spans="1:80" customFormat="1">
      <c r="A182" s="211"/>
      <c r="B182" s="211"/>
      <c r="C182" s="210"/>
      <c r="D182" s="211"/>
      <c r="E182" s="211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  <c r="AV182" s="205"/>
      <c r="AW182" s="205"/>
      <c r="AX182" s="205"/>
      <c r="AY182" s="205"/>
      <c r="AZ182" s="205"/>
      <c r="BA182" s="205"/>
      <c r="BB182" s="205"/>
      <c r="BC182" s="205"/>
      <c r="BD182" s="205"/>
      <c r="BE182" s="205"/>
      <c r="BF182" s="205"/>
      <c r="BG182" s="205"/>
      <c r="BH182" s="205"/>
      <c r="BI182" s="205"/>
      <c r="BJ182" s="205"/>
      <c r="BK182" s="205"/>
      <c r="BL182" s="205"/>
      <c r="BM182" s="205"/>
      <c r="BN182" s="205"/>
      <c r="BO182" s="213"/>
      <c r="BP182" s="141"/>
      <c r="BQ182" s="141"/>
      <c r="BR182" s="141"/>
      <c r="BS182" s="141"/>
      <c r="BT182" s="141"/>
      <c r="BU182" s="141"/>
      <c r="BV182" s="141"/>
      <c r="BW182" s="141"/>
      <c r="BX182" s="141"/>
      <c r="BY182" s="141"/>
      <c r="BZ182" s="141"/>
      <c r="CA182" s="141"/>
      <c r="CB182" s="141"/>
    </row>
    <row r="183" spans="1:80" customFormat="1">
      <c r="A183" s="211"/>
      <c r="B183" s="211"/>
      <c r="C183" s="210"/>
      <c r="D183" s="211"/>
      <c r="E183" s="211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5"/>
      <c r="BI183" s="205"/>
      <c r="BJ183" s="205"/>
      <c r="BK183" s="205"/>
      <c r="BL183" s="205"/>
      <c r="BM183" s="205"/>
      <c r="BN183" s="205"/>
      <c r="BO183" s="213"/>
      <c r="BP183" s="141"/>
      <c r="BQ183" s="141"/>
      <c r="BR183" s="141"/>
      <c r="BS183" s="141"/>
      <c r="BT183" s="141"/>
      <c r="BU183" s="141"/>
      <c r="BV183" s="141"/>
      <c r="BW183" s="141"/>
      <c r="BX183" s="141"/>
      <c r="BY183" s="141"/>
      <c r="BZ183" s="141"/>
      <c r="CA183" s="141"/>
      <c r="CB183" s="141"/>
    </row>
    <row r="184" spans="1:80" customFormat="1">
      <c r="A184" s="211"/>
      <c r="B184" s="211"/>
      <c r="C184" s="210"/>
      <c r="D184" s="211"/>
      <c r="E184" s="211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  <c r="AV184" s="205"/>
      <c r="AW184" s="205"/>
      <c r="AX184" s="205"/>
      <c r="AY184" s="205"/>
      <c r="AZ184" s="205"/>
      <c r="BA184" s="205"/>
      <c r="BB184" s="205"/>
      <c r="BC184" s="205"/>
      <c r="BD184" s="205"/>
      <c r="BE184" s="205"/>
      <c r="BF184" s="205"/>
      <c r="BG184" s="205"/>
      <c r="BH184" s="205"/>
      <c r="BI184" s="205"/>
      <c r="BJ184" s="205"/>
      <c r="BK184" s="205"/>
      <c r="BL184" s="205"/>
      <c r="BM184" s="205"/>
      <c r="BN184" s="205"/>
      <c r="BO184" s="213"/>
      <c r="BP184" s="141"/>
      <c r="BQ184" s="141"/>
      <c r="BR184" s="141"/>
      <c r="BS184" s="141"/>
      <c r="BT184" s="141"/>
      <c r="BU184" s="141"/>
      <c r="BV184" s="141"/>
      <c r="BW184" s="141"/>
      <c r="BX184" s="141"/>
      <c r="BY184" s="141"/>
      <c r="BZ184" s="141"/>
      <c r="CA184" s="141"/>
      <c r="CB184" s="141"/>
    </row>
    <row r="185" spans="1:80" customFormat="1">
      <c r="A185" s="211"/>
      <c r="B185" s="211"/>
      <c r="C185" s="210"/>
      <c r="D185" s="211"/>
      <c r="E185" s="211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  <c r="AV185" s="205"/>
      <c r="AW185" s="205"/>
      <c r="AX185" s="205"/>
      <c r="AY185" s="205"/>
      <c r="AZ185" s="205"/>
      <c r="BA185" s="205"/>
      <c r="BB185" s="205"/>
      <c r="BC185" s="205"/>
      <c r="BD185" s="205"/>
      <c r="BE185" s="205"/>
      <c r="BF185" s="205"/>
      <c r="BG185" s="205"/>
      <c r="BH185" s="205"/>
      <c r="BI185" s="205"/>
      <c r="BJ185" s="205"/>
      <c r="BK185" s="205"/>
      <c r="BL185" s="205"/>
      <c r="BM185" s="205"/>
      <c r="BN185" s="205"/>
      <c r="BO185" s="213"/>
      <c r="BP185" s="141"/>
      <c r="BQ185" s="141"/>
      <c r="BR185" s="141"/>
      <c r="BS185" s="141"/>
      <c r="BT185" s="141"/>
      <c r="BU185" s="141"/>
      <c r="BV185" s="141"/>
      <c r="BW185" s="141"/>
      <c r="BX185" s="141"/>
      <c r="BY185" s="141"/>
      <c r="BZ185" s="141"/>
      <c r="CA185" s="141"/>
      <c r="CB185" s="141"/>
    </row>
    <row r="186" spans="1:80" customFormat="1">
      <c r="A186" s="211"/>
      <c r="B186" s="211"/>
      <c r="C186" s="210"/>
      <c r="D186" s="211"/>
      <c r="E186" s="211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  <c r="AV186" s="205"/>
      <c r="AW186" s="205"/>
      <c r="AX186" s="205"/>
      <c r="AY186" s="205"/>
      <c r="AZ186" s="205"/>
      <c r="BA186" s="205"/>
      <c r="BB186" s="205"/>
      <c r="BC186" s="205"/>
      <c r="BD186" s="205"/>
      <c r="BE186" s="205"/>
      <c r="BF186" s="205"/>
      <c r="BG186" s="205"/>
      <c r="BH186" s="205"/>
      <c r="BI186" s="205"/>
      <c r="BJ186" s="205"/>
      <c r="BK186" s="205"/>
      <c r="BL186" s="205"/>
      <c r="BM186" s="205"/>
      <c r="BN186" s="205"/>
      <c r="BO186" s="213"/>
      <c r="BP186" s="141"/>
      <c r="BQ186" s="141"/>
      <c r="BR186" s="141"/>
      <c r="BS186" s="141"/>
      <c r="BT186" s="141"/>
      <c r="BU186" s="141"/>
      <c r="BV186" s="141"/>
      <c r="BW186" s="141"/>
      <c r="BX186" s="141"/>
      <c r="BY186" s="141"/>
      <c r="BZ186" s="141"/>
      <c r="CA186" s="141"/>
      <c r="CB186" s="141"/>
    </row>
    <row r="187" spans="1:80" customFormat="1">
      <c r="A187" s="211"/>
      <c r="B187" s="211"/>
      <c r="C187" s="210"/>
      <c r="D187" s="211"/>
      <c r="E187" s="211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  <c r="AV187" s="205"/>
      <c r="AW187" s="205"/>
      <c r="AX187" s="205"/>
      <c r="AY187" s="205"/>
      <c r="AZ187" s="205"/>
      <c r="BA187" s="205"/>
      <c r="BB187" s="205"/>
      <c r="BC187" s="205"/>
      <c r="BD187" s="205"/>
      <c r="BE187" s="205"/>
      <c r="BF187" s="205"/>
      <c r="BG187" s="205"/>
      <c r="BH187" s="205"/>
      <c r="BI187" s="205"/>
      <c r="BJ187" s="205"/>
      <c r="BK187" s="205"/>
      <c r="BL187" s="205"/>
      <c r="BM187" s="205"/>
      <c r="BN187" s="205"/>
      <c r="BO187" s="213"/>
      <c r="BP187" s="141"/>
      <c r="BQ187" s="141"/>
      <c r="BR187" s="141"/>
      <c r="BS187" s="141"/>
      <c r="BT187" s="141"/>
      <c r="BU187" s="141"/>
      <c r="BV187" s="141"/>
      <c r="BW187" s="141"/>
      <c r="BX187" s="141"/>
      <c r="BY187" s="141"/>
      <c r="BZ187" s="141"/>
      <c r="CA187" s="141"/>
      <c r="CB187" s="141"/>
    </row>
    <row r="188" spans="1:80" customFormat="1">
      <c r="A188" s="211"/>
      <c r="B188" s="211"/>
      <c r="C188" s="210"/>
      <c r="D188" s="211"/>
      <c r="E188" s="211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  <c r="AV188" s="205"/>
      <c r="AW188" s="205"/>
      <c r="AX188" s="205"/>
      <c r="AY188" s="205"/>
      <c r="AZ188" s="205"/>
      <c r="BA188" s="205"/>
      <c r="BB188" s="205"/>
      <c r="BC188" s="205"/>
      <c r="BD188" s="205"/>
      <c r="BE188" s="205"/>
      <c r="BF188" s="205"/>
      <c r="BG188" s="205"/>
      <c r="BH188" s="205"/>
      <c r="BI188" s="205"/>
      <c r="BJ188" s="205"/>
      <c r="BK188" s="205"/>
      <c r="BL188" s="205"/>
      <c r="BM188" s="205"/>
      <c r="BN188" s="205"/>
      <c r="BO188" s="213"/>
      <c r="BP188" s="141"/>
      <c r="BQ188" s="141"/>
      <c r="BR188" s="141"/>
      <c r="BS188" s="141"/>
      <c r="BT188" s="141"/>
      <c r="BU188" s="141"/>
      <c r="BV188" s="141"/>
      <c r="BW188" s="141"/>
      <c r="BX188" s="141"/>
      <c r="BY188" s="141"/>
      <c r="BZ188" s="141"/>
      <c r="CA188" s="141"/>
      <c r="CB188" s="141"/>
    </row>
    <row r="189" spans="1:80" customFormat="1">
      <c r="A189" s="211"/>
      <c r="B189" s="211"/>
      <c r="C189" s="210"/>
      <c r="D189" s="211"/>
      <c r="E189" s="211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  <c r="AV189" s="205"/>
      <c r="AW189" s="205"/>
      <c r="AX189" s="205"/>
      <c r="AY189" s="205"/>
      <c r="AZ189" s="205"/>
      <c r="BA189" s="205"/>
      <c r="BB189" s="205"/>
      <c r="BC189" s="205"/>
      <c r="BD189" s="205"/>
      <c r="BE189" s="205"/>
      <c r="BF189" s="205"/>
      <c r="BG189" s="205"/>
      <c r="BH189" s="205"/>
      <c r="BI189" s="205"/>
      <c r="BJ189" s="205"/>
      <c r="BK189" s="205"/>
      <c r="BL189" s="205"/>
      <c r="BM189" s="205"/>
      <c r="BN189" s="205"/>
      <c r="BO189" s="213"/>
      <c r="BP189" s="141"/>
      <c r="BQ189" s="141"/>
      <c r="BR189" s="141"/>
      <c r="BS189" s="141"/>
      <c r="BT189" s="141"/>
      <c r="BU189" s="141"/>
      <c r="BV189" s="141"/>
      <c r="BW189" s="141"/>
      <c r="BX189" s="141"/>
      <c r="BY189" s="141"/>
      <c r="BZ189" s="141"/>
      <c r="CA189" s="141"/>
      <c r="CB189" s="141"/>
    </row>
    <row r="190" spans="1:80" customFormat="1">
      <c r="A190" s="211"/>
      <c r="B190" s="211"/>
      <c r="C190" s="210"/>
      <c r="D190" s="211"/>
      <c r="E190" s="211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  <c r="AV190" s="205"/>
      <c r="AW190" s="205"/>
      <c r="AX190" s="205"/>
      <c r="AY190" s="205"/>
      <c r="AZ190" s="205"/>
      <c r="BA190" s="205"/>
      <c r="BB190" s="205"/>
      <c r="BC190" s="205"/>
      <c r="BD190" s="205"/>
      <c r="BE190" s="205"/>
      <c r="BF190" s="205"/>
      <c r="BG190" s="205"/>
      <c r="BH190" s="205"/>
      <c r="BI190" s="205"/>
      <c r="BJ190" s="205"/>
      <c r="BK190" s="205"/>
      <c r="BL190" s="205"/>
      <c r="BM190" s="205"/>
      <c r="BN190" s="205"/>
      <c r="BO190" s="213"/>
      <c r="BP190" s="141"/>
      <c r="BQ190" s="141"/>
      <c r="BR190" s="141"/>
      <c r="BS190" s="141"/>
      <c r="BT190" s="141"/>
      <c r="BU190" s="141"/>
      <c r="BV190" s="141"/>
      <c r="BW190" s="141"/>
      <c r="BX190" s="141"/>
      <c r="BY190" s="141"/>
      <c r="BZ190" s="141"/>
      <c r="CA190" s="141"/>
      <c r="CB190" s="141"/>
    </row>
    <row r="191" spans="1:80" customFormat="1">
      <c r="A191" s="211"/>
      <c r="B191" s="211"/>
      <c r="C191" s="210"/>
      <c r="D191" s="211"/>
      <c r="E191" s="211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  <c r="AV191" s="205"/>
      <c r="AW191" s="205"/>
      <c r="AX191" s="205"/>
      <c r="AY191" s="205"/>
      <c r="AZ191" s="205"/>
      <c r="BA191" s="205"/>
      <c r="BB191" s="205"/>
      <c r="BC191" s="205"/>
      <c r="BD191" s="205"/>
      <c r="BE191" s="205"/>
      <c r="BF191" s="205"/>
      <c r="BG191" s="205"/>
      <c r="BH191" s="205"/>
      <c r="BI191" s="205"/>
      <c r="BJ191" s="205"/>
      <c r="BK191" s="205"/>
      <c r="BL191" s="205"/>
      <c r="BM191" s="205"/>
      <c r="BN191" s="205"/>
      <c r="BO191" s="213"/>
      <c r="BP191" s="141"/>
      <c r="BQ191" s="141"/>
      <c r="BR191" s="141"/>
      <c r="BS191" s="141"/>
      <c r="BT191" s="141"/>
      <c r="BU191" s="141"/>
      <c r="BV191" s="141"/>
      <c r="BW191" s="141"/>
      <c r="BX191" s="141"/>
      <c r="BY191" s="141"/>
      <c r="BZ191" s="141"/>
      <c r="CA191" s="141"/>
      <c r="CB191" s="141"/>
    </row>
    <row r="192" spans="1:80" customFormat="1">
      <c r="A192" s="211"/>
      <c r="B192" s="211"/>
      <c r="C192" s="210"/>
      <c r="D192" s="211"/>
      <c r="E192" s="211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  <c r="AV192" s="205"/>
      <c r="AW192" s="205"/>
      <c r="AX192" s="205"/>
      <c r="AY192" s="205"/>
      <c r="AZ192" s="205"/>
      <c r="BA192" s="205"/>
      <c r="BB192" s="205"/>
      <c r="BC192" s="205"/>
      <c r="BD192" s="205"/>
      <c r="BE192" s="205"/>
      <c r="BF192" s="205"/>
      <c r="BG192" s="205"/>
      <c r="BH192" s="205"/>
      <c r="BI192" s="205"/>
      <c r="BJ192" s="205"/>
      <c r="BK192" s="205"/>
      <c r="BL192" s="205"/>
      <c r="BM192" s="205"/>
      <c r="BN192" s="205"/>
      <c r="BO192" s="213"/>
      <c r="BP192" s="141"/>
      <c r="BQ192" s="141"/>
      <c r="BR192" s="141"/>
      <c r="BS192" s="141"/>
      <c r="BT192" s="141"/>
      <c r="BU192" s="141"/>
      <c r="BV192" s="141"/>
      <c r="BW192" s="141"/>
      <c r="BX192" s="141"/>
      <c r="BY192" s="141"/>
      <c r="BZ192" s="141"/>
      <c r="CA192" s="141"/>
      <c r="CB192" s="141"/>
    </row>
    <row r="193" spans="1:80" customFormat="1">
      <c r="A193" s="211"/>
      <c r="B193" s="211"/>
      <c r="C193" s="210"/>
      <c r="D193" s="211"/>
      <c r="E193" s="211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  <c r="AV193" s="205"/>
      <c r="AW193" s="205"/>
      <c r="AX193" s="205"/>
      <c r="AY193" s="205"/>
      <c r="AZ193" s="205"/>
      <c r="BA193" s="205"/>
      <c r="BB193" s="205"/>
      <c r="BC193" s="205"/>
      <c r="BD193" s="205"/>
      <c r="BE193" s="205"/>
      <c r="BF193" s="205"/>
      <c r="BG193" s="205"/>
      <c r="BH193" s="205"/>
      <c r="BI193" s="205"/>
      <c r="BJ193" s="205"/>
      <c r="BK193" s="205"/>
      <c r="BL193" s="205"/>
      <c r="BM193" s="205"/>
      <c r="BN193" s="205"/>
      <c r="BO193" s="213"/>
      <c r="BP193" s="141"/>
      <c r="BQ193" s="141"/>
      <c r="BR193" s="141"/>
      <c r="BS193" s="141"/>
      <c r="BT193" s="141"/>
      <c r="BU193" s="141"/>
      <c r="BV193" s="141"/>
      <c r="BW193" s="141"/>
      <c r="BX193" s="141"/>
      <c r="BY193" s="141"/>
      <c r="BZ193" s="141"/>
      <c r="CA193" s="141"/>
      <c r="CB193" s="141"/>
    </row>
    <row r="194" spans="1:80" customFormat="1">
      <c r="A194" s="211"/>
      <c r="B194" s="211"/>
      <c r="C194" s="210"/>
      <c r="D194" s="211"/>
      <c r="E194" s="211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  <c r="AV194" s="205"/>
      <c r="AW194" s="205"/>
      <c r="AX194" s="205"/>
      <c r="AY194" s="205"/>
      <c r="AZ194" s="205"/>
      <c r="BA194" s="205"/>
      <c r="BB194" s="205"/>
      <c r="BC194" s="205"/>
      <c r="BD194" s="205"/>
      <c r="BE194" s="205"/>
      <c r="BF194" s="205"/>
      <c r="BG194" s="205"/>
      <c r="BH194" s="205"/>
      <c r="BI194" s="205"/>
      <c r="BJ194" s="205"/>
      <c r="BK194" s="205"/>
      <c r="BL194" s="205"/>
      <c r="BM194" s="205"/>
      <c r="BN194" s="205"/>
      <c r="BO194" s="213"/>
      <c r="BP194" s="141"/>
      <c r="BQ194" s="141"/>
      <c r="BR194" s="141"/>
      <c r="BS194" s="141"/>
      <c r="BT194" s="141"/>
      <c r="BU194" s="141"/>
      <c r="BV194" s="141"/>
      <c r="BW194" s="141"/>
      <c r="BX194" s="141"/>
      <c r="BY194" s="141"/>
      <c r="BZ194" s="141"/>
      <c r="CA194" s="141"/>
      <c r="CB194" s="141"/>
    </row>
    <row r="195" spans="1:80" customFormat="1">
      <c r="A195" s="211"/>
      <c r="B195" s="211"/>
      <c r="C195" s="210"/>
      <c r="D195" s="211"/>
      <c r="E195" s="211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  <c r="AV195" s="205"/>
      <c r="AW195" s="205"/>
      <c r="AX195" s="205"/>
      <c r="AY195" s="205"/>
      <c r="AZ195" s="205"/>
      <c r="BA195" s="205"/>
      <c r="BB195" s="205"/>
      <c r="BC195" s="205"/>
      <c r="BD195" s="205"/>
      <c r="BE195" s="205"/>
      <c r="BF195" s="205"/>
      <c r="BG195" s="205"/>
      <c r="BH195" s="205"/>
      <c r="BI195" s="205"/>
      <c r="BJ195" s="205"/>
      <c r="BK195" s="205"/>
      <c r="BL195" s="205"/>
      <c r="BM195" s="205"/>
      <c r="BN195" s="205"/>
      <c r="BO195" s="213"/>
      <c r="BP195" s="141"/>
      <c r="BQ195" s="141"/>
      <c r="BR195" s="141"/>
      <c r="BS195" s="141"/>
      <c r="BT195" s="141"/>
      <c r="BU195" s="141"/>
      <c r="BV195" s="141"/>
      <c r="BW195" s="141"/>
      <c r="BX195" s="141"/>
      <c r="BY195" s="141"/>
      <c r="BZ195" s="141"/>
      <c r="CA195" s="141"/>
      <c r="CB195" s="141"/>
    </row>
    <row r="196" spans="1:80" customFormat="1">
      <c r="A196" s="211"/>
      <c r="B196" s="211"/>
      <c r="C196" s="210"/>
      <c r="D196" s="211"/>
      <c r="E196" s="211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  <c r="AT196" s="205"/>
      <c r="AU196" s="205"/>
      <c r="AV196" s="205"/>
      <c r="AW196" s="205"/>
      <c r="AX196" s="205"/>
      <c r="AY196" s="205"/>
      <c r="AZ196" s="205"/>
      <c r="BA196" s="205"/>
      <c r="BB196" s="205"/>
      <c r="BC196" s="205"/>
      <c r="BD196" s="205"/>
      <c r="BE196" s="205"/>
      <c r="BF196" s="205"/>
      <c r="BG196" s="205"/>
      <c r="BH196" s="205"/>
      <c r="BI196" s="205"/>
      <c r="BJ196" s="205"/>
      <c r="BK196" s="205"/>
      <c r="BL196" s="205"/>
      <c r="BM196" s="205"/>
      <c r="BN196" s="205"/>
      <c r="BO196" s="213"/>
      <c r="BP196" s="141"/>
      <c r="BQ196" s="141"/>
      <c r="BR196" s="141"/>
      <c r="BS196" s="141"/>
      <c r="BT196" s="141"/>
      <c r="BU196" s="141"/>
      <c r="BV196" s="141"/>
      <c r="BW196" s="141"/>
      <c r="BX196" s="141"/>
      <c r="BY196" s="141"/>
      <c r="BZ196" s="141"/>
      <c r="CA196" s="141"/>
      <c r="CB196" s="141"/>
    </row>
    <row r="197" spans="1:80" customFormat="1">
      <c r="A197" s="211"/>
      <c r="B197" s="211"/>
      <c r="C197" s="210"/>
      <c r="D197" s="211"/>
      <c r="E197" s="211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05"/>
      <c r="AK197" s="205"/>
      <c r="AL197" s="205"/>
      <c r="AM197" s="205"/>
      <c r="AN197" s="205"/>
      <c r="AO197" s="205"/>
      <c r="AP197" s="205"/>
      <c r="AQ197" s="205"/>
      <c r="AR197" s="205"/>
      <c r="AS197" s="205"/>
      <c r="AT197" s="205"/>
      <c r="AU197" s="205"/>
      <c r="AV197" s="205"/>
      <c r="AW197" s="205"/>
      <c r="AX197" s="205"/>
      <c r="AY197" s="205"/>
      <c r="AZ197" s="205"/>
      <c r="BA197" s="205"/>
      <c r="BB197" s="205"/>
      <c r="BC197" s="205"/>
      <c r="BD197" s="205"/>
      <c r="BE197" s="205"/>
      <c r="BF197" s="205"/>
      <c r="BG197" s="205"/>
      <c r="BH197" s="205"/>
      <c r="BI197" s="205"/>
      <c r="BJ197" s="205"/>
      <c r="BK197" s="205"/>
      <c r="BL197" s="205"/>
      <c r="BM197" s="205"/>
      <c r="BN197" s="205"/>
      <c r="BO197" s="213"/>
      <c r="BP197" s="141"/>
      <c r="BQ197" s="141"/>
      <c r="BR197" s="141"/>
      <c r="BS197" s="141"/>
      <c r="BT197" s="141"/>
      <c r="BU197" s="141"/>
      <c r="BV197" s="141"/>
      <c r="BW197" s="141"/>
      <c r="BX197" s="141"/>
      <c r="BY197" s="141"/>
      <c r="BZ197" s="141"/>
      <c r="CA197" s="141"/>
      <c r="CB197" s="141"/>
    </row>
    <row r="198" spans="1:80" customFormat="1">
      <c r="A198" s="211"/>
      <c r="B198" s="211"/>
      <c r="C198" s="210"/>
      <c r="D198" s="211"/>
      <c r="E198" s="211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05"/>
      <c r="AK198" s="205"/>
      <c r="AL198" s="205"/>
      <c r="AM198" s="205"/>
      <c r="AN198" s="205"/>
      <c r="AO198" s="205"/>
      <c r="AP198" s="205"/>
      <c r="AQ198" s="205"/>
      <c r="AR198" s="205"/>
      <c r="AS198" s="205"/>
      <c r="AT198" s="205"/>
      <c r="AU198" s="205"/>
      <c r="AV198" s="205"/>
      <c r="AW198" s="205"/>
      <c r="AX198" s="205"/>
      <c r="AY198" s="205"/>
      <c r="AZ198" s="205"/>
      <c r="BA198" s="205"/>
      <c r="BB198" s="205"/>
      <c r="BC198" s="205"/>
      <c r="BD198" s="205"/>
      <c r="BE198" s="205"/>
      <c r="BF198" s="205"/>
      <c r="BG198" s="205"/>
      <c r="BH198" s="205"/>
      <c r="BI198" s="205"/>
      <c r="BJ198" s="205"/>
      <c r="BK198" s="205"/>
      <c r="BL198" s="205"/>
      <c r="BM198" s="205"/>
      <c r="BN198" s="205"/>
      <c r="BO198" s="213"/>
      <c r="BP198" s="141"/>
      <c r="BQ198" s="141"/>
      <c r="BR198" s="141"/>
      <c r="BS198" s="141"/>
      <c r="BT198" s="141"/>
      <c r="BU198" s="141"/>
      <c r="BV198" s="141"/>
      <c r="BW198" s="141"/>
      <c r="BX198" s="141"/>
      <c r="BY198" s="141"/>
      <c r="BZ198" s="141"/>
      <c r="CA198" s="141"/>
      <c r="CB198" s="141"/>
    </row>
    <row r="199" spans="1:80" customFormat="1">
      <c r="A199" s="211"/>
      <c r="B199" s="211"/>
      <c r="C199" s="210"/>
      <c r="D199" s="211"/>
      <c r="E199" s="211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  <c r="AT199" s="205"/>
      <c r="AU199" s="205"/>
      <c r="AV199" s="205"/>
      <c r="AW199" s="205"/>
      <c r="AX199" s="205"/>
      <c r="AY199" s="205"/>
      <c r="AZ199" s="205"/>
      <c r="BA199" s="205"/>
      <c r="BB199" s="205"/>
      <c r="BC199" s="205"/>
      <c r="BD199" s="205"/>
      <c r="BE199" s="205"/>
      <c r="BF199" s="205"/>
      <c r="BG199" s="205"/>
      <c r="BH199" s="205"/>
      <c r="BI199" s="205"/>
      <c r="BJ199" s="205"/>
      <c r="BK199" s="205"/>
      <c r="BL199" s="205"/>
      <c r="BM199" s="205"/>
      <c r="BN199" s="205"/>
      <c r="BO199" s="213"/>
      <c r="BP199" s="141"/>
      <c r="BQ199" s="141"/>
      <c r="BR199" s="141"/>
      <c r="BS199" s="141"/>
      <c r="BT199" s="141"/>
      <c r="BU199" s="141"/>
      <c r="BV199" s="141"/>
      <c r="BW199" s="141"/>
      <c r="BX199" s="141"/>
      <c r="BY199" s="141"/>
      <c r="BZ199" s="141"/>
      <c r="CA199" s="141"/>
      <c r="CB199" s="141"/>
    </row>
    <row r="200" spans="1:80" customFormat="1">
      <c r="A200" s="211"/>
      <c r="B200" s="211"/>
      <c r="C200" s="210"/>
      <c r="D200" s="211"/>
      <c r="E200" s="211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05"/>
      <c r="AK200" s="205"/>
      <c r="AL200" s="205"/>
      <c r="AM200" s="205"/>
      <c r="AN200" s="205"/>
      <c r="AO200" s="205"/>
      <c r="AP200" s="205"/>
      <c r="AQ200" s="205"/>
      <c r="AR200" s="205"/>
      <c r="AS200" s="205"/>
      <c r="AT200" s="205"/>
      <c r="AU200" s="205"/>
      <c r="AV200" s="205"/>
      <c r="AW200" s="205"/>
      <c r="AX200" s="205"/>
      <c r="AY200" s="205"/>
      <c r="AZ200" s="205"/>
      <c r="BA200" s="205"/>
      <c r="BB200" s="205"/>
      <c r="BC200" s="205"/>
      <c r="BD200" s="205"/>
      <c r="BE200" s="205"/>
      <c r="BF200" s="205"/>
      <c r="BG200" s="205"/>
      <c r="BH200" s="205"/>
      <c r="BI200" s="205"/>
      <c r="BJ200" s="205"/>
      <c r="BK200" s="205"/>
      <c r="BL200" s="205"/>
      <c r="BM200" s="205"/>
      <c r="BN200" s="205"/>
      <c r="BO200" s="213"/>
      <c r="BP200" s="141"/>
      <c r="BQ200" s="141"/>
      <c r="BR200" s="141"/>
      <c r="BS200" s="141"/>
      <c r="BT200" s="141"/>
      <c r="BU200" s="141"/>
      <c r="BV200" s="141"/>
      <c r="BW200" s="141"/>
      <c r="BX200" s="141"/>
      <c r="BY200" s="141"/>
      <c r="BZ200" s="141"/>
      <c r="CA200" s="141"/>
      <c r="CB200" s="141"/>
    </row>
    <row r="201" spans="1:80" customFormat="1">
      <c r="A201" s="211"/>
      <c r="B201" s="211"/>
      <c r="C201" s="210"/>
      <c r="D201" s="211"/>
      <c r="E201" s="211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  <c r="AT201" s="205"/>
      <c r="AU201" s="205"/>
      <c r="AV201" s="205"/>
      <c r="AW201" s="205"/>
      <c r="AX201" s="205"/>
      <c r="AY201" s="205"/>
      <c r="AZ201" s="205"/>
      <c r="BA201" s="205"/>
      <c r="BB201" s="205"/>
      <c r="BC201" s="205"/>
      <c r="BD201" s="205"/>
      <c r="BE201" s="205"/>
      <c r="BF201" s="205"/>
      <c r="BG201" s="205"/>
      <c r="BH201" s="205"/>
      <c r="BI201" s="205"/>
      <c r="BJ201" s="205"/>
      <c r="BK201" s="205"/>
      <c r="BL201" s="205"/>
      <c r="BM201" s="205"/>
      <c r="BN201" s="205"/>
      <c r="BO201" s="213"/>
      <c r="BP201" s="141"/>
      <c r="BQ201" s="141"/>
      <c r="BR201" s="141"/>
      <c r="BS201" s="141"/>
      <c r="BT201" s="141"/>
      <c r="BU201" s="141"/>
      <c r="BV201" s="141"/>
      <c r="BW201" s="141"/>
      <c r="BX201" s="141"/>
      <c r="BY201" s="141"/>
      <c r="BZ201" s="141"/>
      <c r="CA201" s="141"/>
      <c r="CB201" s="141"/>
    </row>
    <row r="202" spans="1:80" customFormat="1">
      <c r="A202" s="211"/>
      <c r="B202" s="211"/>
      <c r="C202" s="210"/>
      <c r="D202" s="211"/>
      <c r="E202" s="211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05"/>
      <c r="AK202" s="205"/>
      <c r="AL202" s="205"/>
      <c r="AM202" s="205"/>
      <c r="AN202" s="205"/>
      <c r="AO202" s="205"/>
      <c r="AP202" s="205"/>
      <c r="AQ202" s="205"/>
      <c r="AR202" s="205"/>
      <c r="AS202" s="205"/>
      <c r="AT202" s="205"/>
      <c r="AU202" s="205"/>
      <c r="AV202" s="205"/>
      <c r="AW202" s="205"/>
      <c r="AX202" s="205"/>
      <c r="AY202" s="205"/>
      <c r="AZ202" s="205"/>
      <c r="BA202" s="205"/>
      <c r="BB202" s="205"/>
      <c r="BC202" s="205"/>
      <c r="BD202" s="205"/>
      <c r="BE202" s="205"/>
      <c r="BF202" s="205"/>
      <c r="BG202" s="205"/>
      <c r="BH202" s="205"/>
      <c r="BI202" s="205"/>
      <c r="BJ202" s="205"/>
      <c r="BK202" s="205"/>
      <c r="BL202" s="205"/>
      <c r="BM202" s="205"/>
      <c r="BN202" s="205"/>
      <c r="BO202" s="213"/>
      <c r="BP202" s="141"/>
      <c r="BQ202" s="141"/>
      <c r="BR202" s="141"/>
      <c r="BS202" s="141"/>
      <c r="BT202" s="141"/>
      <c r="BU202" s="141"/>
      <c r="BV202" s="141"/>
      <c r="BW202" s="141"/>
      <c r="BX202" s="141"/>
      <c r="BY202" s="141"/>
      <c r="BZ202" s="141"/>
      <c r="CA202" s="141"/>
      <c r="CB202" s="141"/>
    </row>
    <row r="203" spans="1:80" customFormat="1">
      <c r="A203" s="211"/>
      <c r="B203" s="211"/>
      <c r="C203" s="210"/>
      <c r="D203" s="211"/>
      <c r="E203" s="211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05"/>
      <c r="AK203" s="205"/>
      <c r="AL203" s="205"/>
      <c r="AM203" s="205"/>
      <c r="AN203" s="205"/>
      <c r="AO203" s="205"/>
      <c r="AP203" s="205"/>
      <c r="AQ203" s="205"/>
      <c r="AR203" s="205"/>
      <c r="AS203" s="205"/>
      <c r="AT203" s="205"/>
      <c r="AU203" s="205"/>
      <c r="AV203" s="205"/>
      <c r="AW203" s="205"/>
      <c r="AX203" s="205"/>
      <c r="AY203" s="205"/>
      <c r="AZ203" s="205"/>
      <c r="BA203" s="205"/>
      <c r="BB203" s="205"/>
      <c r="BC203" s="205"/>
      <c r="BD203" s="205"/>
      <c r="BE203" s="205"/>
      <c r="BF203" s="205"/>
      <c r="BG203" s="205"/>
      <c r="BH203" s="205"/>
      <c r="BI203" s="205"/>
      <c r="BJ203" s="205"/>
      <c r="BK203" s="205"/>
      <c r="BL203" s="205"/>
      <c r="BM203" s="205"/>
      <c r="BN203" s="205"/>
      <c r="BO203" s="213"/>
      <c r="BP203" s="141"/>
      <c r="BQ203" s="141"/>
      <c r="BR203" s="141"/>
      <c r="BS203" s="141"/>
      <c r="BT203" s="141"/>
      <c r="BU203" s="141"/>
      <c r="BV203" s="141"/>
      <c r="BW203" s="141"/>
      <c r="BX203" s="141"/>
      <c r="BY203" s="141"/>
      <c r="BZ203" s="141"/>
      <c r="CA203" s="141"/>
      <c r="CB203" s="141"/>
    </row>
    <row r="204" spans="1:80" customFormat="1">
      <c r="A204" s="211"/>
      <c r="B204" s="211"/>
      <c r="C204" s="210"/>
      <c r="D204" s="211"/>
      <c r="E204" s="211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05"/>
      <c r="AK204" s="205"/>
      <c r="AL204" s="205"/>
      <c r="AM204" s="205"/>
      <c r="AN204" s="205"/>
      <c r="AO204" s="205"/>
      <c r="AP204" s="205"/>
      <c r="AQ204" s="205"/>
      <c r="AR204" s="205"/>
      <c r="AS204" s="205"/>
      <c r="AT204" s="205"/>
      <c r="AU204" s="205"/>
      <c r="AV204" s="205"/>
      <c r="AW204" s="205"/>
      <c r="AX204" s="205"/>
      <c r="AY204" s="205"/>
      <c r="AZ204" s="205"/>
      <c r="BA204" s="205"/>
      <c r="BB204" s="205"/>
      <c r="BC204" s="205"/>
      <c r="BD204" s="205"/>
      <c r="BE204" s="205"/>
      <c r="BF204" s="205"/>
      <c r="BG204" s="205"/>
      <c r="BH204" s="205"/>
      <c r="BI204" s="205"/>
      <c r="BJ204" s="205"/>
      <c r="BK204" s="205"/>
      <c r="BL204" s="205"/>
      <c r="BM204" s="205"/>
      <c r="BN204" s="205"/>
      <c r="BO204" s="213"/>
      <c r="BP204" s="141"/>
      <c r="BQ204" s="141"/>
      <c r="BR204" s="141"/>
      <c r="BS204" s="141"/>
      <c r="BT204" s="141"/>
      <c r="BU204" s="141"/>
      <c r="BV204" s="141"/>
      <c r="BW204" s="141"/>
      <c r="BX204" s="141"/>
      <c r="BY204" s="141"/>
      <c r="BZ204" s="141"/>
      <c r="CA204" s="141"/>
      <c r="CB204" s="141"/>
    </row>
    <row r="205" spans="1:80" customFormat="1">
      <c r="A205" s="211"/>
      <c r="B205" s="211"/>
      <c r="C205" s="210"/>
      <c r="D205" s="211"/>
      <c r="E205" s="211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  <c r="AV205" s="205"/>
      <c r="AW205" s="205"/>
      <c r="AX205" s="205"/>
      <c r="AY205" s="205"/>
      <c r="AZ205" s="205"/>
      <c r="BA205" s="205"/>
      <c r="BB205" s="205"/>
      <c r="BC205" s="205"/>
      <c r="BD205" s="205"/>
      <c r="BE205" s="205"/>
      <c r="BF205" s="205"/>
      <c r="BG205" s="205"/>
      <c r="BH205" s="205"/>
      <c r="BI205" s="205"/>
      <c r="BJ205" s="205"/>
      <c r="BK205" s="205"/>
      <c r="BL205" s="205"/>
      <c r="BM205" s="205"/>
      <c r="BN205" s="205"/>
      <c r="BO205" s="213"/>
      <c r="BP205" s="141"/>
      <c r="BQ205" s="141"/>
      <c r="BR205" s="141"/>
      <c r="BS205" s="141"/>
      <c r="BT205" s="141"/>
      <c r="BU205" s="141"/>
      <c r="BV205" s="141"/>
      <c r="BW205" s="141"/>
      <c r="BX205" s="141"/>
      <c r="BY205" s="141"/>
      <c r="BZ205" s="141"/>
      <c r="CA205" s="141"/>
      <c r="CB205" s="141"/>
    </row>
    <row r="206" spans="1:80" customFormat="1">
      <c r="A206" s="211"/>
      <c r="B206" s="211"/>
      <c r="C206" s="210"/>
      <c r="D206" s="211"/>
      <c r="E206" s="211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  <c r="AV206" s="205"/>
      <c r="AW206" s="205"/>
      <c r="AX206" s="205"/>
      <c r="AY206" s="205"/>
      <c r="AZ206" s="205"/>
      <c r="BA206" s="205"/>
      <c r="BB206" s="205"/>
      <c r="BC206" s="205"/>
      <c r="BD206" s="205"/>
      <c r="BE206" s="205"/>
      <c r="BF206" s="205"/>
      <c r="BG206" s="205"/>
      <c r="BH206" s="205"/>
      <c r="BI206" s="205"/>
      <c r="BJ206" s="205"/>
      <c r="BK206" s="205"/>
      <c r="BL206" s="205"/>
      <c r="BM206" s="205"/>
      <c r="BN206" s="205"/>
      <c r="BO206" s="213"/>
      <c r="BP206" s="141"/>
      <c r="BQ206" s="141"/>
      <c r="BR206" s="141"/>
      <c r="BS206" s="141"/>
      <c r="BT206" s="141"/>
      <c r="BU206" s="141"/>
      <c r="BV206" s="141"/>
      <c r="BW206" s="141"/>
      <c r="BX206" s="141"/>
      <c r="BY206" s="141"/>
      <c r="BZ206" s="141"/>
      <c r="CA206" s="141"/>
      <c r="CB206" s="141"/>
    </row>
    <row r="207" spans="1:80" customFormat="1">
      <c r="A207" s="211"/>
      <c r="B207" s="211"/>
      <c r="C207" s="210"/>
      <c r="D207" s="211"/>
      <c r="E207" s="211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  <c r="AT207" s="205"/>
      <c r="AU207" s="205"/>
      <c r="AV207" s="205"/>
      <c r="AW207" s="205"/>
      <c r="AX207" s="205"/>
      <c r="AY207" s="205"/>
      <c r="AZ207" s="205"/>
      <c r="BA207" s="205"/>
      <c r="BB207" s="205"/>
      <c r="BC207" s="205"/>
      <c r="BD207" s="205"/>
      <c r="BE207" s="205"/>
      <c r="BF207" s="205"/>
      <c r="BG207" s="205"/>
      <c r="BH207" s="205"/>
      <c r="BI207" s="205"/>
      <c r="BJ207" s="205"/>
      <c r="BK207" s="205"/>
      <c r="BL207" s="205"/>
      <c r="BM207" s="205"/>
      <c r="BN207" s="205"/>
      <c r="BO207" s="213"/>
      <c r="BP207" s="141"/>
      <c r="BQ207" s="141"/>
      <c r="BR207" s="141"/>
      <c r="BS207" s="141"/>
      <c r="BT207" s="141"/>
      <c r="BU207" s="141"/>
      <c r="BV207" s="141"/>
      <c r="BW207" s="141"/>
      <c r="BX207" s="141"/>
      <c r="BY207" s="141"/>
      <c r="BZ207" s="141"/>
      <c r="CA207" s="141"/>
      <c r="CB207" s="141"/>
    </row>
    <row r="208" spans="1:80" customFormat="1">
      <c r="A208" s="211"/>
      <c r="B208" s="211"/>
      <c r="C208" s="210"/>
      <c r="D208" s="211"/>
      <c r="E208" s="211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  <c r="AT208" s="205"/>
      <c r="AU208" s="205"/>
      <c r="AV208" s="205"/>
      <c r="AW208" s="205"/>
      <c r="AX208" s="205"/>
      <c r="AY208" s="205"/>
      <c r="AZ208" s="205"/>
      <c r="BA208" s="205"/>
      <c r="BB208" s="205"/>
      <c r="BC208" s="205"/>
      <c r="BD208" s="205"/>
      <c r="BE208" s="205"/>
      <c r="BF208" s="205"/>
      <c r="BG208" s="205"/>
      <c r="BH208" s="205"/>
      <c r="BI208" s="205"/>
      <c r="BJ208" s="205"/>
      <c r="BK208" s="205"/>
      <c r="BL208" s="205"/>
      <c r="BM208" s="205"/>
      <c r="BN208" s="205"/>
      <c r="BO208" s="213"/>
      <c r="BP208" s="141"/>
      <c r="BQ208" s="141"/>
      <c r="BR208" s="141"/>
      <c r="BS208" s="141"/>
      <c r="BT208" s="141"/>
      <c r="BU208" s="141"/>
      <c r="BV208" s="141"/>
      <c r="BW208" s="141"/>
      <c r="BX208" s="141"/>
      <c r="BY208" s="141"/>
      <c r="BZ208" s="141"/>
      <c r="CA208" s="141"/>
      <c r="CB208" s="141"/>
    </row>
    <row r="209" spans="1:80" customFormat="1">
      <c r="A209" s="211"/>
      <c r="B209" s="211"/>
      <c r="C209" s="210"/>
      <c r="D209" s="211"/>
      <c r="E209" s="211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05"/>
      <c r="AK209" s="205"/>
      <c r="AL209" s="205"/>
      <c r="AM209" s="205"/>
      <c r="AN209" s="205"/>
      <c r="AO209" s="205"/>
      <c r="AP209" s="205"/>
      <c r="AQ209" s="205"/>
      <c r="AR209" s="205"/>
      <c r="AS209" s="205"/>
      <c r="AT209" s="205"/>
      <c r="AU209" s="205"/>
      <c r="AV209" s="205"/>
      <c r="AW209" s="205"/>
      <c r="AX209" s="205"/>
      <c r="AY209" s="205"/>
      <c r="AZ209" s="205"/>
      <c r="BA209" s="205"/>
      <c r="BB209" s="205"/>
      <c r="BC209" s="205"/>
      <c r="BD209" s="205"/>
      <c r="BE209" s="205"/>
      <c r="BF209" s="205"/>
      <c r="BG209" s="205"/>
      <c r="BH209" s="205"/>
      <c r="BI209" s="205"/>
      <c r="BJ209" s="205"/>
      <c r="BK209" s="205"/>
      <c r="BL209" s="205"/>
      <c r="BM209" s="205"/>
      <c r="BN209" s="205"/>
      <c r="BO209" s="213"/>
      <c r="BP209" s="141"/>
      <c r="BQ209" s="141"/>
      <c r="BR209" s="141"/>
      <c r="BS209" s="141"/>
      <c r="BT209" s="141"/>
      <c r="BU209" s="141"/>
      <c r="BV209" s="141"/>
      <c r="BW209" s="141"/>
      <c r="BX209" s="141"/>
      <c r="BY209" s="141"/>
      <c r="BZ209" s="141"/>
      <c r="CA209" s="141"/>
      <c r="CB209" s="141"/>
    </row>
    <row r="210" spans="1:80" customFormat="1">
      <c r="A210" s="211"/>
      <c r="B210" s="211"/>
      <c r="C210" s="210"/>
      <c r="D210" s="211"/>
      <c r="E210" s="211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  <c r="AV210" s="205"/>
      <c r="AW210" s="205"/>
      <c r="AX210" s="205"/>
      <c r="AY210" s="205"/>
      <c r="AZ210" s="205"/>
      <c r="BA210" s="205"/>
      <c r="BB210" s="205"/>
      <c r="BC210" s="205"/>
      <c r="BD210" s="205"/>
      <c r="BE210" s="205"/>
      <c r="BF210" s="205"/>
      <c r="BG210" s="205"/>
      <c r="BH210" s="205"/>
      <c r="BI210" s="205"/>
      <c r="BJ210" s="205"/>
      <c r="BK210" s="205"/>
      <c r="BL210" s="205"/>
      <c r="BM210" s="205"/>
      <c r="BN210" s="205"/>
      <c r="BO210" s="213"/>
      <c r="BP210" s="141"/>
      <c r="BQ210" s="141"/>
      <c r="BR210" s="141"/>
      <c r="BS210" s="141"/>
      <c r="BT210" s="141"/>
      <c r="BU210" s="141"/>
      <c r="BV210" s="141"/>
      <c r="BW210" s="141"/>
      <c r="BX210" s="141"/>
      <c r="BY210" s="141"/>
      <c r="BZ210" s="141"/>
      <c r="CA210" s="141"/>
      <c r="CB210" s="141"/>
    </row>
    <row r="211" spans="1:80" customFormat="1">
      <c r="A211" s="211"/>
      <c r="B211" s="211"/>
      <c r="C211" s="210"/>
      <c r="D211" s="211"/>
      <c r="E211" s="211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05"/>
      <c r="AV211" s="205"/>
      <c r="AW211" s="205"/>
      <c r="AX211" s="205"/>
      <c r="AY211" s="205"/>
      <c r="AZ211" s="205"/>
      <c r="BA211" s="205"/>
      <c r="BB211" s="205"/>
      <c r="BC211" s="205"/>
      <c r="BD211" s="205"/>
      <c r="BE211" s="205"/>
      <c r="BF211" s="205"/>
      <c r="BG211" s="205"/>
      <c r="BH211" s="205"/>
      <c r="BI211" s="205"/>
      <c r="BJ211" s="205"/>
      <c r="BK211" s="205"/>
      <c r="BL211" s="205"/>
      <c r="BM211" s="205"/>
      <c r="BN211" s="205"/>
      <c r="BO211" s="213"/>
      <c r="BP211" s="141"/>
      <c r="BQ211" s="141"/>
      <c r="BR211" s="141"/>
      <c r="BS211" s="141"/>
      <c r="BT211" s="141"/>
      <c r="BU211" s="141"/>
      <c r="BV211" s="141"/>
      <c r="BW211" s="141"/>
      <c r="BX211" s="141"/>
      <c r="BY211" s="141"/>
      <c r="BZ211" s="141"/>
      <c r="CA211" s="141"/>
      <c r="CB211" s="141"/>
    </row>
    <row r="212" spans="1:80" customFormat="1">
      <c r="A212" s="211"/>
      <c r="B212" s="211"/>
      <c r="C212" s="210"/>
      <c r="D212" s="211"/>
      <c r="E212" s="211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05"/>
      <c r="AK212" s="205"/>
      <c r="AL212" s="205"/>
      <c r="AM212" s="205"/>
      <c r="AN212" s="205"/>
      <c r="AO212" s="205"/>
      <c r="AP212" s="205"/>
      <c r="AQ212" s="205"/>
      <c r="AR212" s="205"/>
      <c r="AS212" s="205"/>
      <c r="AT212" s="205"/>
      <c r="AU212" s="205"/>
      <c r="AV212" s="205"/>
      <c r="AW212" s="205"/>
      <c r="AX212" s="205"/>
      <c r="AY212" s="205"/>
      <c r="AZ212" s="205"/>
      <c r="BA212" s="205"/>
      <c r="BB212" s="205"/>
      <c r="BC212" s="205"/>
      <c r="BD212" s="205"/>
      <c r="BE212" s="205"/>
      <c r="BF212" s="205"/>
      <c r="BG212" s="205"/>
      <c r="BH212" s="205"/>
      <c r="BI212" s="205"/>
      <c r="BJ212" s="205"/>
      <c r="BK212" s="205"/>
      <c r="BL212" s="205"/>
      <c r="BM212" s="205"/>
      <c r="BN212" s="205"/>
      <c r="BO212" s="213"/>
      <c r="BP212" s="141"/>
      <c r="BQ212" s="141"/>
      <c r="BR212" s="141"/>
      <c r="BS212" s="141"/>
      <c r="BT212" s="141"/>
      <c r="BU212" s="141"/>
      <c r="BV212" s="141"/>
      <c r="BW212" s="141"/>
      <c r="BX212" s="141"/>
      <c r="BY212" s="141"/>
      <c r="BZ212" s="141"/>
      <c r="CA212" s="141"/>
      <c r="CB212" s="141"/>
    </row>
    <row r="213" spans="1:80" customFormat="1">
      <c r="A213" s="211"/>
      <c r="B213" s="211"/>
      <c r="C213" s="210"/>
      <c r="D213" s="211"/>
      <c r="E213" s="211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  <c r="AT213" s="205"/>
      <c r="AU213" s="205"/>
      <c r="AV213" s="205"/>
      <c r="AW213" s="205"/>
      <c r="AX213" s="205"/>
      <c r="AY213" s="205"/>
      <c r="AZ213" s="205"/>
      <c r="BA213" s="205"/>
      <c r="BB213" s="205"/>
      <c r="BC213" s="205"/>
      <c r="BD213" s="205"/>
      <c r="BE213" s="205"/>
      <c r="BF213" s="205"/>
      <c r="BG213" s="205"/>
      <c r="BH213" s="205"/>
      <c r="BI213" s="205"/>
      <c r="BJ213" s="205"/>
      <c r="BK213" s="205"/>
      <c r="BL213" s="205"/>
      <c r="BM213" s="205"/>
      <c r="BN213" s="205"/>
      <c r="BO213" s="213"/>
      <c r="BP213" s="141"/>
      <c r="BQ213" s="141"/>
      <c r="BR213" s="141"/>
      <c r="BS213" s="141"/>
      <c r="BT213" s="141"/>
      <c r="BU213" s="141"/>
      <c r="BV213" s="141"/>
      <c r="BW213" s="141"/>
      <c r="BX213" s="141"/>
      <c r="BY213" s="141"/>
      <c r="BZ213" s="141"/>
      <c r="CA213" s="141"/>
      <c r="CB213" s="141"/>
    </row>
    <row r="214" spans="1:80" customFormat="1">
      <c r="A214" s="211"/>
      <c r="B214" s="211"/>
      <c r="C214" s="210"/>
      <c r="D214" s="211"/>
      <c r="E214" s="211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  <c r="AT214" s="205"/>
      <c r="AU214" s="205"/>
      <c r="AV214" s="205"/>
      <c r="AW214" s="205"/>
      <c r="AX214" s="205"/>
      <c r="AY214" s="205"/>
      <c r="AZ214" s="205"/>
      <c r="BA214" s="205"/>
      <c r="BB214" s="205"/>
      <c r="BC214" s="205"/>
      <c r="BD214" s="205"/>
      <c r="BE214" s="205"/>
      <c r="BF214" s="205"/>
      <c r="BG214" s="205"/>
      <c r="BH214" s="205"/>
      <c r="BI214" s="205"/>
      <c r="BJ214" s="205"/>
      <c r="BK214" s="205"/>
      <c r="BL214" s="205"/>
      <c r="BM214" s="205"/>
      <c r="BN214" s="205"/>
      <c r="BO214" s="213"/>
      <c r="BP214" s="141"/>
      <c r="BQ214" s="141"/>
      <c r="BR214" s="141"/>
      <c r="BS214" s="141"/>
      <c r="BT214" s="141"/>
      <c r="BU214" s="141"/>
      <c r="BV214" s="141"/>
      <c r="BW214" s="141"/>
      <c r="BX214" s="141"/>
      <c r="BY214" s="141"/>
      <c r="BZ214" s="141"/>
      <c r="CA214" s="141"/>
      <c r="CB214" s="141"/>
    </row>
    <row r="215" spans="1:80" customFormat="1">
      <c r="A215" s="211"/>
      <c r="B215" s="211"/>
      <c r="C215" s="210"/>
      <c r="D215" s="211"/>
      <c r="E215" s="211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05"/>
      <c r="AK215" s="205"/>
      <c r="AL215" s="205"/>
      <c r="AM215" s="205"/>
      <c r="AN215" s="205"/>
      <c r="AO215" s="205"/>
      <c r="AP215" s="205"/>
      <c r="AQ215" s="205"/>
      <c r="AR215" s="205"/>
      <c r="AS215" s="205"/>
      <c r="AT215" s="205"/>
      <c r="AU215" s="205"/>
      <c r="AV215" s="205"/>
      <c r="AW215" s="205"/>
      <c r="AX215" s="205"/>
      <c r="AY215" s="205"/>
      <c r="AZ215" s="205"/>
      <c r="BA215" s="205"/>
      <c r="BB215" s="205"/>
      <c r="BC215" s="205"/>
      <c r="BD215" s="205"/>
      <c r="BE215" s="205"/>
      <c r="BF215" s="205"/>
      <c r="BG215" s="205"/>
      <c r="BH215" s="205"/>
      <c r="BI215" s="205"/>
      <c r="BJ215" s="205"/>
      <c r="BK215" s="205"/>
      <c r="BL215" s="205"/>
      <c r="BM215" s="205"/>
      <c r="BN215" s="205"/>
      <c r="BO215" s="213"/>
      <c r="BP215" s="141"/>
      <c r="BQ215" s="141"/>
      <c r="BR215" s="141"/>
      <c r="BS215" s="141"/>
      <c r="BT215" s="141"/>
      <c r="BU215" s="141"/>
      <c r="BV215" s="141"/>
      <c r="BW215" s="141"/>
      <c r="BX215" s="141"/>
      <c r="BY215" s="141"/>
      <c r="BZ215" s="141"/>
      <c r="CA215" s="141"/>
      <c r="CB215" s="141"/>
    </row>
    <row r="216" spans="1:80" customFormat="1">
      <c r="A216" s="211"/>
      <c r="B216" s="211"/>
      <c r="C216" s="210"/>
      <c r="D216" s="211"/>
      <c r="E216" s="211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05"/>
      <c r="AK216" s="205"/>
      <c r="AL216" s="205"/>
      <c r="AM216" s="205"/>
      <c r="AN216" s="205"/>
      <c r="AO216" s="205"/>
      <c r="AP216" s="205"/>
      <c r="AQ216" s="205"/>
      <c r="AR216" s="205"/>
      <c r="AS216" s="205"/>
      <c r="AT216" s="205"/>
      <c r="AU216" s="205"/>
      <c r="AV216" s="205"/>
      <c r="AW216" s="205"/>
      <c r="AX216" s="205"/>
      <c r="AY216" s="205"/>
      <c r="AZ216" s="205"/>
      <c r="BA216" s="205"/>
      <c r="BB216" s="205"/>
      <c r="BC216" s="205"/>
      <c r="BD216" s="205"/>
      <c r="BE216" s="205"/>
      <c r="BF216" s="205"/>
      <c r="BG216" s="205"/>
      <c r="BH216" s="205"/>
      <c r="BI216" s="205"/>
      <c r="BJ216" s="205"/>
      <c r="BK216" s="205"/>
      <c r="BL216" s="205"/>
      <c r="BM216" s="205"/>
      <c r="BN216" s="205"/>
      <c r="BO216" s="213"/>
      <c r="BP216" s="141"/>
      <c r="BQ216" s="141"/>
      <c r="BR216" s="141"/>
      <c r="BS216" s="141"/>
      <c r="BT216" s="141"/>
      <c r="BU216" s="141"/>
      <c r="BV216" s="141"/>
      <c r="BW216" s="141"/>
      <c r="BX216" s="141"/>
      <c r="BY216" s="141"/>
      <c r="BZ216" s="141"/>
      <c r="CA216" s="141"/>
      <c r="CB216" s="141"/>
    </row>
    <row r="217" spans="1:80" customFormat="1">
      <c r="A217" s="211"/>
      <c r="B217" s="211"/>
      <c r="C217" s="210"/>
      <c r="D217" s="211"/>
      <c r="E217" s="211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  <c r="AT217" s="205"/>
      <c r="AU217" s="205"/>
      <c r="AV217" s="205"/>
      <c r="AW217" s="205"/>
      <c r="AX217" s="205"/>
      <c r="AY217" s="205"/>
      <c r="AZ217" s="205"/>
      <c r="BA217" s="205"/>
      <c r="BB217" s="205"/>
      <c r="BC217" s="205"/>
      <c r="BD217" s="205"/>
      <c r="BE217" s="205"/>
      <c r="BF217" s="205"/>
      <c r="BG217" s="205"/>
      <c r="BH217" s="205"/>
      <c r="BI217" s="205"/>
      <c r="BJ217" s="205"/>
      <c r="BK217" s="205"/>
      <c r="BL217" s="205"/>
      <c r="BM217" s="205"/>
      <c r="BN217" s="205"/>
      <c r="BO217" s="213"/>
      <c r="BP217" s="141"/>
      <c r="BQ217" s="141"/>
      <c r="BR217" s="141"/>
      <c r="BS217" s="141"/>
      <c r="BT217" s="141"/>
      <c r="BU217" s="141"/>
      <c r="BV217" s="141"/>
      <c r="BW217" s="141"/>
      <c r="BX217" s="141"/>
      <c r="BY217" s="141"/>
      <c r="BZ217" s="141"/>
      <c r="CA217" s="141"/>
      <c r="CB217" s="141"/>
    </row>
    <row r="218" spans="1:80" customFormat="1">
      <c r="A218" s="211"/>
      <c r="B218" s="211"/>
      <c r="C218" s="210"/>
      <c r="D218" s="211"/>
      <c r="E218" s="211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  <c r="AA218" s="210"/>
      <c r="AB218" s="210"/>
      <c r="AC218" s="210"/>
      <c r="AD218" s="210"/>
      <c r="AE218" s="210"/>
      <c r="AF218" s="210"/>
      <c r="AG218" s="210"/>
      <c r="AH218" s="210"/>
      <c r="AI218" s="210"/>
      <c r="AJ218" s="210"/>
      <c r="AK218" s="210"/>
      <c r="AL218" s="210"/>
      <c r="AM218" s="210"/>
      <c r="AN218" s="210"/>
      <c r="AO218" s="210"/>
      <c r="AP218" s="210"/>
      <c r="AQ218" s="210"/>
      <c r="AR218" s="210"/>
      <c r="AS218" s="210"/>
      <c r="AT218" s="210"/>
      <c r="AU218" s="210"/>
      <c r="AV218" s="210"/>
      <c r="AW218" s="210"/>
      <c r="AX218" s="210"/>
      <c r="AY218" s="210"/>
      <c r="AZ218" s="210"/>
      <c r="BA218" s="210"/>
      <c r="BB218" s="210"/>
      <c r="BC218" s="210"/>
      <c r="BD218" s="210"/>
      <c r="BE218" s="210"/>
      <c r="BF218" s="210"/>
      <c r="BG218" s="210"/>
      <c r="BH218" s="210"/>
      <c r="BI218" s="210"/>
      <c r="BJ218" s="210"/>
      <c r="BK218" s="210"/>
      <c r="BL218" s="210"/>
      <c r="BM218" s="210"/>
      <c r="BN218" s="211"/>
      <c r="BO218" s="212"/>
      <c r="BP218" s="114"/>
      <c r="BQ218" s="114"/>
      <c r="BR218" s="114"/>
      <c r="BS218" s="114"/>
      <c r="BT218" s="114"/>
      <c r="BU218" s="114"/>
      <c r="BV218" s="114"/>
      <c r="BW218" s="114"/>
      <c r="BX218" s="114"/>
      <c r="BY218" s="114"/>
      <c r="BZ218" s="114"/>
      <c r="CA218" s="114"/>
      <c r="CB218" s="114"/>
    </row>
    <row r="219" spans="1:80" customFormat="1">
      <c r="A219" s="211"/>
      <c r="B219" s="211"/>
      <c r="C219" s="210"/>
      <c r="D219" s="211"/>
      <c r="E219" s="211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  <c r="AA219" s="210"/>
      <c r="AB219" s="210"/>
      <c r="AC219" s="210"/>
      <c r="AD219" s="210"/>
      <c r="AE219" s="210"/>
      <c r="AF219" s="210"/>
      <c r="AG219" s="210"/>
      <c r="AH219" s="210"/>
      <c r="AI219" s="210"/>
      <c r="AJ219" s="210"/>
      <c r="AK219" s="210"/>
      <c r="AL219" s="210"/>
      <c r="AM219" s="210"/>
      <c r="AN219" s="210"/>
      <c r="AO219" s="210"/>
      <c r="AP219" s="210"/>
      <c r="AQ219" s="210"/>
      <c r="AR219" s="210"/>
      <c r="AS219" s="210"/>
      <c r="AT219" s="210"/>
      <c r="AU219" s="210"/>
      <c r="AV219" s="210"/>
      <c r="AW219" s="210"/>
      <c r="AX219" s="210"/>
      <c r="AY219" s="210"/>
      <c r="AZ219" s="210"/>
      <c r="BA219" s="210"/>
      <c r="BB219" s="210"/>
      <c r="BC219" s="210"/>
      <c r="BD219" s="210"/>
      <c r="BE219" s="210"/>
      <c r="BF219" s="210"/>
      <c r="BG219" s="210"/>
      <c r="BH219" s="210"/>
      <c r="BI219" s="210"/>
      <c r="BJ219" s="210"/>
      <c r="BK219" s="210"/>
      <c r="BL219" s="210"/>
      <c r="BM219" s="210"/>
      <c r="BN219" s="211"/>
      <c r="BO219" s="212"/>
      <c r="BP219" s="114"/>
      <c r="BQ219" s="114"/>
      <c r="BR219" s="114"/>
      <c r="BS219" s="114"/>
      <c r="BT219" s="114"/>
      <c r="BU219" s="114"/>
      <c r="BV219" s="114"/>
      <c r="BW219" s="114"/>
      <c r="BX219" s="114"/>
      <c r="BY219" s="114"/>
      <c r="BZ219" s="114"/>
      <c r="CA219" s="114"/>
      <c r="CB219" s="114"/>
    </row>
    <row r="220" spans="1:80" customFormat="1">
      <c r="A220" s="211"/>
      <c r="B220" s="211"/>
      <c r="C220" s="210"/>
      <c r="D220" s="211"/>
      <c r="E220" s="211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  <c r="AA220" s="210"/>
      <c r="AB220" s="210"/>
      <c r="AC220" s="210"/>
      <c r="AD220" s="210"/>
      <c r="AE220" s="210"/>
      <c r="AF220" s="210"/>
      <c r="AG220" s="210"/>
      <c r="AH220" s="210"/>
      <c r="AI220" s="210"/>
      <c r="AJ220" s="210"/>
      <c r="AK220" s="210"/>
      <c r="AL220" s="210"/>
      <c r="AM220" s="210"/>
      <c r="AN220" s="210"/>
      <c r="AO220" s="210"/>
      <c r="AP220" s="210"/>
      <c r="AQ220" s="210"/>
      <c r="AR220" s="210"/>
      <c r="AS220" s="210"/>
      <c r="AT220" s="210"/>
      <c r="AU220" s="210"/>
      <c r="AV220" s="210"/>
      <c r="AW220" s="210"/>
      <c r="AX220" s="210"/>
      <c r="AY220" s="210"/>
      <c r="AZ220" s="210"/>
      <c r="BA220" s="210"/>
      <c r="BB220" s="210"/>
      <c r="BC220" s="210"/>
      <c r="BD220" s="210"/>
      <c r="BE220" s="210"/>
      <c r="BF220" s="210"/>
      <c r="BG220" s="210"/>
      <c r="BH220" s="210"/>
      <c r="BI220" s="210"/>
      <c r="BJ220" s="210"/>
      <c r="BK220" s="210"/>
      <c r="BL220" s="210"/>
      <c r="BM220" s="210"/>
      <c r="BN220" s="211"/>
      <c r="BO220" s="212"/>
      <c r="BP220" s="114"/>
      <c r="BQ220" s="114"/>
      <c r="BR220" s="114"/>
      <c r="BS220" s="114"/>
      <c r="BT220" s="114"/>
      <c r="BU220" s="114"/>
      <c r="BV220" s="114"/>
      <c r="BW220" s="114"/>
      <c r="BX220" s="114"/>
      <c r="BY220" s="114"/>
      <c r="BZ220" s="114"/>
      <c r="CA220" s="114"/>
      <c r="CB220" s="114"/>
    </row>
    <row r="221" spans="1:80" customFormat="1">
      <c r="A221" s="211"/>
      <c r="B221" s="211"/>
      <c r="C221" s="210"/>
      <c r="D221" s="211"/>
      <c r="E221" s="211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  <c r="AA221" s="210"/>
      <c r="AB221" s="210"/>
      <c r="AC221" s="210"/>
      <c r="AD221" s="210"/>
      <c r="AE221" s="210"/>
      <c r="AF221" s="210"/>
      <c r="AG221" s="210"/>
      <c r="AH221" s="210"/>
      <c r="AI221" s="210"/>
      <c r="AJ221" s="210"/>
      <c r="AK221" s="210"/>
      <c r="AL221" s="210"/>
      <c r="AM221" s="210"/>
      <c r="AN221" s="210"/>
      <c r="AO221" s="210"/>
      <c r="AP221" s="210"/>
      <c r="AQ221" s="210"/>
      <c r="AR221" s="210"/>
      <c r="AS221" s="210"/>
      <c r="AT221" s="210"/>
      <c r="AU221" s="210"/>
      <c r="AV221" s="210"/>
      <c r="AW221" s="210"/>
      <c r="AX221" s="210"/>
      <c r="AY221" s="210"/>
      <c r="AZ221" s="210"/>
      <c r="BA221" s="210"/>
      <c r="BB221" s="210"/>
      <c r="BC221" s="210"/>
      <c r="BD221" s="210"/>
      <c r="BE221" s="210"/>
      <c r="BF221" s="210"/>
      <c r="BG221" s="210"/>
      <c r="BH221" s="210"/>
      <c r="BI221" s="210"/>
      <c r="BJ221" s="210"/>
      <c r="BK221" s="210"/>
      <c r="BL221" s="210"/>
      <c r="BM221" s="210"/>
      <c r="BN221" s="211"/>
      <c r="BO221" s="212"/>
      <c r="BP221" s="114"/>
      <c r="BQ221" s="114"/>
      <c r="BR221" s="114"/>
      <c r="BS221" s="114"/>
      <c r="BT221" s="114"/>
      <c r="BU221" s="114"/>
      <c r="BV221" s="114"/>
      <c r="BW221" s="114"/>
      <c r="BX221" s="114"/>
      <c r="BY221" s="114"/>
      <c r="BZ221" s="114"/>
      <c r="CA221" s="114"/>
      <c r="CB221" s="114"/>
    </row>
    <row r="222" spans="1:80" customFormat="1">
      <c r="A222" s="211"/>
      <c r="B222" s="211"/>
      <c r="C222" s="210"/>
      <c r="D222" s="211"/>
      <c r="E222" s="211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  <c r="AA222" s="210"/>
      <c r="AB222" s="210"/>
      <c r="AC222" s="210"/>
      <c r="AD222" s="210"/>
      <c r="AE222" s="210"/>
      <c r="AF222" s="210"/>
      <c r="AG222" s="210"/>
      <c r="AH222" s="210"/>
      <c r="AI222" s="210"/>
      <c r="AJ222" s="210"/>
      <c r="AK222" s="210"/>
      <c r="AL222" s="210"/>
      <c r="AM222" s="210"/>
      <c r="AN222" s="210"/>
      <c r="AO222" s="210"/>
      <c r="AP222" s="210"/>
      <c r="AQ222" s="210"/>
      <c r="AR222" s="210"/>
      <c r="AS222" s="210"/>
      <c r="AT222" s="210"/>
      <c r="AU222" s="210"/>
      <c r="AV222" s="210"/>
      <c r="AW222" s="210"/>
      <c r="AX222" s="210"/>
      <c r="AY222" s="210"/>
      <c r="AZ222" s="210"/>
      <c r="BA222" s="210"/>
      <c r="BB222" s="210"/>
      <c r="BC222" s="210"/>
      <c r="BD222" s="210"/>
      <c r="BE222" s="210"/>
      <c r="BF222" s="210"/>
      <c r="BG222" s="210"/>
      <c r="BH222" s="210"/>
      <c r="BI222" s="210"/>
      <c r="BJ222" s="210"/>
      <c r="BK222" s="210"/>
      <c r="BL222" s="210"/>
      <c r="BM222" s="210"/>
      <c r="BN222" s="211"/>
      <c r="BO222" s="212"/>
      <c r="BP222" s="114"/>
      <c r="BQ222" s="114"/>
      <c r="BR222" s="114"/>
      <c r="BS222" s="114"/>
      <c r="BT222" s="114"/>
      <c r="BU222" s="114"/>
      <c r="BV222" s="114"/>
      <c r="BW222" s="114"/>
      <c r="BX222" s="114"/>
      <c r="BY222" s="114"/>
      <c r="BZ222" s="114"/>
      <c r="CA222" s="114"/>
      <c r="CB222" s="114"/>
    </row>
    <row r="223" spans="1:80" customFormat="1">
      <c r="A223" s="211"/>
      <c r="B223" s="211"/>
      <c r="C223" s="210"/>
      <c r="D223" s="211"/>
      <c r="E223" s="211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  <c r="AA223" s="210"/>
      <c r="AB223" s="210"/>
      <c r="AC223" s="210"/>
      <c r="AD223" s="210"/>
      <c r="AE223" s="210"/>
      <c r="AF223" s="210"/>
      <c r="AG223" s="210"/>
      <c r="AH223" s="210"/>
      <c r="AI223" s="210"/>
      <c r="AJ223" s="210"/>
      <c r="AK223" s="210"/>
      <c r="AL223" s="210"/>
      <c r="AM223" s="210"/>
      <c r="AN223" s="210"/>
      <c r="AO223" s="210"/>
      <c r="AP223" s="210"/>
      <c r="AQ223" s="210"/>
      <c r="AR223" s="210"/>
      <c r="AS223" s="210"/>
      <c r="AT223" s="210"/>
      <c r="AU223" s="210"/>
      <c r="AV223" s="210"/>
      <c r="AW223" s="210"/>
      <c r="AX223" s="210"/>
      <c r="AY223" s="210"/>
      <c r="AZ223" s="210"/>
      <c r="BA223" s="210"/>
      <c r="BB223" s="210"/>
      <c r="BC223" s="210"/>
      <c r="BD223" s="210"/>
      <c r="BE223" s="210"/>
      <c r="BF223" s="210"/>
      <c r="BG223" s="210"/>
      <c r="BH223" s="210"/>
      <c r="BI223" s="210"/>
      <c r="BJ223" s="210"/>
      <c r="BK223" s="210"/>
      <c r="BL223" s="210"/>
      <c r="BM223" s="210"/>
      <c r="BN223" s="211"/>
      <c r="BO223" s="212"/>
      <c r="BP223" s="114"/>
      <c r="BQ223" s="114"/>
      <c r="BR223" s="114"/>
      <c r="BS223" s="114"/>
      <c r="BT223" s="114"/>
      <c r="BU223" s="114"/>
      <c r="BV223" s="114"/>
      <c r="BW223" s="114"/>
      <c r="BX223" s="114"/>
      <c r="BY223" s="114"/>
      <c r="BZ223" s="114"/>
      <c r="CA223" s="114"/>
      <c r="CB223" s="114"/>
    </row>
    <row r="224" spans="1:80" customFormat="1">
      <c r="A224" s="211"/>
      <c r="B224" s="211"/>
      <c r="C224" s="210"/>
      <c r="D224" s="211"/>
      <c r="E224" s="211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  <c r="AA224" s="210"/>
      <c r="AB224" s="210"/>
      <c r="AC224" s="210"/>
      <c r="AD224" s="210"/>
      <c r="AE224" s="210"/>
      <c r="AF224" s="210"/>
      <c r="AG224" s="210"/>
      <c r="AH224" s="210"/>
      <c r="AI224" s="210"/>
      <c r="AJ224" s="210"/>
      <c r="AK224" s="210"/>
      <c r="AL224" s="210"/>
      <c r="AM224" s="210"/>
      <c r="AN224" s="210"/>
      <c r="AO224" s="210"/>
      <c r="AP224" s="210"/>
      <c r="AQ224" s="210"/>
      <c r="AR224" s="210"/>
      <c r="AS224" s="210"/>
      <c r="AT224" s="210"/>
      <c r="AU224" s="210"/>
      <c r="AV224" s="210"/>
      <c r="AW224" s="210"/>
      <c r="AX224" s="210"/>
      <c r="AY224" s="210"/>
      <c r="AZ224" s="210"/>
      <c r="BA224" s="210"/>
      <c r="BB224" s="210"/>
      <c r="BC224" s="210"/>
      <c r="BD224" s="210"/>
      <c r="BE224" s="210"/>
      <c r="BF224" s="210"/>
      <c r="BG224" s="210"/>
      <c r="BH224" s="210"/>
      <c r="BI224" s="210"/>
      <c r="BJ224" s="210"/>
      <c r="BK224" s="210"/>
      <c r="BL224" s="210"/>
      <c r="BM224" s="210"/>
      <c r="BN224" s="211"/>
      <c r="BO224" s="212"/>
      <c r="BP224" s="114"/>
      <c r="BQ224" s="114"/>
      <c r="BR224" s="114"/>
      <c r="BS224" s="114"/>
      <c r="BT224" s="114"/>
      <c r="BU224" s="114"/>
      <c r="BV224" s="114"/>
      <c r="BW224" s="114"/>
      <c r="BX224" s="114"/>
      <c r="BY224" s="114"/>
      <c r="BZ224" s="114"/>
      <c r="CA224" s="114"/>
      <c r="CB224" s="114"/>
    </row>
    <row r="225" spans="1:80" customFormat="1">
      <c r="A225" s="211"/>
      <c r="B225" s="211"/>
      <c r="C225" s="210"/>
      <c r="D225" s="211"/>
      <c r="E225" s="211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  <c r="AA225" s="210"/>
      <c r="AB225" s="210"/>
      <c r="AC225" s="210"/>
      <c r="AD225" s="210"/>
      <c r="AE225" s="210"/>
      <c r="AF225" s="210"/>
      <c r="AG225" s="210"/>
      <c r="AH225" s="210"/>
      <c r="AI225" s="210"/>
      <c r="AJ225" s="210"/>
      <c r="AK225" s="210"/>
      <c r="AL225" s="210"/>
      <c r="AM225" s="210"/>
      <c r="AN225" s="210"/>
      <c r="AO225" s="210"/>
      <c r="AP225" s="210"/>
      <c r="AQ225" s="210"/>
      <c r="AR225" s="210"/>
      <c r="AS225" s="210"/>
      <c r="AT225" s="210"/>
      <c r="AU225" s="210"/>
      <c r="AV225" s="210"/>
      <c r="AW225" s="210"/>
      <c r="AX225" s="210"/>
      <c r="AY225" s="210"/>
      <c r="AZ225" s="210"/>
      <c r="BA225" s="210"/>
      <c r="BB225" s="210"/>
      <c r="BC225" s="210"/>
      <c r="BD225" s="210"/>
      <c r="BE225" s="210"/>
      <c r="BF225" s="210"/>
      <c r="BG225" s="210"/>
      <c r="BH225" s="210"/>
      <c r="BI225" s="210"/>
      <c r="BJ225" s="210"/>
      <c r="BK225" s="210"/>
      <c r="BL225" s="210"/>
      <c r="BM225" s="210"/>
      <c r="BN225" s="211"/>
      <c r="BO225" s="212"/>
      <c r="BP225" s="114"/>
      <c r="BQ225" s="114"/>
      <c r="BR225" s="114"/>
      <c r="BS225" s="114"/>
      <c r="BT225" s="114"/>
      <c r="BU225" s="114"/>
      <c r="BV225" s="114"/>
      <c r="BW225" s="114"/>
      <c r="BX225" s="114"/>
      <c r="BY225" s="114"/>
      <c r="BZ225" s="114"/>
      <c r="CA225" s="114"/>
      <c r="CB225" s="114"/>
    </row>
    <row r="226" spans="1:80" customFormat="1">
      <c r="A226" s="211"/>
      <c r="B226" s="211"/>
      <c r="C226" s="210"/>
      <c r="D226" s="211"/>
      <c r="E226" s="211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10"/>
      <c r="AB226" s="210"/>
      <c r="AC226" s="210"/>
      <c r="AD226" s="210"/>
      <c r="AE226" s="210"/>
      <c r="AF226" s="210"/>
      <c r="AG226" s="210"/>
      <c r="AH226" s="210"/>
      <c r="AI226" s="210"/>
      <c r="AJ226" s="210"/>
      <c r="AK226" s="210"/>
      <c r="AL226" s="210"/>
      <c r="AM226" s="210"/>
      <c r="AN226" s="210"/>
      <c r="AO226" s="210"/>
      <c r="AP226" s="210"/>
      <c r="AQ226" s="210"/>
      <c r="AR226" s="210"/>
      <c r="AS226" s="210"/>
      <c r="AT226" s="210"/>
      <c r="AU226" s="210"/>
      <c r="AV226" s="210"/>
      <c r="AW226" s="210"/>
      <c r="AX226" s="210"/>
      <c r="AY226" s="210"/>
      <c r="AZ226" s="210"/>
      <c r="BA226" s="210"/>
      <c r="BB226" s="210"/>
      <c r="BC226" s="210"/>
      <c r="BD226" s="210"/>
      <c r="BE226" s="210"/>
      <c r="BF226" s="210"/>
      <c r="BG226" s="210"/>
      <c r="BH226" s="210"/>
      <c r="BI226" s="210"/>
      <c r="BJ226" s="210"/>
      <c r="BK226" s="210"/>
      <c r="BL226" s="210"/>
      <c r="BM226" s="210"/>
      <c r="BN226" s="211"/>
      <c r="BO226" s="212"/>
      <c r="BP226" s="114"/>
      <c r="BQ226" s="114"/>
      <c r="BR226" s="114"/>
      <c r="BS226" s="114"/>
      <c r="BT226" s="114"/>
      <c r="BU226" s="114"/>
      <c r="BV226" s="114"/>
      <c r="BW226" s="114"/>
      <c r="BX226" s="114"/>
      <c r="BY226" s="114"/>
      <c r="BZ226" s="114"/>
      <c r="CA226" s="114"/>
      <c r="CB226" s="114"/>
    </row>
    <row r="227" spans="1:80" customFormat="1">
      <c r="A227" s="211"/>
      <c r="B227" s="211"/>
      <c r="C227" s="210"/>
      <c r="D227" s="211"/>
      <c r="E227" s="211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  <c r="AA227" s="210"/>
      <c r="AB227" s="210"/>
      <c r="AC227" s="210"/>
      <c r="AD227" s="210"/>
      <c r="AE227" s="210"/>
      <c r="AF227" s="210"/>
      <c r="AG227" s="210"/>
      <c r="AH227" s="210"/>
      <c r="AI227" s="210"/>
      <c r="AJ227" s="210"/>
      <c r="AK227" s="210"/>
      <c r="AL227" s="210"/>
      <c r="AM227" s="210"/>
      <c r="AN227" s="210"/>
      <c r="AO227" s="210"/>
      <c r="AP227" s="210"/>
      <c r="AQ227" s="210"/>
      <c r="AR227" s="210"/>
      <c r="AS227" s="210"/>
      <c r="AT227" s="210"/>
      <c r="AU227" s="210"/>
      <c r="AV227" s="210"/>
      <c r="AW227" s="210"/>
      <c r="AX227" s="210"/>
      <c r="AY227" s="210"/>
      <c r="AZ227" s="210"/>
      <c r="BA227" s="210"/>
      <c r="BB227" s="210"/>
      <c r="BC227" s="210"/>
      <c r="BD227" s="210"/>
      <c r="BE227" s="210"/>
      <c r="BF227" s="210"/>
      <c r="BG227" s="210"/>
      <c r="BH227" s="210"/>
      <c r="BI227" s="210"/>
      <c r="BJ227" s="210"/>
      <c r="BK227" s="210"/>
      <c r="BL227" s="210"/>
      <c r="BM227" s="210"/>
      <c r="BN227" s="211"/>
      <c r="BO227" s="212"/>
      <c r="BP227" s="114"/>
      <c r="BQ227" s="114"/>
      <c r="BR227" s="114"/>
      <c r="BS227" s="114"/>
      <c r="BT227" s="114"/>
      <c r="BU227" s="114"/>
      <c r="BV227" s="114"/>
      <c r="BW227" s="114"/>
      <c r="BX227" s="114"/>
      <c r="BY227" s="114"/>
      <c r="BZ227" s="114"/>
      <c r="CA227" s="114"/>
      <c r="CB227" s="114"/>
    </row>
    <row r="228" spans="1:80" customFormat="1">
      <c r="A228" s="211"/>
      <c r="B228" s="211"/>
      <c r="C228" s="210"/>
      <c r="D228" s="211"/>
      <c r="E228" s="211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  <c r="AA228" s="210"/>
      <c r="AB228" s="210"/>
      <c r="AC228" s="210"/>
      <c r="AD228" s="210"/>
      <c r="AE228" s="210"/>
      <c r="AF228" s="210"/>
      <c r="AG228" s="210"/>
      <c r="AH228" s="210"/>
      <c r="AI228" s="210"/>
      <c r="AJ228" s="210"/>
      <c r="AK228" s="210"/>
      <c r="AL228" s="210"/>
      <c r="AM228" s="210"/>
      <c r="AN228" s="210"/>
      <c r="AO228" s="210"/>
      <c r="AP228" s="210"/>
      <c r="AQ228" s="210"/>
      <c r="AR228" s="210"/>
      <c r="AS228" s="210"/>
      <c r="AT228" s="210"/>
      <c r="AU228" s="210"/>
      <c r="AV228" s="210"/>
      <c r="AW228" s="210"/>
      <c r="AX228" s="210"/>
      <c r="AY228" s="210"/>
      <c r="AZ228" s="210"/>
      <c r="BA228" s="210"/>
      <c r="BB228" s="210"/>
      <c r="BC228" s="210"/>
      <c r="BD228" s="210"/>
      <c r="BE228" s="210"/>
      <c r="BF228" s="210"/>
      <c r="BG228" s="210"/>
      <c r="BH228" s="210"/>
      <c r="BI228" s="210"/>
      <c r="BJ228" s="210"/>
      <c r="BK228" s="210"/>
      <c r="BL228" s="210"/>
      <c r="BM228" s="210"/>
      <c r="BN228" s="211"/>
      <c r="BO228" s="212"/>
      <c r="BP228" s="114"/>
      <c r="BQ228" s="114"/>
      <c r="BR228" s="114"/>
      <c r="BS228" s="114"/>
      <c r="BT228" s="114"/>
      <c r="BU228" s="114"/>
      <c r="BV228" s="114"/>
      <c r="BW228" s="114"/>
      <c r="BX228" s="114"/>
      <c r="BY228" s="114"/>
      <c r="BZ228" s="114"/>
      <c r="CA228" s="114"/>
      <c r="CB228" s="114"/>
    </row>
    <row r="229" spans="1:80">
      <c r="A229" s="211"/>
      <c r="B229" s="211"/>
      <c r="C229" s="210"/>
      <c r="D229" s="211"/>
      <c r="E229" s="211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  <c r="AA229" s="210"/>
      <c r="AB229" s="210"/>
      <c r="AC229" s="210"/>
      <c r="AD229" s="210"/>
      <c r="AE229" s="210"/>
      <c r="AF229" s="210"/>
      <c r="AG229" s="210"/>
      <c r="AH229" s="210"/>
      <c r="AI229" s="210"/>
      <c r="AJ229" s="210"/>
      <c r="AK229" s="210"/>
      <c r="AL229" s="210"/>
      <c r="AM229" s="210"/>
      <c r="AN229" s="210"/>
      <c r="AO229" s="210"/>
      <c r="AP229" s="210"/>
      <c r="AQ229" s="210"/>
      <c r="AR229" s="210"/>
      <c r="AS229" s="210"/>
      <c r="AT229" s="210"/>
      <c r="AU229" s="210"/>
      <c r="AV229" s="210"/>
      <c r="AW229" s="210"/>
      <c r="AX229" s="210"/>
      <c r="AY229" s="210"/>
      <c r="AZ229" s="210"/>
      <c r="BA229" s="210"/>
      <c r="BB229" s="210"/>
      <c r="BC229" s="210"/>
      <c r="BD229" s="210"/>
      <c r="BE229" s="210"/>
      <c r="BF229" s="210"/>
      <c r="BG229" s="210"/>
      <c r="BH229" s="210"/>
      <c r="BI229" s="210"/>
      <c r="BJ229" s="210"/>
      <c r="BK229" s="210"/>
      <c r="BL229" s="210"/>
      <c r="BM229" s="210"/>
      <c r="BN229" s="211"/>
      <c r="BO229" s="212"/>
    </row>
    <row r="230" spans="1:80">
      <c r="A230" s="211"/>
      <c r="B230" s="211"/>
      <c r="C230" s="210"/>
      <c r="D230" s="211"/>
      <c r="E230" s="211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  <c r="AA230" s="210"/>
      <c r="AB230" s="210"/>
      <c r="AC230" s="210"/>
      <c r="AD230" s="210"/>
      <c r="AE230" s="210"/>
      <c r="AF230" s="210"/>
      <c r="AG230" s="210"/>
      <c r="AH230" s="210"/>
      <c r="AI230" s="210"/>
      <c r="AJ230" s="210"/>
      <c r="AK230" s="210"/>
      <c r="AL230" s="210"/>
      <c r="AM230" s="210"/>
      <c r="AN230" s="210"/>
      <c r="AO230" s="210"/>
      <c r="AP230" s="210"/>
      <c r="AQ230" s="210"/>
      <c r="AR230" s="210"/>
      <c r="AS230" s="210"/>
      <c r="AT230" s="210"/>
      <c r="AU230" s="210"/>
      <c r="AV230" s="210"/>
      <c r="AW230" s="210"/>
      <c r="AX230" s="210"/>
      <c r="AY230" s="210"/>
      <c r="AZ230" s="210"/>
      <c r="BA230" s="210"/>
      <c r="BB230" s="210"/>
      <c r="BC230" s="210"/>
      <c r="BD230" s="210"/>
      <c r="BE230" s="210"/>
      <c r="BF230" s="210"/>
      <c r="BG230" s="210"/>
      <c r="BH230" s="210"/>
      <c r="BI230" s="210"/>
      <c r="BJ230" s="210"/>
      <c r="BK230" s="210"/>
      <c r="BL230" s="210"/>
      <c r="BM230" s="210"/>
      <c r="BN230" s="211"/>
      <c r="BO230" s="212"/>
    </row>
    <row r="231" spans="1:80">
      <c r="A231" s="211"/>
      <c r="B231" s="211"/>
      <c r="C231" s="210"/>
      <c r="D231" s="211"/>
      <c r="E231" s="211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  <c r="AA231" s="210"/>
      <c r="AB231" s="210"/>
      <c r="AC231" s="210"/>
      <c r="AD231" s="210"/>
      <c r="AE231" s="210"/>
      <c r="AF231" s="210"/>
      <c r="AG231" s="210"/>
      <c r="AH231" s="210"/>
      <c r="AI231" s="210"/>
      <c r="AJ231" s="210"/>
      <c r="AK231" s="210"/>
      <c r="AL231" s="210"/>
      <c r="AM231" s="210"/>
      <c r="AN231" s="210"/>
      <c r="AO231" s="210"/>
      <c r="AP231" s="210"/>
      <c r="AQ231" s="210"/>
      <c r="AR231" s="210"/>
      <c r="AS231" s="210"/>
      <c r="AT231" s="210"/>
      <c r="AU231" s="210"/>
      <c r="AV231" s="210"/>
      <c r="AW231" s="210"/>
      <c r="AX231" s="210"/>
      <c r="AY231" s="210"/>
      <c r="AZ231" s="210"/>
      <c r="BA231" s="210"/>
      <c r="BB231" s="210"/>
      <c r="BC231" s="210"/>
      <c r="BD231" s="210"/>
      <c r="BE231" s="210"/>
      <c r="BF231" s="210"/>
      <c r="BG231" s="210"/>
      <c r="BH231" s="210"/>
      <c r="BI231" s="210"/>
      <c r="BJ231" s="210"/>
      <c r="BK231" s="210"/>
      <c r="BL231" s="210"/>
      <c r="BM231" s="210"/>
      <c r="BN231" s="211"/>
      <c r="BO231" s="212"/>
    </row>
    <row r="232" spans="1:80">
      <c r="A232" s="211"/>
      <c r="B232" s="211"/>
      <c r="C232" s="210"/>
      <c r="D232" s="211"/>
      <c r="E232" s="211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  <c r="AA232" s="210"/>
      <c r="AB232" s="210"/>
      <c r="AC232" s="210"/>
      <c r="AD232" s="210"/>
      <c r="AE232" s="210"/>
      <c r="AF232" s="210"/>
      <c r="AG232" s="210"/>
      <c r="AH232" s="210"/>
      <c r="AI232" s="210"/>
      <c r="AJ232" s="210"/>
      <c r="AK232" s="210"/>
      <c r="AL232" s="210"/>
      <c r="AM232" s="210"/>
      <c r="AN232" s="210"/>
      <c r="AO232" s="210"/>
      <c r="AP232" s="210"/>
      <c r="AQ232" s="210"/>
      <c r="AR232" s="210"/>
      <c r="AS232" s="210"/>
      <c r="AT232" s="210"/>
      <c r="AU232" s="210"/>
      <c r="AV232" s="210"/>
      <c r="AW232" s="210"/>
      <c r="AX232" s="210"/>
      <c r="AY232" s="210"/>
      <c r="AZ232" s="210"/>
      <c r="BA232" s="210"/>
      <c r="BB232" s="210"/>
      <c r="BC232" s="210"/>
      <c r="BD232" s="210"/>
      <c r="BE232" s="210"/>
      <c r="BF232" s="210"/>
      <c r="BG232" s="210"/>
      <c r="BH232" s="210"/>
      <c r="BI232" s="210"/>
      <c r="BJ232" s="210"/>
      <c r="BK232" s="210"/>
      <c r="BL232" s="210"/>
      <c r="BM232" s="210"/>
      <c r="BN232" s="211"/>
      <c r="BO232" s="212"/>
    </row>
    <row r="233" spans="1:80">
      <c r="A233" s="211"/>
      <c r="B233" s="211"/>
      <c r="C233" s="210"/>
      <c r="D233" s="211"/>
      <c r="E233" s="211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  <c r="AA233" s="210"/>
      <c r="AB233" s="210"/>
      <c r="AC233" s="210"/>
      <c r="AD233" s="210"/>
      <c r="AE233" s="210"/>
      <c r="AF233" s="210"/>
      <c r="AG233" s="210"/>
      <c r="AH233" s="210"/>
      <c r="AI233" s="210"/>
      <c r="AJ233" s="210"/>
      <c r="AK233" s="210"/>
      <c r="AL233" s="210"/>
      <c r="AM233" s="210"/>
      <c r="AN233" s="210"/>
      <c r="AO233" s="210"/>
      <c r="AP233" s="210"/>
      <c r="AQ233" s="210"/>
      <c r="AR233" s="210"/>
      <c r="AS233" s="210"/>
      <c r="AT233" s="210"/>
      <c r="AU233" s="210"/>
      <c r="AV233" s="210"/>
      <c r="AW233" s="210"/>
      <c r="AX233" s="210"/>
      <c r="AY233" s="210"/>
      <c r="AZ233" s="210"/>
      <c r="BA233" s="210"/>
      <c r="BB233" s="210"/>
      <c r="BC233" s="210"/>
      <c r="BD233" s="210"/>
      <c r="BE233" s="210"/>
      <c r="BF233" s="210"/>
      <c r="BG233" s="210"/>
      <c r="BH233" s="210"/>
      <c r="BI233" s="210"/>
      <c r="BJ233" s="210"/>
      <c r="BK233" s="210"/>
      <c r="BL233" s="210"/>
      <c r="BM233" s="210"/>
      <c r="BN233" s="211"/>
      <c r="BO233" s="212"/>
    </row>
    <row r="234" spans="1:80">
      <c r="A234" s="211"/>
      <c r="B234" s="211"/>
      <c r="C234" s="210"/>
      <c r="D234" s="211"/>
      <c r="E234" s="211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  <c r="AA234" s="210"/>
      <c r="AB234" s="210"/>
      <c r="AC234" s="210"/>
      <c r="AD234" s="210"/>
      <c r="AE234" s="210"/>
      <c r="AF234" s="210"/>
      <c r="AG234" s="210"/>
      <c r="AH234" s="210"/>
      <c r="AI234" s="210"/>
      <c r="AJ234" s="210"/>
      <c r="AK234" s="210"/>
      <c r="AL234" s="210"/>
      <c r="AM234" s="210"/>
      <c r="AN234" s="210"/>
      <c r="AO234" s="210"/>
      <c r="AP234" s="210"/>
      <c r="AQ234" s="210"/>
      <c r="AR234" s="210"/>
      <c r="AS234" s="210"/>
      <c r="AT234" s="210"/>
      <c r="AU234" s="210"/>
      <c r="AV234" s="210"/>
      <c r="AW234" s="210"/>
      <c r="AX234" s="210"/>
      <c r="AY234" s="210"/>
      <c r="AZ234" s="210"/>
      <c r="BA234" s="210"/>
      <c r="BB234" s="210"/>
      <c r="BC234" s="210"/>
      <c r="BD234" s="210"/>
      <c r="BE234" s="210"/>
      <c r="BF234" s="210"/>
      <c r="BG234" s="210"/>
      <c r="BH234" s="210"/>
      <c r="BI234" s="210"/>
      <c r="BJ234" s="210"/>
      <c r="BK234" s="210"/>
      <c r="BL234" s="210"/>
      <c r="BM234" s="210"/>
      <c r="BN234" s="211"/>
      <c r="BO234" s="212"/>
    </row>
    <row r="235" spans="1:80">
      <c r="A235" s="211"/>
      <c r="B235" s="211"/>
      <c r="C235" s="210"/>
      <c r="D235" s="211"/>
      <c r="E235" s="211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  <c r="AA235" s="210"/>
      <c r="AB235" s="210"/>
      <c r="AC235" s="210"/>
      <c r="AD235" s="210"/>
      <c r="AE235" s="210"/>
      <c r="AF235" s="210"/>
      <c r="AG235" s="210"/>
      <c r="AH235" s="210"/>
      <c r="AI235" s="210"/>
      <c r="AJ235" s="210"/>
      <c r="AK235" s="210"/>
      <c r="AL235" s="210"/>
      <c r="AM235" s="210"/>
      <c r="AN235" s="210"/>
      <c r="AO235" s="210"/>
      <c r="AP235" s="210"/>
      <c r="AQ235" s="210"/>
      <c r="AR235" s="210"/>
      <c r="AS235" s="210"/>
      <c r="AT235" s="210"/>
      <c r="AU235" s="210"/>
      <c r="AV235" s="210"/>
      <c r="AW235" s="210"/>
      <c r="AX235" s="210"/>
      <c r="AY235" s="210"/>
      <c r="AZ235" s="210"/>
      <c r="BA235" s="210"/>
      <c r="BB235" s="210"/>
      <c r="BC235" s="210"/>
      <c r="BD235" s="210"/>
      <c r="BE235" s="210"/>
      <c r="BF235" s="210"/>
      <c r="BG235" s="210"/>
      <c r="BH235" s="210"/>
      <c r="BI235" s="210"/>
      <c r="BJ235" s="210"/>
      <c r="BK235" s="210"/>
      <c r="BL235" s="210"/>
      <c r="BM235" s="210"/>
      <c r="BN235" s="211"/>
      <c r="BO235" s="212"/>
    </row>
    <row r="236" spans="1:80">
      <c r="A236" s="211"/>
      <c r="B236" s="211"/>
      <c r="C236" s="210"/>
      <c r="D236" s="211"/>
      <c r="E236" s="211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  <c r="AA236" s="210"/>
      <c r="AB236" s="210"/>
      <c r="AC236" s="210"/>
      <c r="AD236" s="210"/>
      <c r="AE236" s="210"/>
      <c r="AF236" s="210"/>
      <c r="AG236" s="210"/>
      <c r="AH236" s="210"/>
      <c r="AI236" s="210"/>
      <c r="AJ236" s="210"/>
      <c r="AK236" s="210"/>
      <c r="AL236" s="210"/>
      <c r="AM236" s="210"/>
      <c r="AN236" s="210"/>
      <c r="AO236" s="210"/>
      <c r="AP236" s="210"/>
      <c r="AQ236" s="210"/>
      <c r="AR236" s="210"/>
      <c r="AS236" s="210"/>
      <c r="AT236" s="210"/>
      <c r="AU236" s="210"/>
      <c r="AV236" s="210"/>
      <c r="AW236" s="210"/>
      <c r="AX236" s="210"/>
      <c r="AY236" s="210"/>
      <c r="AZ236" s="210"/>
      <c r="BA236" s="210"/>
      <c r="BB236" s="210"/>
      <c r="BC236" s="210"/>
      <c r="BD236" s="210"/>
      <c r="BE236" s="210"/>
      <c r="BF236" s="210"/>
      <c r="BG236" s="210"/>
      <c r="BH236" s="210"/>
      <c r="BI236" s="210"/>
      <c r="BJ236" s="210"/>
      <c r="BK236" s="210"/>
      <c r="BL236" s="210"/>
      <c r="BM236" s="210"/>
      <c r="BN236" s="211"/>
      <c r="BO236" s="212"/>
    </row>
    <row r="237" spans="1:80">
      <c r="A237" s="211"/>
      <c r="B237" s="211"/>
      <c r="C237" s="210"/>
      <c r="D237" s="211"/>
      <c r="E237" s="211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  <c r="AA237" s="210"/>
      <c r="AB237" s="210"/>
      <c r="AC237" s="210"/>
      <c r="AD237" s="210"/>
      <c r="AE237" s="210"/>
      <c r="AF237" s="210"/>
      <c r="AG237" s="210"/>
      <c r="AH237" s="210"/>
      <c r="AI237" s="210"/>
      <c r="AJ237" s="210"/>
      <c r="AK237" s="210"/>
      <c r="AL237" s="210"/>
      <c r="AM237" s="210"/>
      <c r="AN237" s="210"/>
      <c r="AO237" s="210"/>
      <c r="AP237" s="210"/>
      <c r="AQ237" s="210"/>
      <c r="AR237" s="210"/>
      <c r="AS237" s="210"/>
      <c r="AT237" s="210"/>
      <c r="AU237" s="210"/>
      <c r="AV237" s="210"/>
      <c r="AW237" s="210"/>
      <c r="AX237" s="210"/>
      <c r="AY237" s="210"/>
      <c r="AZ237" s="210"/>
      <c r="BA237" s="210"/>
      <c r="BB237" s="210"/>
      <c r="BC237" s="210"/>
      <c r="BD237" s="210"/>
      <c r="BE237" s="210"/>
      <c r="BF237" s="210"/>
      <c r="BG237" s="210"/>
      <c r="BH237" s="210"/>
      <c r="BI237" s="210"/>
      <c r="BJ237" s="210"/>
      <c r="BK237" s="210"/>
      <c r="BL237" s="210"/>
      <c r="BM237" s="210"/>
      <c r="BN237" s="211"/>
      <c r="BO237" s="212"/>
    </row>
    <row r="238" spans="1:80">
      <c r="A238" s="211"/>
      <c r="B238" s="211"/>
      <c r="C238" s="210"/>
      <c r="D238" s="211"/>
      <c r="E238" s="211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  <c r="AA238" s="210"/>
      <c r="AB238" s="210"/>
      <c r="AC238" s="210"/>
      <c r="AD238" s="210"/>
      <c r="AE238" s="210"/>
      <c r="AF238" s="210"/>
      <c r="AG238" s="210"/>
      <c r="AH238" s="210"/>
      <c r="AI238" s="210"/>
      <c r="AJ238" s="210"/>
      <c r="AK238" s="210"/>
      <c r="AL238" s="210"/>
      <c r="AM238" s="210"/>
      <c r="AN238" s="210"/>
      <c r="AO238" s="210"/>
      <c r="AP238" s="210"/>
      <c r="AQ238" s="210"/>
      <c r="AR238" s="210"/>
      <c r="AS238" s="210"/>
      <c r="AT238" s="210"/>
      <c r="AU238" s="210"/>
      <c r="AV238" s="210"/>
      <c r="AW238" s="210"/>
      <c r="AX238" s="210"/>
      <c r="AY238" s="210"/>
      <c r="AZ238" s="210"/>
      <c r="BA238" s="210"/>
      <c r="BB238" s="210"/>
      <c r="BC238" s="210"/>
      <c r="BD238" s="210"/>
      <c r="BE238" s="210"/>
      <c r="BF238" s="210"/>
      <c r="BG238" s="210"/>
      <c r="BH238" s="210"/>
      <c r="BI238" s="210"/>
      <c r="BJ238" s="210"/>
      <c r="BK238" s="210"/>
      <c r="BL238" s="210"/>
      <c r="BM238" s="210"/>
      <c r="BN238" s="211"/>
      <c r="BO238" s="212"/>
    </row>
    <row r="239" spans="1:80">
      <c r="A239" s="211"/>
      <c r="B239" s="211"/>
      <c r="C239" s="210"/>
      <c r="D239" s="211"/>
      <c r="E239" s="211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  <c r="AA239" s="210"/>
      <c r="AB239" s="210"/>
      <c r="AC239" s="210"/>
      <c r="AD239" s="210"/>
      <c r="AE239" s="210"/>
      <c r="AF239" s="210"/>
      <c r="AG239" s="210"/>
      <c r="AH239" s="210"/>
      <c r="AI239" s="210"/>
      <c r="AJ239" s="210"/>
      <c r="AK239" s="210"/>
      <c r="AL239" s="210"/>
      <c r="AM239" s="210"/>
      <c r="AN239" s="210"/>
      <c r="AO239" s="210"/>
      <c r="AP239" s="210"/>
      <c r="AQ239" s="210"/>
      <c r="AR239" s="210"/>
      <c r="AS239" s="210"/>
      <c r="AT239" s="210"/>
      <c r="AU239" s="210"/>
      <c r="AV239" s="210"/>
      <c r="AW239" s="210"/>
      <c r="AX239" s="210"/>
      <c r="AY239" s="210"/>
      <c r="AZ239" s="210"/>
      <c r="BA239" s="210"/>
      <c r="BB239" s="210"/>
      <c r="BC239" s="210"/>
      <c r="BD239" s="210"/>
      <c r="BE239" s="210"/>
      <c r="BF239" s="210"/>
      <c r="BG239" s="210"/>
      <c r="BH239" s="210"/>
      <c r="BI239" s="210"/>
      <c r="BJ239" s="210"/>
      <c r="BK239" s="210"/>
      <c r="BL239" s="210"/>
      <c r="BM239" s="210"/>
      <c r="BN239" s="211"/>
      <c r="BO239" s="212"/>
    </row>
    <row r="240" spans="1:80">
      <c r="A240" s="211"/>
      <c r="B240" s="211"/>
      <c r="C240" s="210"/>
      <c r="D240" s="211"/>
      <c r="E240" s="211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  <c r="AA240" s="210"/>
      <c r="AB240" s="210"/>
      <c r="AC240" s="210"/>
      <c r="AD240" s="210"/>
      <c r="AE240" s="210"/>
      <c r="AF240" s="210"/>
      <c r="AG240" s="210"/>
      <c r="AH240" s="210"/>
      <c r="AI240" s="210"/>
      <c r="AJ240" s="210"/>
      <c r="AK240" s="210"/>
      <c r="AL240" s="210"/>
      <c r="AM240" s="210"/>
      <c r="AN240" s="210"/>
      <c r="AO240" s="210"/>
      <c r="AP240" s="210"/>
      <c r="AQ240" s="210"/>
      <c r="AR240" s="210"/>
      <c r="AS240" s="210"/>
      <c r="AT240" s="210"/>
      <c r="AU240" s="210"/>
      <c r="AV240" s="210"/>
      <c r="AW240" s="210"/>
      <c r="AX240" s="210"/>
      <c r="AY240" s="210"/>
      <c r="AZ240" s="210"/>
      <c r="BA240" s="210"/>
      <c r="BB240" s="210"/>
      <c r="BC240" s="210"/>
      <c r="BD240" s="210"/>
      <c r="BE240" s="210"/>
      <c r="BF240" s="210"/>
      <c r="BG240" s="210"/>
      <c r="BH240" s="210"/>
      <c r="BI240" s="210"/>
      <c r="BJ240" s="210"/>
      <c r="BK240" s="210"/>
      <c r="BL240" s="210"/>
      <c r="BM240" s="210"/>
      <c r="BN240" s="211"/>
      <c r="BO240" s="212"/>
    </row>
    <row r="241" spans="1:67">
      <c r="A241" s="211"/>
      <c r="B241" s="211"/>
      <c r="C241" s="210"/>
      <c r="D241" s="211"/>
      <c r="E241" s="211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  <c r="AA241" s="210"/>
      <c r="AB241" s="210"/>
      <c r="AC241" s="210"/>
      <c r="AD241" s="210"/>
      <c r="AE241" s="210"/>
      <c r="AF241" s="210"/>
      <c r="AG241" s="210"/>
      <c r="AH241" s="210"/>
      <c r="AI241" s="210"/>
      <c r="AJ241" s="210"/>
      <c r="AK241" s="210"/>
      <c r="AL241" s="210"/>
      <c r="AM241" s="210"/>
      <c r="AN241" s="210"/>
      <c r="AO241" s="210"/>
      <c r="AP241" s="210"/>
      <c r="AQ241" s="210"/>
      <c r="AR241" s="210"/>
      <c r="AS241" s="210"/>
      <c r="AT241" s="210"/>
      <c r="AU241" s="210"/>
      <c r="AV241" s="210"/>
      <c r="AW241" s="210"/>
      <c r="AX241" s="210"/>
      <c r="AY241" s="210"/>
      <c r="AZ241" s="210"/>
      <c r="BA241" s="210"/>
      <c r="BB241" s="210"/>
      <c r="BC241" s="210"/>
      <c r="BD241" s="210"/>
      <c r="BE241" s="210"/>
      <c r="BF241" s="210"/>
      <c r="BG241" s="210"/>
      <c r="BH241" s="210"/>
      <c r="BI241" s="210"/>
      <c r="BJ241" s="210"/>
      <c r="BK241" s="210"/>
      <c r="BL241" s="210"/>
      <c r="BM241" s="210"/>
      <c r="BN241" s="211"/>
      <c r="BO241" s="212"/>
    </row>
    <row r="242" spans="1:67">
      <c r="A242" s="211"/>
      <c r="B242" s="211"/>
      <c r="C242" s="210"/>
      <c r="D242" s="211"/>
      <c r="E242" s="211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  <c r="AA242" s="210"/>
      <c r="AB242" s="210"/>
      <c r="AC242" s="210"/>
      <c r="AD242" s="210"/>
      <c r="AE242" s="210"/>
      <c r="AF242" s="210"/>
      <c r="AG242" s="210"/>
      <c r="AH242" s="210"/>
      <c r="AI242" s="210"/>
      <c r="AJ242" s="210"/>
      <c r="AK242" s="210"/>
      <c r="AL242" s="210"/>
      <c r="AM242" s="210"/>
      <c r="AN242" s="210"/>
      <c r="AO242" s="210"/>
      <c r="AP242" s="210"/>
      <c r="AQ242" s="210"/>
      <c r="AR242" s="210"/>
      <c r="AS242" s="210"/>
      <c r="AT242" s="210"/>
      <c r="AU242" s="210"/>
      <c r="AV242" s="210"/>
      <c r="AW242" s="210"/>
      <c r="AX242" s="210"/>
      <c r="AY242" s="210"/>
      <c r="AZ242" s="210"/>
      <c r="BA242" s="210"/>
      <c r="BB242" s="210"/>
      <c r="BC242" s="210"/>
      <c r="BD242" s="210"/>
      <c r="BE242" s="210"/>
      <c r="BF242" s="210"/>
      <c r="BG242" s="210"/>
      <c r="BH242" s="210"/>
      <c r="BI242" s="210"/>
      <c r="BJ242" s="210"/>
      <c r="BK242" s="210"/>
      <c r="BL242" s="210"/>
      <c r="BM242" s="210"/>
      <c r="BN242" s="211"/>
      <c r="BO242" s="212"/>
    </row>
    <row r="243" spans="1:67">
      <c r="A243" s="211"/>
      <c r="B243" s="211"/>
      <c r="C243" s="210"/>
      <c r="D243" s="211"/>
      <c r="E243" s="211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  <c r="AA243" s="210"/>
      <c r="AB243" s="210"/>
      <c r="AC243" s="210"/>
      <c r="AD243" s="210"/>
      <c r="AE243" s="210"/>
      <c r="AF243" s="210"/>
      <c r="AG243" s="210"/>
      <c r="AH243" s="210"/>
      <c r="AI243" s="210"/>
      <c r="AJ243" s="210"/>
      <c r="AK243" s="210"/>
      <c r="AL243" s="210"/>
      <c r="AM243" s="210"/>
      <c r="AN243" s="210"/>
      <c r="AO243" s="210"/>
      <c r="AP243" s="210"/>
      <c r="AQ243" s="210"/>
      <c r="AR243" s="210"/>
      <c r="AS243" s="210"/>
      <c r="AT243" s="210"/>
      <c r="AU243" s="210"/>
      <c r="AV243" s="210"/>
      <c r="AW243" s="210"/>
      <c r="AX243" s="210"/>
      <c r="AY243" s="210"/>
      <c r="AZ243" s="210"/>
      <c r="BA243" s="210"/>
      <c r="BB243" s="210"/>
      <c r="BC243" s="210"/>
      <c r="BD243" s="210"/>
      <c r="BE243" s="210"/>
      <c r="BF243" s="210"/>
      <c r="BG243" s="210"/>
      <c r="BH243" s="210"/>
      <c r="BI243" s="210"/>
      <c r="BJ243" s="210"/>
      <c r="BK243" s="210"/>
      <c r="BL243" s="210"/>
      <c r="BM243" s="210"/>
      <c r="BN243" s="211"/>
      <c r="BO243" s="212"/>
    </row>
    <row r="244" spans="1:67">
      <c r="A244" s="211"/>
      <c r="B244" s="211"/>
      <c r="C244" s="210"/>
      <c r="D244" s="211"/>
      <c r="E244" s="211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  <c r="AA244" s="210"/>
      <c r="AB244" s="210"/>
      <c r="AC244" s="210"/>
      <c r="AD244" s="210"/>
      <c r="AE244" s="210"/>
      <c r="AF244" s="210"/>
      <c r="AG244" s="210"/>
      <c r="AH244" s="210"/>
      <c r="AI244" s="210"/>
      <c r="AJ244" s="210"/>
      <c r="AK244" s="210"/>
      <c r="AL244" s="210"/>
      <c r="AM244" s="210"/>
      <c r="AN244" s="210"/>
      <c r="AO244" s="210"/>
      <c r="AP244" s="210"/>
      <c r="AQ244" s="210"/>
      <c r="AR244" s="210"/>
      <c r="AS244" s="210"/>
      <c r="AT244" s="210"/>
      <c r="AU244" s="210"/>
      <c r="AV244" s="210"/>
      <c r="AW244" s="210"/>
      <c r="AX244" s="210"/>
      <c r="AY244" s="210"/>
      <c r="AZ244" s="210"/>
      <c r="BA244" s="210"/>
      <c r="BB244" s="210"/>
      <c r="BC244" s="210"/>
      <c r="BD244" s="210"/>
      <c r="BE244" s="210"/>
      <c r="BF244" s="210"/>
      <c r="BG244" s="210"/>
      <c r="BH244" s="210"/>
      <c r="BI244" s="210"/>
      <c r="BJ244" s="210"/>
      <c r="BK244" s="210"/>
      <c r="BL244" s="210"/>
      <c r="BM244" s="210"/>
      <c r="BN244" s="211"/>
      <c r="BO244" s="212"/>
    </row>
    <row r="245" spans="1:67">
      <c r="A245" s="211"/>
      <c r="B245" s="211"/>
      <c r="C245" s="210"/>
      <c r="D245" s="211"/>
      <c r="E245" s="211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  <c r="AA245" s="210"/>
      <c r="AB245" s="210"/>
      <c r="AC245" s="210"/>
      <c r="AD245" s="210"/>
      <c r="AE245" s="210"/>
      <c r="AF245" s="210"/>
      <c r="AG245" s="210"/>
      <c r="AH245" s="210"/>
      <c r="AI245" s="210"/>
      <c r="AJ245" s="210"/>
      <c r="AK245" s="210"/>
      <c r="AL245" s="210"/>
      <c r="AM245" s="210"/>
      <c r="AN245" s="210"/>
      <c r="AO245" s="210"/>
      <c r="AP245" s="210"/>
      <c r="AQ245" s="210"/>
      <c r="AR245" s="210"/>
      <c r="AS245" s="210"/>
      <c r="AT245" s="210"/>
      <c r="AU245" s="210"/>
      <c r="AV245" s="210"/>
      <c r="AW245" s="210"/>
      <c r="AX245" s="210"/>
      <c r="AY245" s="210"/>
      <c r="AZ245" s="210"/>
      <c r="BA245" s="210"/>
      <c r="BB245" s="210"/>
      <c r="BC245" s="210"/>
      <c r="BD245" s="210"/>
      <c r="BE245" s="210"/>
      <c r="BF245" s="210"/>
      <c r="BG245" s="210"/>
      <c r="BH245" s="210"/>
      <c r="BI245" s="210"/>
      <c r="BJ245" s="210"/>
      <c r="BK245" s="210"/>
      <c r="BL245" s="210"/>
      <c r="BM245" s="210"/>
      <c r="BN245" s="211"/>
      <c r="BO245" s="212"/>
    </row>
    <row r="246" spans="1:67">
      <c r="A246" s="211"/>
      <c r="B246" s="211"/>
      <c r="C246" s="210"/>
      <c r="D246" s="211"/>
      <c r="E246" s="211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  <c r="AA246" s="210"/>
      <c r="AB246" s="210"/>
      <c r="AC246" s="210"/>
      <c r="AD246" s="210"/>
      <c r="AE246" s="210"/>
      <c r="AF246" s="210"/>
      <c r="AG246" s="210"/>
      <c r="AH246" s="210"/>
      <c r="AI246" s="210"/>
      <c r="AJ246" s="210"/>
      <c r="AK246" s="210"/>
      <c r="AL246" s="210"/>
      <c r="AM246" s="210"/>
      <c r="AN246" s="210"/>
      <c r="AO246" s="210"/>
      <c r="AP246" s="210"/>
      <c r="AQ246" s="210"/>
      <c r="AR246" s="210"/>
      <c r="AS246" s="210"/>
      <c r="AT246" s="210"/>
      <c r="AU246" s="210"/>
      <c r="AV246" s="210"/>
      <c r="AW246" s="210"/>
      <c r="AX246" s="210"/>
      <c r="AY246" s="210"/>
      <c r="AZ246" s="210"/>
      <c r="BA246" s="210"/>
      <c r="BB246" s="210"/>
      <c r="BC246" s="210"/>
      <c r="BD246" s="210"/>
      <c r="BE246" s="210"/>
      <c r="BF246" s="210"/>
      <c r="BG246" s="210"/>
      <c r="BH246" s="210"/>
      <c r="BI246" s="210"/>
      <c r="BJ246" s="210"/>
      <c r="BK246" s="210"/>
      <c r="BL246" s="210"/>
      <c r="BM246" s="210"/>
      <c r="BN246" s="211"/>
      <c r="BO246" s="212"/>
    </row>
    <row r="247" spans="1:67">
      <c r="A247" s="211"/>
      <c r="B247" s="211"/>
      <c r="C247" s="210"/>
      <c r="D247" s="211"/>
      <c r="E247" s="211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  <c r="AA247" s="210"/>
      <c r="AB247" s="210"/>
      <c r="AC247" s="210"/>
      <c r="AD247" s="210"/>
      <c r="AE247" s="210"/>
      <c r="AF247" s="210"/>
      <c r="AG247" s="210"/>
      <c r="AH247" s="210"/>
      <c r="AI247" s="210"/>
      <c r="AJ247" s="210"/>
      <c r="AK247" s="210"/>
      <c r="AL247" s="210"/>
      <c r="AM247" s="210"/>
      <c r="AN247" s="210"/>
      <c r="AO247" s="210"/>
      <c r="AP247" s="210"/>
      <c r="AQ247" s="210"/>
      <c r="AR247" s="210"/>
      <c r="AS247" s="210"/>
      <c r="AT247" s="210"/>
      <c r="AU247" s="210"/>
      <c r="AV247" s="210"/>
      <c r="AW247" s="210"/>
      <c r="AX247" s="210"/>
      <c r="AY247" s="210"/>
      <c r="AZ247" s="210"/>
      <c r="BA247" s="210"/>
      <c r="BB247" s="210"/>
      <c r="BC247" s="210"/>
      <c r="BD247" s="210"/>
      <c r="BE247" s="210"/>
      <c r="BF247" s="210"/>
      <c r="BG247" s="210"/>
      <c r="BH247" s="210"/>
      <c r="BI247" s="210"/>
      <c r="BJ247" s="210"/>
      <c r="BK247" s="210"/>
      <c r="BL247" s="210"/>
      <c r="BM247" s="210"/>
      <c r="BN247" s="211"/>
      <c r="BO247" s="212"/>
    </row>
    <row r="248" spans="1:67">
      <c r="A248" s="211"/>
      <c r="B248" s="211"/>
      <c r="C248" s="210"/>
      <c r="D248" s="211"/>
      <c r="E248" s="211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  <c r="AA248" s="210"/>
      <c r="AB248" s="210"/>
      <c r="AC248" s="210"/>
      <c r="AD248" s="210"/>
      <c r="AE248" s="210"/>
      <c r="AF248" s="210"/>
      <c r="AG248" s="210"/>
      <c r="AH248" s="210"/>
      <c r="AI248" s="210"/>
      <c r="AJ248" s="210"/>
      <c r="AK248" s="210"/>
      <c r="AL248" s="210"/>
      <c r="AM248" s="210"/>
      <c r="AN248" s="210"/>
      <c r="AO248" s="210"/>
      <c r="AP248" s="210"/>
      <c r="AQ248" s="210"/>
      <c r="AR248" s="210"/>
      <c r="AS248" s="210"/>
      <c r="AT248" s="210"/>
      <c r="AU248" s="210"/>
      <c r="AV248" s="210"/>
      <c r="AW248" s="210"/>
      <c r="AX248" s="210"/>
      <c r="AY248" s="210"/>
      <c r="AZ248" s="210"/>
      <c r="BA248" s="210"/>
      <c r="BB248" s="210"/>
      <c r="BC248" s="210"/>
      <c r="BD248" s="210"/>
      <c r="BE248" s="210"/>
      <c r="BF248" s="210"/>
      <c r="BG248" s="210"/>
      <c r="BH248" s="210"/>
      <c r="BI248" s="210"/>
      <c r="BJ248" s="210"/>
      <c r="BK248" s="210"/>
      <c r="BL248" s="210"/>
      <c r="BM248" s="210"/>
      <c r="BN248" s="211"/>
      <c r="BO248" s="212"/>
    </row>
    <row r="249" spans="1:67">
      <c r="A249" s="211"/>
      <c r="B249" s="211"/>
      <c r="C249" s="210"/>
      <c r="D249" s="211"/>
      <c r="E249" s="211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  <c r="AA249" s="210"/>
      <c r="AB249" s="210"/>
      <c r="AC249" s="210"/>
      <c r="AD249" s="210"/>
      <c r="AE249" s="210"/>
      <c r="AF249" s="210"/>
      <c r="AG249" s="210"/>
      <c r="AH249" s="210"/>
      <c r="AI249" s="210"/>
      <c r="AJ249" s="210"/>
      <c r="AK249" s="210"/>
      <c r="AL249" s="210"/>
      <c r="AM249" s="210"/>
      <c r="AN249" s="210"/>
      <c r="AO249" s="210"/>
      <c r="AP249" s="210"/>
      <c r="AQ249" s="210"/>
      <c r="AR249" s="210"/>
      <c r="AS249" s="210"/>
      <c r="AT249" s="210"/>
      <c r="AU249" s="210"/>
      <c r="AV249" s="210"/>
      <c r="AW249" s="210"/>
      <c r="AX249" s="210"/>
      <c r="AY249" s="210"/>
      <c r="AZ249" s="210"/>
      <c r="BA249" s="210"/>
      <c r="BB249" s="210"/>
      <c r="BC249" s="210"/>
      <c r="BD249" s="210"/>
      <c r="BE249" s="210"/>
      <c r="BF249" s="210"/>
      <c r="BG249" s="210"/>
      <c r="BH249" s="210"/>
      <c r="BI249" s="210"/>
      <c r="BJ249" s="210"/>
      <c r="BK249" s="210"/>
      <c r="BL249" s="210"/>
      <c r="BM249" s="210"/>
      <c r="BN249" s="211"/>
      <c r="BO249" s="212"/>
    </row>
    <row r="250" spans="1:67">
      <c r="A250" s="211"/>
      <c r="B250" s="211"/>
      <c r="C250" s="210"/>
      <c r="D250" s="211"/>
      <c r="E250" s="211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  <c r="AA250" s="210"/>
      <c r="AB250" s="210"/>
      <c r="AC250" s="210"/>
      <c r="AD250" s="210"/>
      <c r="AE250" s="210"/>
      <c r="AF250" s="210"/>
      <c r="AG250" s="210"/>
      <c r="AH250" s="210"/>
      <c r="AI250" s="210"/>
      <c r="AJ250" s="210"/>
      <c r="AK250" s="210"/>
      <c r="AL250" s="210"/>
      <c r="AM250" s="210"/>
      <c r="AN250" s="210"/>
      <c r="AO250" s="210"/>
      <c r="AP250" s="210"/>
      <c r="AQ250" s="210"/>
      <c r="AR250" s="210"/>
      <c r="AS250" s="210"/>
      <c r="AT250" s="210"/>
      <c r="AU250" s="210"/>
      <c r="AV250" s="210"/>
      <c r="AW250" s="210"/>
      <c r="AX250" s="210"/>
      <c r="AY250" s="210"/>
      <c r="AZ250" s="210"/>
      <c r="BA250" s="210"/>
      <c r="BB250" s="210"/>
      <c r="BC250" s="210"/>
      <c r="BD250" s="210"/>
      <c r="BE250" s="210"/>
      <c r="BF250" s="210"/>
      <c r="BG250" s="210"/>
      <c r="BH250" s="210"/>
      <c r="BI250" s="210"/>
      <c r="BJ250" s="210"/>
      <c r="BK250" s="210"/>
      <c r="BL250" s="210"/>
      <c r="BM250" s="210"/>
      <c r="BN250" s="211"/>
      <c r="BO250" s="212"/>
    </row>
    <row r="251" spans="1:67">
      <c r="A251" s="211"/>
      <c r="B251" s="211"/>
      <c r="C251" s="210"/>
      <c r="D251" s="211"/>
      <c r="E251" s="211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  <c r="AA251" s="210"/>
      <c r="AB251" s="210"/>
      <c r="AC251" s="210"/>
      <c r="AD251" s="210"/>
      <c r="AE251" s="210"/>
      <c r="AF251" s="210"/>
      <c r="AG251" s="210"/>
      <c r="AH251" s="210"/>
      <c r="AI251" s="210"/>
      <c r="AJ251" s="210"/>
      <c r="AK251" s="210"/>
      <c r="AL251" s="210"/>
      <c r="AM251" s="210"/>
      <c r="AN251" s="210"/>
      <c r="AO251" s="210"/>
      <c r="AP251" s="210"/>
      <c r="AQ251" s="210"/>
      <c r="AR251" s="210"/>
      <c r="AS251" s="210"/>
      <c r="AT251" s="210"/>
      <c r="AU251" s="210"/>
      <c r="AV251" s="210"/>
      <c r="AW251" s="210"/>
      <c r="AX251" s="210"/>
      <c r="AY251" s="210"/>
      <c r="AZ251" s="210"/>
      <c r="BA251" s="210"/>
      <c r="BB251" s="210"/>
      <c r="BC251" s="210"/>
      <c r="BD251" s="210"/>
      <c r="BE251" s="210"/>
      <c r="BF251" s="210"/>
      <c r="BG251" s="210"/>
      <c r="BH251" s="210"/>
      <c r="BI251" s="210"/>
      <c r="BJ251" s="210"/>
      <c r="BK251" s="210"/>
      <c r="BL251" s="210"/>
      <c r="BM251" s="210"/>
      <c r="BN251" s="211"/>
      <c r="BO251" s="212"/>
    </row>
    <row r="252" spans="1:67">
      <c r="A252" s="211"/>
      <c r="B252" s="211"/>
      <c r="C252" s="210"/>
      <c r="D252" s="211"/>
      <c r="E252" s="211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  <c r="AA252" s="210"/>
      <c r="AB252" s="210"/>
      <c r="AC252" s="210"/>
      <c r="AD252" s="210"/>
      <c r="AE252" s="210"/>
      <c r="AF252" s="210"/>
      <c r="AG252" s="210"/>
      <c r="AH252" s="210"/>
      <c r="AI252" s="210"/>
      <c r="AJ252" s="210"/>
      <c r="AK252" s="210"/>
      <c r="AL252" s="210"/>
      <c r="AM252" s="210"/>
      <c r="AN252" s="210"/>
      <c r="AO252" s="210"/>
      <c r="AP252" s="210"/>
      <c r="AQ252" s="210"/>
      <c r="AR252" s="210"/>
      <c r="AS252" s="210"/>
      <c r="AT252" s="210"/>
      <c r="AU252" s="210"/>
      <c r="AV252" s="210"/>
      <c r="AW252" s="210"/>
      <c r="AX252" s="210"/>
      <c r="AY252" s="210"/>
      <c r="AZ252" s="210"/>
      <c r="BA252" s="210"/>
      <c r="BB252" s="210"/>
      <c r="BC252" s="210"/>
      <c r="BD252" s="210"/>
      <c r="BE252" s="210"/>
      <c r="BF252" s="210"/>
      <c r="BG252" s="210"/>
      <c r="BH252" s="210"/>
      <c r="BI252" s="210"/>
      <c r="BJ252" s="210"/>
      <c r="BK252" s="210"/>
      <c r="BL252" s="210"/>
      <c r="BM252" s="210"/>
      <c r="BN252" s="211"/>
      <c r="BO252" s="212"/>
    </row>
    <row r="253" spans="1:67">
      <c r="A253" s="211"/>
      <c r="B253" s="211"/>
      <c r="C253" s="210"/>
      <c r="D253" s="211"/>
      <c r="E253" s="211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  <c r="AA253" s="210"/>
      <c r="AB253" s="210"/>
      <c r="AC253" s="210"/>
      <c r="AD253" s="210"/>
      <c r="AE253" s="210"/>
      <c r="AF253" s="210"/>
      <c r="AG253" s="210"/>
      <c r="AH253" s="210"/>
      <c r="AI253" s="210"/>
      <c r="AJ253" s="210"/>
      <c r="AK253" s="210"/>
      <c r="AL253" s="210"/>
      <c r="AM253" s="210"/>
      <c r="AN253" s="210"/>
      <c r="AO253" s="210"/>
      <c r="AP253" s="210"/>
      <c r="AQ253" s="210"/>
      <c r="AR253" s="210"/>
      <c r="AS253" s="210"/>
      <c r="AT253" s="210"/>
      <c r="AU253" s="210"/>
      <c r="AV253" s="210"/>
      <c r="AW253" s="210"/>
      <c r="AX253" s="210"/>
      <c r="AY253" s="210"/>
      <c r="AZ253" s="210"/>
      <c r="BA253" s="210"/>
      <c r="BB253" s="210"/>
      <c r="BC253" s="210"/>
      <c r="BD253" s="210"/>
      <c r="BE253" s="210"/>
      <c r="BF253" s="210"/>
      <c r="BG253" s="210"/>
      <c r="BH253" s="210"/>
      <c r="BI253" s="210"/>
      <c r="BJ253" s="210"/>
      <c r="BK253" s="210"/>
      <c r="BL253" s="210"/>
      <c r="BM253" s="210"/>
      <c r="BN253" s="211"/>
      <c r="BO253" s="212"/>
    </row>
    <row r="254" spans="1:67">
      <c r="A254" s="211"/>
      <c r="B254" s="211"/>
      <c r="C254" s="210"/>
      <c r="D254" s="211"/>
      <c r="E254" s="211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  <c r="AA254" s="210"/>
      <c r="AB254" s="210"/>
      <c r="AC254" s="210"/>
      <c r="AD254" s="210"/>
      <c r="AE254" s="210"/>
      <c r="AF254" s="210"/>
      <c r="AG254" s="210"/>
      <c r="AH254" s="210"/>
      <c r="AI254" s="210"/>
      <c r="AJ254" s="210"/>
      <c r="AK254" s="210"/>
      <c r="AL254" s="210"/>
      <c r="AM254" s="210"/>
      <c r="AN254" s="210"/>
      <c r="AO254" s="210"/>
      <c r="AP254" s="210"/>
      <c r="AQ254" s="210"/>
      <c r="AR254" s="210"/>
      <c r="AS254" s="210"/>
      <c r="AT254" s="210"/>
      <c r="AU254" s="210"/>
      <c r="AV254" s="210"/>
      <c r="AW254" s="210"/>
      <c r="AX254" s="210"/>
      <c r="AY254" s="210"/>
      <c r="AZ254" s="210"/>
      <c r="BA254" s="210"/>
      <c r="BB254" s="210"/>
      <c r="BC254" s="210"/>
      <c r="BD254" s="210"/>
      <c r="BE254" s="210"/>
      <c r="BF254" s="210"/>
      <c r="BG254" s="210"/>
      <c r="BH254" s="210"/>
      <c r="BI254" s="210"/>
      <c r="BJ254" s="210"/>
      <c r="BK254" s="210"/>
      <c r="BL254" s="210"/>
      <c r="BM254" s="210"/>
      <c r="BN254" s="211"/>
      <c r="BO254" s="212"/>
    </row>
    <row r="255" spans="1:67">
      <c r="A255" s="211"/>
      <c r="B255" s="211"/>
      <c r="C255" s="210"/>
      <c r="D255" s="211"/>
      <c r="E255" s="211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  <c r="AA255" s="210"/>
      <c r="AB255" s="210"/>
      <c r="AC255" s="210"/>
      <c r="AD255" s="210"/>
      <c r="AE255" s="210"/>
      <c r="AF255" s="210"/>
      <c r="AG255" s="210"/>
      <c r="AH255" s="210"/>
      <c r="AI255" s="210"/>
      <c r="AJ255" s="210"/>
      <c r="AK255" s="210"/>
      <c r="AL255" s="210"/>
      <c r="AM255" s="210"/>
      <c r="AN255" s="210"/>
      <c r="AO255" s="210"/>
      <c r="AP255" s="210"/>
      <c r="AQ255" s="210"/>
      <c r="AR255" s="210"/>
      <c r="AS255" s="210"/>
      <c r="AT255" s="210"/>
      <c r="AU255" s="210"/>
      <c r="AV255" s="210"/>
      <c r="AW255" s="210"/>
      <c r="AX255" s="210"/>
      <c r="AY255" s="210"/>
      <c r="AZ255" s="210"/>
      <c r="BA255" s="210"/>
      <c r="BB255" s="210"/>
      <c r="BC255" s="210"/>
      <c r="BD255" s="210"/>
      <c r="BE255" s="210"/>
      <c r="BF255" s="210"/>
      <c r="BG255" s="210"/>
      <c r="BH255" s="210"/>
      <c r="BI255" s="210"/>
      <c r="BJ255" s="210"/>
      <c r="BK255" s="210"/>
      <c r="BL255" s="210"/>
      <c r="BM255" s="210"/>
      <c r="BN255" s="211"/>
      <c r="BO255" s="212"/>
    </row>
    <row r="256" spans="1:67">
      <c r="A256" s="211"/>
      <c r="B256" s="211"/>
      <c r="C256" s="210"/>
      <c r="D256" s="211"/>
      <c r="E256" s="211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  <c r="AA256" s="210"/>
      <c r="AB256" s="210"/>
      <c r="AC256" s="210"/>
      <c r="AD256" s="210"/>
      <c r="AE256" s="210"/>
      <c r="AF256" s="210"/>
      <c r="AG256" s="210"/>
      <c r="AH256" s="210"/>
      <c r="AI256" s="210"/>
      <c r="AJ256" s="210"/>
      <c r="AK256" s="210"/>
      <c r="AL256" s="210"/>
      <c r="AM256" s="210"/>
      <c r="AN256" s="210"/>
      <c r="AO256" s="210"/>
      <c r="AP256" s="210"/>
      <c r="AQ256" s="210"/>
      <c r="AR256" s="210"/>
      <c r="AS256" s="210"/>
      <c r="AT256" s="210"/>
      <c r="AU256" s="210"/>
      <c r="AV256" s="210"/>
      <c r="AW256" s="210"/>
      <c r="AX256" s="210"/>
      <c r="AY256" s="210"/>
      <c r="AZ256" s="210"/>
      <c r="BA256" s="210"/>
      <c r="BB256" s="210"/>
      <c r="BC256" s="210"/>
      <c r="BD256" s="210"/>
      <c r="BE256" s="210"/>
      <c r="BF256" s="210"/>
      <c r="BG256" s="210"/>
      <c r="BH256" s="210"/>
      <c r="BI256" s="210"/>
      <c r="BJ256" s="210"/>
      <c r="BK256" s="210"/>
      <c r="BL256" s="210"/>
      <c r="BM256" s="210"/>
      <c r="BN256" s="211"/>
      <c r="BO256" s="212"/>
    </row>
    <row r="257" spans="1:67">
      <c r="A257" s="211"/>
      <c r="B257" s="211"/>
      <c r="C257" s="210"/>
      <c r="D257" s="211"/>
      <c r="E257" s="211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  <c r="AA257" s="210"/>
      <c r="AB257" s="210"/>
      <c r="AC257" s="210"/>
      <c r="AD257" s="210"/>
      <c r="AE257" s="210"/>
      <c r="AF257" s="210"/>
      <c r="AG257" s="210"/>
      <c r="AH257" s="210"/>
      <c r="AI257" s="210"/>
      <c r="AJ257" s="210"/>
      <c r="AK257" s="210"/>
      <c r="AL257" s="210"/>
      <c r="AM257" s="210"/>
      <c r="AN257" s="210"/>
      <c r="AO257" s="210"/>
      <c r="AP257" s="210"/>
      <c r="AQ257" s="210"/>
      <c r="AR257" s="210"/>
      <c r="AS257" s="210"/>
      <c r="AT257" s="210"/>
      <c r="AU257" s="210"/>
      <c r="AV257" s="210"/>
      <c r="AW257" s="210"/>
      <c r="AX257" s="210"/>
      <c r="AY257" s="210"/>
      <c r="AZ257" s="210"/>
      <c r="BA257" s="210"/>
      <c r="BB257" s="210"/>
      <c r="BC257" s="210"/>
      <c r="BD257" s="210"/>
      <c r="BE257" s="210"/>
      <c r="BF257" s="210"/>
      <c r="BG257" s="210"/>
      <c r="BH257" s="210"/>
      <c r="BI257" s="210"/>
      <c r="BJ257" s="210"/>
      <c r="BK257" s="210"/>
      <c r="BL257" s="210"/>
      <c r="BM257" s="210"/>
      <c r="BN257" s="211"/>
      <c r="BO257" s="212"/>
    </row>
    <row r="258" spans="1:67">
      <c r="A258" s="211"/>
      <c r="B258" s="211"/>
      <c r="C258" s="210"/>
      <c r="D258" s="211"/>
      <c r="E258" s="211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  <c r="AA258" s="210"/>
      <c r="AB258" s="210"/>
      <c r="AC258" s="210"/>
      <c r="AD258" s="210"/>
      <c r="AE258" s="210"/>
      <c r="AF258" s="210"/>
      <c r="AG258" s="210"/>
      <c r="AH258" s="210"/>
      <c r="AI258" s="210"/>
      <c r="AJ258" s="210"/>
      <c r="AK258" s="210"/>
      <c r="AL258" s="210"/>
      <c r="AM258" s="210"/>
      <c r="AN258" s="210"/>
      <c r="AO258" s="210"/>
      <c r="AP258" s="210"/>
      <c r="AQ258" s="210"/>
      <c r="AR258" s="210"/>
      <c r="AS258" s="210"/>
      <c r="AT258" s="210"/>
      <c r="AU258" s="210"/>
      <c r="AV258" s="210"/>
      <c r="AW258" s="210"/>
      <c r="AX258" s="210"/>
      <c r="AY258" s="210"/>
      <c r="AZ258" s="210"/>
      <c r="BA258" s="210"/>
      <c r="BB258" s="210"/>
      <c r="BC258" s="210"/>
      <c r="BD258" s="210"/>
      <c r="BE258" s="210"/>
      <c r="BF258" s="210"/>
      <c r="BG258" s="210"/>
      <c r="BH258" s="210"/>
      <c r="BI258" s="210"/>
      <c r="BJ258" s="210"/>
      <c r="BK258" s="210"/>
      <c r="BL258" s="210"/>
      <c r="BM258" s="210"/>
      <c r="BN258" s="211"/>
      <c r="BO258" s="212"/>
    </row>
    <row r="259" spans="1:67">
      <c r="A259" s="211"/>
      <c r="B259" s="211"/>
      <c r="C259" s="210"/>
      <c r="D259" s="211"/>
      <c r="E259" s="211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  <c r="AA259" s="210"/>
      <c r="AB259" s="210"/>
      <c r="AC259" s="210"/>
      <c r="AD259" s="210"/>
      <c r="AE259" s="210"/>
      <c r="AF259" s="210"/>
      <c r="AG259" s="210"/>
      <c r="AH259" s="210"/>
      <c r="AI259" s="210"/>
      <c r="AJ259" s="210"/>
      <c r="AK259" s="210"/>
      <c r="AL259" s="210"/>
      <c r="AM259" s="210"/>
      <c r="AN259" s="210"/>
      <c r="AO259" s="210"/>
      <c r="AP259" s="210"/>
      <c r="AQ259" s="210"/>
      <c r="AR259" s="210"/>
      <c r="AS259" s="210"/>
      <c r="AT259" s="210"/>
      <c r="AU259" s="210"/>
      <c r="AV259" s="210"/>
      <c r="AW259" s="210"/>
      <c r="AX259" s="210"/>
      <c r="AY259" s="210"/>
      <c r="AZ259" s="210"/>
      <c r="BA259" s="210"/>
      <c r="BB259" s="210"/>
      <c r="BC259" s="210"/>
      <c r="BD259" s="210"/>
      <c r="BE259" s="210"/>
      <c r="BF259" s="210"/>
      <c r="BG259" s="210"/>
      <c r="BH259" s="210"/>
      <c r="BI259" s="210"/>
      <c r="BJ259" s="210"/>
      <c r="BK259" s="210"/>
      <c r="BL259" s="210"/>
      <c r="BM259" s="210"/>
      <c r="BN259" s="211"/>
      <c r="BO259" s="212"/>
    </row>
    <row r="260" spans="1:67">
      <c r="A260" s="211"/>
      <c r="B260" s="211"/>
      <c r="C260" s="210"/>
      <c r="D260" s="211"/>
      <c r="E260" s="211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  <c r="AA260" s="210"/>
      <c r="AB260" s="210"/>
      <c r="AC260" s="210"/>
      <c r="AD260" s="210"/>
      <c r="AE260" s="210"/>
      <c r="AF260" s="210"/>
      <c r="AG260" s="210"/>
      <c r="AH260" s="210"/>
      <c r="AI260" s="210"/>
      <c r="AJ260" s="210"/>
      <c r="AK260" s="210"/>
      <c r="AL260" s="210"/>
      <c r="AM260" s="210"/>
      <c r="AN260" s="210"/>
      <c r="AO260" s="210"/>
      <c r="AP260" s="210"/>
      <c r="AQ260" s="210"/>
      <c r="AR260" s="210"/>
      <c r="AS260" s="210"/>
      <c r="AT260" s="210"/>
      <c r="AU260" s="210"/>
      <c r="AV260" s="210"/>
      <c r="AW260" s="210"/>
      <c r="AX260" s="210"/>
      <c r="AY260" s="210"/>
      <c r="AZ260" s="210"/>
      <c r="BA260" s="210"/>
      <c r="BB260" s="210"/>
      <c r="BC260" s="210"/>
      <c r="BD260" s="210"/>
      <c r="BE260" s="210"/>
      <c r="BF260" s="210"/>
      <c r="BG260" s="210"/>
      <c r="BH260" s="210"/>
      <c r="BI260" s="210"/>
      <c r="BJ260" s="210"/>
      <c r="BK260" s="210"/>
      <c r="BL260" s="210"/>
      <c r="BM260" s="210"/>
      <c r="BN260" s="211"/>
      <c r="BO260" s="212"/>
    </row>
    <row r="261" spans="1:67">
      <c r="A261" s="211"/>
      <c r="B261" s="211"/>
      <c r="C261" s="210"/>
      <c r="D261" s="211"/>
      <c r="E261" s="211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0"/>
      <c r="AG261" s="210"/>
      <c r="AH261" s="210"/>
      <c r="AI261" s="210"/>
      <c r="AJ261" s="210"/>
      <c r="AK261" s="210"/>
      <c r="AL261" s="210"/>
      <c r="AM261" s="210"/>
      <c r="AN261" s="210"/>
      <c r="AO261" s="210"/>
      <c r="AP261" s="210"/>
      <c r="AQ261" s="210"/>
      <c r="AR261" s="210"/>
      <c r="AS261" s="210"/>
      <c r="AT261" s="210"/>
      <c r="AU261" s="210"/>
      <c r="AV261" s="210"/>
      <c r="AW261" s="210"/>
      <c r="AX261" s="210"/>
      <c r="AY261" s="210"/>
      <c r="AZ261" s="210"/>
      <c r="BA261" s="210"/>
      <c r="BB261" s="210"/>
      <c r="BC261" s="210"/>
      <c r="BD261" s="210"/>
      <c r="BE261" s="210"/>
      <c r="BF261" s="210"/>
      <c r="BG261" s="210"/>
      <c r="BH261" s="210"/>
      <c r="BI261" s="210"/>
      <c r="BJ261" s="210"/>
      <c r="BK261" s="210"/>
      <c r="BL261" s="210"/>
      <c r="BM261" s="210"/>
      <c r="BN261" s="211"/>
      <c r="BO261" s="212"/>
    </row>
    <row r="262" spans="1:67">
      <c r="A262" s="211"/>
      <c r="B262" s="211"/>
      <c r="C262" s="210"/>
      <c r="D262" s="211"/>
      <c r="E262" s="211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  <c r="AA262" s="210"/>
      <c r="AB262" s="210"/>
      <c r="AC262" s="210"/>
      <c r="AD262" s="210"/>
      <c r="AE262" s="210"/>
      <c r="AF262" s="210"/>
      <c r="AG262" s="210"/>
      <c r="AH262" s="210"/>
      <c r="AI262" s="210"/>
      <c r="AJ262" s="210"/>
      <c r="AK262" s="210"/>
      <c r="AL262" s="210"/>
      <c r="AM262" s="210"/>
      <c r="AN262" s="210"/>
      <c r="AO262" s="210"/>
      <c r="AP262" s="210"/>
      <c r="AQ262" s="210"/>
      <c r="AR262" s="210"/>
      <c r="AS262" s="210"/>
      <c r="AT262" s="210"/>
      <c r="AU262" s="210"/>
      <c r="AV262" s="210"/>
      <c r="AW262" s="210"/>
      <c r="AX262" s="210"/>
      <c r="AY262" s="210"/>
      <c r="AZ262" s="210"/>
      <c r="BA262" s="210"/>
      <c r="BB262" s="210"/>
      <c r="BC262" s="210"/>
      <c r="BD262" s="210"/>
      <c r="BE262" s="210"/>
      <c r="BF262" s="210"/>
      <c r="BG262" s="210"/>
      <c r="BH262" s="210"/>
      <c r="BI262" s="210"/>
      <c r="BJ262" s="210"/>
      <c r="BK262" s="210"/>
      <c r="BL262" s="210"/>
      <c r="BM262" s="210"/>
      <c r="BN262" s="211"/>
      <c r="BO262" s="212"/>
    </row>
    <row r="263" spans="1:67">
      <c r="A263" s="211"/>
      <c r="B263" s="211"/>
      <c r="C263" s="210"/>
      <c r="D263" s="211"/>
      <c r="E263" s="211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  <c r="AA263" s="210"/>
      <c r="AB263" s="210"/>
      <c r="AC263" s="210"/>
      <c r="AD263" s="210"/>
      <c r="AE263" s="210"/>
      <c r="AF263" s="210"/>
      <c r="AG263" s="210"/>
      <c r="AH263" s="210"/>
      <c r="AI263" s="210"/>
      <c r="AJ263" s="210"/>
      <c r="AK263" s="210"/>
      <c r="AL263" s="210"/>
      <c r="AM263" s="210"/>
      <c r="AN263" s="210"/>
      <c r="AO263" s="210"/>
      <c r="AP263" s="210"/>
      <c r="AQ263" s="210"/>
      <c r="AR263" s="210"/>
      <c r="AS263" s="210"/>
      <c r="AT263" s="210"/>
      <c r="AU263" s="210"/>
      <c r="AV263" s="210"/>
      <c r="AW263" s="210"/>
      <c r="AX263" s="210"/>
      <c r="AY263" s="210"/>
      <c r="AZ263" s="210"/>
      <c r="BA263" s="210"/>
      <c r="BB263" s="210"/>
      <c r="BC263" s="210"/>
      <c r="BD263" s="210"/>
      <c r="BE263" s="210"/>
      <c r="BF263" s="210"/>
      <c r="BG263" s="210"/>
      <c r="BH263" s="210"/>
      <c r="BI263" s="210"/>
      <c r="BJ263" s="210"/>
      <c r="BK263" s="210"/>
      <c r="BL263" s="210"/>
      <c r="BM263" s="210"/>
      <c r="BN263" s="211"/>
      <c r="BO263" s="212"/>
    </row>
    <row r="264" spans="1:67">
      <c r="A264" s="211"/>
      <c r="B264" s="211"/>
      <c r="C264" s="210"/>
      <c r="D264" s="211"/>
      <c r="E264" s="211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  <c r="AA264" s="210"/>
      <c r="AB264" s="210"/>
      <c r="AC264" s="210"/>
      <c r="AD264" s="210"/>
      <c r="AE264" s="210"/>
      <c r="AF264" s="210"/>
      <c r="AG264" s="210"/>
      <c r="AH264" s="210"/>
      <c r="AI264" s="210"/>
      <c r="AJ264" s="210"/>
      <c r="AK264" s="210"/>
      <c r="AL264" s="210"/>
      <c r="AM264" s="210"/>
      <c r="AN264" s="210"/>
      <c r="AO264" s="210"/>
      <c r="AP264" s="210"/>
      <c r="AQ264" s="210"/>
      <c r="AR264" s="210"/>
      <c r="AS264" s="210"/>
      <c r="AT264" s="210"/>
      <c r="AU264" s="210"/>
      <c r="AV264" s="210"/>
      <c r="AW264" s="210"/>
      <c r="AX264" s="210"/>
      <c r="AY264" s="210"/>
      <c r="AZ264" s="210"/>
      <c r="BA264" s="210"/>
      <c r="BB264" s="210"/>
      <c r="BC264" s="210"/>
      <c r="BD264" s="210"/>
      <c r="BE264" s="210"/>
      <c r="BF264" s="210"/>
      <c r="BG264" s="210"/>
      <c r="BH264" s="210"/>
      <c r="BI264" s="210"/>
      <c r="BJ264" s="210"/>
      <c r="BK264" s="210"/>
      <c r="BL264" s="210"/>
      <c r="BM264" s="210"/>
      <c r="BN264" s="211"/>
      <c r="BO264" s="212"/>
    </row>
    <row r="265" spans="1:67">
      <c r="A265" s="211"/>
      <c r="B265" s="211"/>
      <c r="C265" s="210"/>
      <c r="D265" s="211"/>
      <c r="E265" s="211"/>
      <c r="F265" s="210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  <c r="AA265" s="210"/>
      <c r="AB265" s="210"/>
      <c r="AC265" s="210"/>
      <c r="AD265" s="210"/>
      <c r="AE265" s="210"/>
      <c r="AF265" s="210"/>
      <c r="AG265" s="210"/>
      <c r="AH265" s="210"/>
      <c r="AI265" s="210"/>
      <c r="AJ265" s="210"/>
      <c r="AK265" s="210"/>
      <c r="AL265" s="210"/>
      <c r="AM265" s="210"/>
      <c r="AN265" s="210"/>
      <c r="AO265" s="210"/>
      <c r="AP265" s="210"/>
      <c r="AQ265" s="210"/>
      <c r="AR265" s="210"/>
      <c r="AS265" s="210"/>
      <c r="AT265" s="210"/>
      <c r="AU265" s="210"/>
      <c r="AV265" s="210"/>
      <c r="AW265" s="210"/>
      <c r="AX265" s="210"/>
      <c r="AY265" s="210"/>
      <c r="AZ265" s="210"/>
      <c r="BA265" s="210"/>
      <c r="BB265" s="210"/>
      <c r="BC265" s="210"/>
      <c r="BD265" s="210"/>
      <c r="BE265" s="210"/>
      <c r="BF265" s="210"/>
      <c r="BG265" s="210"/>
      <c r="BH265" s="210"/>
      <c r="BI265" s="210"/>
      <c r="BJ265" s="210"/>
      <c r="BK265" s="210"/>
      <c r="BL265" s="210"/>
      <c r="BM265" s="210"/>
      <c r="BN265" s="211"/>
      <c r="BO265" s="212"/>
    </row>
    <row r="266" spans="1:67">
      <c r="A266" s="211"/>
      <c r="B266" s="211"/>
      <c r="C266" s="210"/>
      <c r="D266" s="211"/>
      <c r="E266" s="211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  <c r="AA266" s="210"/>
      <c r="AB266" s="210"/>
      <c r="AC266" s="210"/>
      <c r="AD266" s="210"/>
      <c r="AE266" s="210"/>
      <c r="AF266" s="210"/>
      <c r="AG266" s="210"/>
      <c r="AH266" s="210"/>
      <c r="AI266" s="210"/>
      <c r="AJ266" s="210"/>
      <c r="AK266" s="210"/>
      <c r="AL266" s="210"/>
      <c r="AM266" s="210"/>
      <c r="AN266" s="210"/>
      <c r="AO266" s="210"/>
      <c r="AP266" s="210"/>
      <c r="AQ266" s="210"/>
      <c r="AR266" s="210"/>
      <c r="AS266" s="210"/>
      <c r="AT266" s="210"/>
      <c r="AU266" s="210"/>
      <c r="AV266" s="210"/>
      <c r="AW266" s="210"/>
      <c r="AX266" s="210"/>
      <c r="AY266" s="210"/>
      <c r="AZ266" s="210"/>
      <c r="BA266" s="210"/>
      <c r="BB266" s="210"/>
      <c r="BC266" s="210"/>
      <c r="BD266" s="210"/>
      <c r="BE266" s="210"/>
      <c r="BF266" s="210"/>
      <c r="BG266" s="210"/>
      <c r="BH266" s="210"/>
      <c r="BI266" s="210"/>
      <c r="BJ266" s="210"/>
      <c r="BK266" s="210"/>
      <c r="BL266" s="210"/>
      <c r="BM266" s="210"/>
      <c r="BN266" s="211"/>
      <c r="BO266" s="212"/>
    </row>
    <row r="267" spans="1:67">
      <c r="A267" s="211"/>
      <c r="B267" s="211"/>
      <c r="C267" s="210"/>
      <c r="D267" s="211"/>
      <c r="E267" s="211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  <c r="AA267" s="210"/>
      <c r="AB267" s="210"/>
      <c r="AC267" s="210"/>
      <c r="AD267" s="210"/>
      <c r="AE267" s="210"/>
      <c r="AF267" s="210"/>
      <c r="AG267" s="210"/>
      <c r="AH267" s="210"/>
      <c r="AI267" s="210"/>
      <c r="AJ267" s="210"/>
      <c r="AK267" s="210"/>
      <c r="AL267" s="210"/>
      <c r="AM267" s="210"/>
      <c r="AN267" s="210"/>
      <c r="AO267" s="210"/>
      <c r="AP267" s="210"/>
      <c r="AQ267" s="210"/>
      <c r="AR267" s="210"/>
      <c r="AS267" s="210"/>
      <c r="AT267" s="210"/>
      <c r="AU267" s="210"/>
      <c r="AV267" s="210"/>
      <c r="AW267" s="210"/>
      <c r="AX267" s="210"/>
      <c r="AY267" s="210"/>
      <c r="AZ267" s="210"/>
      <c r="BA267" s="210"/>
      <c r="BB267" s="210"/>
      <c r="BC267" s="210"/>
      <c r="BD267" s="210"/>
      <c r="BE267" s="210"/>
      <c r="BF267" s="210"/>
      <c r="BG267" s="210"/>
      <c r="BH267" s="210"/>
      <c r="BI267" s="210"/>
      <c r="BJ267" s="210"/>
      <c r="BK267" s="210"/>
      <c r="BL267" s="210"/>
      <c r="BM267" s="210"/>
      <c r="BN267" s="211"/>
      <c r="BO267" s="212"/>
    </row>
    <row r="268" spans="1:67">
      <c r="A268" s="211"/>
      <c r="B268" s="211"/>
      <c r="C268" s="210"/>
      <c r="D268" s="211"/>
      <c r="E268" s="211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  <c r="AA268" s="210"/>
      <c r="AB268" s="210"/>
      <c r="AC268" s="210"/>
      <c r="AD268" s="210"/>
      <c r="AE268" s="210"/>
      <c r="AF268" s="210"/>
      <c r="AG268" s="210"/>
      <c r="AH268" s="210"/>
      <c r="AI268" s="210"/>
      <c r="AJ268" s="210"/>
      <c r="AK268" s="210"/>
      <c r="AL268" s="210"/>
      <c r="AM268" s="210"/>
      <c r="AN268" s="210"/>
      <c r="AO268" s="210"/>
      <c r="AP268" s="210"/>
      <c r="AQ268" s="210"/>
      <c r="AR268" s="210"/>
      <c r="AS268" s="210"/>
      <c r="AT268" s="210"/>
      <c r="AU268" s="210"/>
      <c r="AV268" s="210"/>
      <c r="AW268" s="210"/>
      <c r="AX268" s="210"/>
      <c r="AY268" s="210"/>
      <c r="AZ268" s="210"/>
      <c r="BA268" s="210"/>
      <c r="BB268" s="210"/>
      <c r="BC268" s="210"/>
      <c r="BD268" s="210"/>
      <c r="BE268" s="210"/>
      <c r="BF268" s="210"/>
      <c r="BG268" s="210"/>
      <c r="BH268" s="210"/>
      <c r="BI268" s="210"/>
      <c r="BJ268" s="210"/>
      <c r="BK268" s="210"/>
      <c r="BL268" s="210"/>
      <c r="BM268" s="210"/>
      <c r="BN268" s="211"/>
      <c r="BO268" s="212"/>
    </row>
    <row r="269" spans="1:67">
      <c r="A269" s="211"/>
      <c r="B269" s="211"/>
      <c r="C269" s="210"/>
      <c r="D269" s="211"/>
      <c r="E269" s="211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  <c r="AA269" s="210"/>
      <c r="AB269" s="210"/>
      <c r="AC269" s="210"/>
      <c r="AD269" s="210"/>
      <c r="AE269" s="210"/>
      <c r="AF269" s="210"/>
      <c r="AG269" s="210"/>
      <c r="AH269" s="210"/>
      <c r="AI269" s="210"/>
      <c r="AJ269" s="210"/>
      <c r="AK269" s="210"/>
      <c r="AL269" s="210"/>
      <c r="AM269" s="210"/>
      <c r="AN269" s="210"/>
      <c r="AO269" s="210"/>
      <c r="AP269" s="210"/>
      <c r="AQ269" s="210"/>
      <c r="AR269" s="210"/>
      <c r="AS269" s="210"/>
      <c r="AT269" s="210"/>
      <c r="AU269" s="210"/>
      <c r="AV269" s="210"/>
      <c r="AW269" s="210"/>
      <c r="AX269" s="210"/>
      <c r="AY269" s="210"/>
      <c r="AZ269" s="210"/>
      <c r="BA269" s="210"/>
      <c r="BB269" s="210"/>
      <c r="BC269" s="210"/>
      <c r="BD269" s="210"/>
      <c r="BE269" s="210"/>
      <c r="BF269" s="210"/>
      <c r="BG269" s="210"/>
      <c r="BH269" s="210"/>
      <c r="BI269" s="210"/>
      <c r="BJ269" s="210"/>
      <c r="BK269" s="210"/>
      <c r="BL269" s="210"/>
      <c r="BM269" s="210"/>
      <c r="BN269" s="211"/>
      <c r="BO269" s="212"/>
    </row>
    <row r="270" spans="1:67">
      <c r="A270" s="211"/>
      <c r="B270" s="211"/>
      <c r="C270" s="210"/>
      <c r="D270" s="211"/>
      <c r="E270" s="211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  <c r="AA270" s="210"/>
      <c r="AB270" s="210"/>
      <c r="AC270" s="210"/>
      <c r="AD270" s="210"/>
      <c r="AE270" s="210"/>
      <c r="AF270" s="210"/>
      <c r="AG270" s="210"/>
      <c r="AH270" s="210"/>
      <c r="AI270" s="210"/>
      <c r="AJ270" s="210"/>
      <c r="AK270" s="210"/>
      <c r="AL270" s="210"/>
      <c r="AM270" s="210"/>
      <c r="AN270" s="210"/>
      <c r="AO270" s="210"/>
      <c r="AP270" s="210"/>
      <c r="AQ270" s="210"/>
      <c r="AR270" s="210"/>
      <c r="AS270" s="210"/>
      <c r="AT270" s="210"/>
      <c r="AU270" s="210"/>
      <c r="AV270" s="210"/>
      <c r="AW270" s="210"/>
      <c r="AX270" s="210"/>
      <c r="AY270" s="210"/>
      <c r="AZ270" s="210"/>
      <c r="BA270" s="210"/>
      <c r="BB270" s="210"/>
      <c r="BC270" s="210"/>
      <c r="BD270" s="210"/>
      <c r="BE270" s="210"/>
      <c r="BF270" s="210"/>
      <c r="BG270" s="210"/>
      <c r="BH270" s="210"/>
      <c r="BI270" s="210"/>
      <c r="BJ270" s="210"/>
      <c r="BK270" s="210"/>
      <c r="BL270" s="210"/>
      <c r="BM270" s="210"/>
      <c r="BN270" s="211"/>
      <c r="BO270" s="212"/>
    </row>
    <row r="271" spans="1:67">
      <c r="A271" s="211"/>
      <c r="B271" s="211"/>
      <c r="C271" s="210"/>
      <c r="D271" s="211"/>
      <c r="E271" s="211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  <c r="AA271" s="210"/>
      <c r="AB271" s="210"/>
      <c r="AC271" s="210"/>
      <c r="AD271" s="210"/>
      <c r="AE271" s="210"/>
      <c r="AF271" s="210"/>
      <c r="AG271" s="210"/>
      <c r="AH271" s="210"/>
      <c r="AI271" s="210"/>
      <c r="AJ271" s="210"/>
      <c r="AK271" s="210"/>
      <c r="AL271" s="210"/>
      <c r="AM271" s="210"/>
      <c r="AN271" s="210"/>
      <c r="AO271" s="210"/>
      <c r="AP271" s="210"/>
      <c r="AQ271" s="210"/>
      <c r="AR271" s="210"/>
      <c r="AS271" s="210"/>
      <c r="AT271" s="210"/>
      <c r="AU271" s="210"/>
      <c r="AV271" s="210"/>
      <c r="AW271" s="210"/>
      <c r="AX271" s="210"/>
      <c r="AY271" s="210"/>
      <c r="AZ271" s="210"/>
      <c r="BA271" s="210"/>
      <c r="BB271" s="210"/>
      <c r="BC271" s="210"/>
      <c r="BD271" s="210"/>
      <c r="BE271" s="210"/>
      <c r="BF271" s="210"/>
      <c r="BG271" s="210"/>
      <c r="BH271" s="210"/>
      <c r="BI271" s="210"/>
      <c r="BJ271" s="210"/>
      <c r="BK271" s="210"/>
      <c r="BL271" s="210"/>
      <c r="BM271" s="210"/>
      <c r="BN271" s="211"/>
      <c r="BO271" s="212"/>
    </row>
    <row r="272" spans="1:67">
      <c r="BO272" s="120" t="s">
        <v>123</v>
      </c>
    </row>
    <row r="273" spans="67:67">
      <c r="BO273" s="120" t="s">
        <v>123</v>
      </c>
    </row>
    <row r="274" spans="67:67">
      <c r="BO274" s="120" t="s">
        <v>123</v>
      </c>
    </row>
    <row r="275" spans="67:67">
      <c r="BO275" s="120" t="s">
        <v>123</v>
      </c>
    </row>
    <row r="276" spans="67:67">
      <c r="BO276" s="120" t="s">
        <v>123</v>
      </c>
    </row>
    <row r="277" spans="67:67">
      <c r="BO277" s="120" t="s">
        <v>123</v>
      </c>
    </row>
    <row r="278" spans="67:67">
      <c r="BO278" s="120" t="s">
        <v>123</v>
      </c>
    </row>
    <row r="279" spans="67:67">
      <c r="BO279" s="120" t="s">
        <v>123</v>
      </c>
    </row>
    <row r="280" spans="67:67">
      <c r="BO280" s="120" t="s">
        <v>123</v>
      </c>
    </row>
    <row r="281" spans="67:67">
      <c r="BO281" s="120" t="s">
        <v>123</v>
      </c>
    </row>
    <row r="282" spans="67:67">
      <c r="BO282" s="120" t="s">
        <v>123</v>
      </c>
    </row>
    <row r="283" spans="67:67">
      <c r="BO283" s="120" t="s">
        <v>123</v>
      </c>
    </row>
    <row r="284" spans="67:67">
      <c r="BO284" s="120" t="s">
        <v>123</v>
      </c>
    </row>
    <row r="285" spans="67:67">
      <c r="BO285" s="120" t="s">
        <v>123</v>
      </c>
    </row>
    <row r="286" spans="67:67">
      <c r="BO286" s="120" t="s">
        <v>123</v>
      </c>
    </row>
    <row r="287" spans="67:67">
      <c r="BO287" s="120" t="s">
        <v>123</v>
      </c>
    </row>
    <row r="288" spans="67:67">
      <c r="BO288" s="120" t="s">
        <v>123</v>
      </c>
    </row>
    <row r="289" spans="67:67">
      <c r="BO289" s="120" t="s">
        <v>123</v>
      </c>
    </row>
    <row r="290" spans="67:67">
      <c r="BO290" s="120" t="s">
        <v>123</v>
      </c>
    </row>
    <row r="291" spans="67:67">
      <c r="BO291" s="120" t="s">
        <v>123</v>
      </c>
    </row>
    <row r="292" spans="67:67">
      <c r="BO292" s="120" t="s">
        <v>123</v>
      </c>
    </row>
    <row r="293" spans="67:67">
      <c r="BO293" s="120" t="s">
        <v>123</v>
      </c>
    </row>
    <row r="294" spans="67:67">
      <c r="BO294" s="120" t="s">
        <v>123</v>
      </c>
    </row>
    <row r="295" spans="67:67">
      <c r="BO295" s="120" t="s">
        <v>123</v>
      </c>
    </row>
    <row r="296" spans="67:67">
      <c r="BO296" s="120" t="s">
        <v>123</v>
      </c>
    </row>
    <row r="297" spans="67:67">
      <c r="BO297" s="120" t="s">
        <v>123</v>
      </c>
    </row>
    <row r="298" spans="67:67">
      <c r="BO298" s="120" t="s">
        <v>123</v>
      </c>
    </row>
    <row r="299" spans="67:67">
      <c r="BO299" s="120" t="s">
        <v>123</v>
      </c>
    </row>
    <row r="300" spans="67:67">
      <c r="BO300" s="120" t="s">
        <v>123</v>
      </c>
    </row>
    <row r="301" spans="67:67">
      <c r="BO301" s="120" t="s">
        <v>123</v>
      </c>
    </row>
    <row r="302" spans="67:67">
      <c r="BO302" s="120" t="s">
        <v>123</v>
      </c>
    </row>
    <row r="303" spans="67:67">
      <c r="BO303" s="120" t="s">
        <v>123</v>
      </c>
    </row>
    <row r="304" spans="67:67">
      <c r="BO304" s="120" t="s">
        <v>123</v>
      </c>
    </row>
    <row r="305" spans="67:67">
      <c r="BO305" s="120" t="s">
        <v>123</v>
      </c>
    </row>
    <row r="306" spans="67:67">
      <c r="BO306" s="120" t="s">
        <v>123</v>
      </c>
    </row>
    <row r="307" spans="67:67">
      <c r="BO307" s="120" t="s">
        <v>123</v>
      </c>
    </row>
    <row r="308" spans="67:67">
      <c r="BO308" s="120" t="s">
        <v>123</v>
      </c>
    </row>
  </sheetData>
  <hyperlinks>
    <hyperlink ref="E37" r:id="rId1" xr:uid="{5E2543E4-73BA-4A6A-9EFB-23313BF58A93}"/>
    <hyperlink ref="E38" r:id="rId2" xr:uid="{6180C308-6E50-4FD8-BFBA-32840C7B28AB}"/>
    <hyperlink ref="F39" r:id="rId3" xr:uid="{4ECFC6BA-037F-4371-813D-3C89A9599007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MGM:</dc:creator>
  <cp:keywords/>
  <dc:description/>
  <cp:lastModifiedBy>Scott McFaddin</cp:lastModifiedBy>
  <cp:revision/>
  <dcterms:created xsi:type="dcterms:W3CDTF">2018-11-20T18:57:44Z</dcterms:created>
  <dcterms:modified xsi:type="dcterms:W3CDTF">2020-09-12T13:44:41Z</dcterms:modified>
  <cp:category/>
  <cp:contentStatus/>
</cp:coreProperties>
</file>